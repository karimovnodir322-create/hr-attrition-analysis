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okarimov\Desktop\"/>
    </mc:Choice>
  </mc:AlternateContent>
  <xr:revisionPtr revIDLastSave="0" documentId="8_{0D4EE116-F2DD-4283-9B4D-0CC833F7FCE7}" xr6:coauthVersionLast="47" xr6:coauthVersionMax="47" xr10:uidLastSave="{00000000-0000-0000-0000-000000000000}"/>
  <bookViews>
    <workbookView xWindow="-108" yWindow="-108" windowWidth="23256" windowHeight="12456" xr2:uid="{00000000-000D-0000-FFFF-FFFF00000000}"/>
  </bookViews>
  <sheets>
    <sheet name="Dashboard" sheetId="7" r:id="rId1"/>
    <sheet name="Pivots" sheetId="6" r:id="rId2"/>
    <sheet name="HR_Clean" sheetId="5" r:id="rId3"/>
    <sheet name="HR_Raw" sheetId="2" r:id="rId4"/>
    <sheet name="Bolimlar" sheetId="3" r:id="rId5"/>
    <sheet name="Data_Dictionary" sheetId="4" r:id="rId6"/>
  </sheets>
  <definedNames>
    <definedName name="_xlnm._FilterDatabase" localSheetId="3" hidden="1">HR_Raw!$A$1:$R$811</definedName>
    <definedName name="ExternalData_1" localSheetId="2" hidden="1">HR_Clean!$A$1:$R$801</definedName>
    <definedName name="Slicer_Bo_lim">#N/A</definedName>
    <definedName name="Slicer_Ish_formati">#N/A</definedName>
  </definedNames>
  <calcPr calcId="191029"/>
  <pivotCaches>
    <pivotCache cacheId="5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2" i="5" l="1"/>
  <c r="S374" i="5"/>
  <c r="S752" i="5"/>
  <c r="S386" i="5"/>
  <c r="S96" i="5"/>
  <c r="S735" i="5"/>
  <c r="S680" i="5"/>
  <c r="S540" i="5"/>
  <c r="S77" i="5"/>
  <c r="S156" i="5"/>
  <c r="S296" i="5"/>
  <c r="S301" i="5"/>
  <c r="S696" i="5"/>
  <c r="S220" i="5"/>
  <c r="S222" i="5"/>
  <c r="S183" i="5"/>
  <c r="S189" i="5"/>
  <c r="S719" i="5"/>
  <c r="S750" i="5"/>
  <c r="S529" i="5"/>
  <c r="S576" i="5"/>
  <c r="S776" i="5"/>
  <c r="S467" i="5"/>
  <c r="S135" i="5"/>
  <c r="S481" i="5"/>
  <c r="S767" i="5"/>
  <c r="S594" i="5"/>
  <c r="S143" i="5"/>
  <c r="S246" i="5"/>
  <c r="S612" i="5"/>
  <c r="S667" i="5"/>
  <c r="S200" i="5"/>
  <c r="S20" i="5"/>
  <c r="S702" i="5"/>
  <c r="S261" i="5"/>
  <c r="S530" i="5"/>
  <c r="S168" i="5"/>
  <c r="S621" i="5"/>
  <c r="S549" i="5"/>
  <c r="S369" i="5"/>
  <c r="S514" i="5"/>
  <c r="S387" i="5"/>
  <c r="S657" i="5"/>
  <c r="S318" i="5"/>
  <c r="S177" i="5"/>
  <c r="S796" i="5"/>
  <c r="S23" i="5"/>
  <c r="S138" i="5"/>
  <c r="S99" i="5"/>
  <c r="S482" i="5"/>
  <c r="S434" i="5"/>
  <c r="S624" i="5"/>
  <c r="S613" i="5"/>
  <c r="S455" i="5"/>
  <c r="S554" i="5"/>
  <c r="S721" i="5"/>
  <c r="S615" i="5"/>
  <c r="S632" i="5"/>
  <c r="S449" i="5"/>
  <c r="S686" i="5"/>
  <c r="S607" i="5"/>
  <c r="S243" i="5"/>
  <c r="S739" i="5"/>
  <c r="S420" i="5"/>
  <c r="S395" i="5"/>
  <c r="S46" i="5"/>
  <c r="S744" i="5"/>
  <c r="S116" i="5"/>
  <c r="S276" i="5"/>
  <c r="S286" i="5"/>
  <c r="S216" i="5"/>
  <c r="S350" i="5"/>
  <c r="S422" i="5"/>
  <c r="S262" i="5"/>
  <c r="S512" i="5"/>
  <c r="S504" i="5"/>
  <c r="S497" i="5"/>
  <c r="S797" i="5"/>
  <c r="S71" i="5"/>
  <c r="S758" i="5"/>
  <c r="S338" i="5"/>
  <c r="S207" i="5"/>
  <c r="S324" i="5"/>
  <c r="S364" i="5"/>
  <c r="S266" i="5"/>
  <c r="S79" i="5"/>
  <c r="S214" i="5"/>
  <c r="S213" i="5"/>
  <c r="S570" i="5"/>
  <c r="S65" i="5"/>
  <c r="S431" i="5"/>
  <c r="S759" i="5"/>
  <c r="S753" i="5"/>
  <c r="S29" i="5"/>
  <c r="S423" i="5"/>
  <c r="S578" i="5"/>
  <c r="S479" i="5"/>
  <c r="S251" i="5"/>
  <c r="S534" i="5"/>
  <c r="S419" i="5"/>
  <c r="S665" i="5"/>
  <c r="S450" i="5"/>
  <c r="S793" i="5"/>
  <c r="S282" i="5"/>
  <c r="S799" i="5"/>
  <c r="S356" i="5"/>
  <c r="S566" i="5"/>
  <c r="S618" i="5"/>
  <c r="S184" i="5"/>
  <c r="S9" i="5"/>
  <c r="S486" i="5"/>
  <c r="S729" i="5"/>
  <c r="S433" i="5"/>
  <c r="S688" i="5"/>
  <c r="S775" i="5"/>
  <c r="S212" i="5"/>
  <c r="S794" i="5"/>
  <c r="S134" i="5"/>
  <c r="S645" i="5"/>
  <c r="S682" i="5"/>
  <c r="S659" i="5"/>
  <c r="S533" i="5"/>
  <c r="S436" i="5"/>
  <c r="S247" i="5"/>
  <c r="S165" i="5"/>
  <c r="S310" i="5"/>
  <c r="S181" i="5"/>
  <c r="S726" i="5"/>
  <c r="S228" i="5"/>
  <c r="S55" i="5"/>
  <c r="S314" i="5"/>
  <c r="S297" i="5"/>
  <c r="S62" i="5"/>
  <c r="S617" i="5"/>
  <c r="S85" i="5"/>
  <c r="S524" i="5"/>
  <c r="S650" i="5"/>
  <c r="S508" i="5"/>
  <c r="S493" i="5"/>
  <c r="S302" i="5"/>
  <c r="S312" i="5"/>
  <c r="S287" i="5"/>
  <c r="S127" i="5"/>
  <c r="S583" i="5"/>
  <c r="S402" i="5"/>
  <c r="S16" i="5"/>
  <c r="S760" i="5"/>
  <c r="S327" i="5"/>
  <c r="S292" i="5"/>
  <c r="S599" i="5"/>
  <c r="S229" i="5"/>
  <c r="S437" i="5"/>
  <c r="S368" i="5"/>
  <c r="S572" i="5"/>
  <c r="S176" i="5"/>
  <c r="S787" i="5"/>
  <c r="S425" i="5"/>
  <c r="S439" i="5"/>
  <c r="S124" i="5"/>
  <c r="S32" i="5"/>
  <c r="S473" i="5"/>
  <c r="S452" i="5"/>
  <c r="S601" i="5"/>
  <c r="S58" i="5"/>
  <c r="S148" i="5"/>
  <c r="S507" i="5"/>
  <c r="S414" i="5"/>
  <c r="S159" i="5"/>
  <c r="S705" i="5"/>
  <c r="S500" i="5"/>
  <c r="S525" i="5"/>
  <c r="S411" i="5"/>
  <c r="S249" i="5"/>
  <c r="S426" i="5"/>
  <c r="S90" i="5"/>
  <c r="S443" i="5"/>
  <c r="S86" i="5"/>
  <c r="S152" i="5"/>
  <c r="S480" i="5"/>
  <c r="S341" i="5"/>
  <c r="S616" i="5"/>
  <c r="S80" i="5"/>
  <c r="S106" i="5"/>
  <c r="S330" i="5"/>
  <c r="S781" i="5"/>
  <c r="S648" i="5"/>
  <c r="S190" i="5"/>
  <c r="S259" i="5"/>
  <c r="S401" i="5"/>
  <c r="S27" i="5"/>
  <c r="S503" i="5"/>
  <c r="S684" i="5"/>
  <c r="S584" i="5"/>
  <c r="S408" i="5"/>
  <c r="S777" i="5"/>
  <c r="S505" i="5"/>
  <c r="S495" i="5"/>
  <c r="S238" i="5"/>
  <c r="S33" i="5"/>
  <c r="S48" i="5"/>
  <c r="S496" i="5"/>
  <c r="S471" i="5"/>
  <c r="S764" i="5"/>
  <c r="S501" i="5"/>
  <c r="S380" i="5"/>
  <c r="S278" i="5"/>
  <c r="S761" i="5"/>
  <c r="S627" i="5"/>
  <c r="S715" i="5"/>
  <c r="S417" i="5"/>
  <c r="S400" i="5"/>
  <c r="S98" i="5"/>
  <c r="S107" i="5"/>
  <c r="S421" i="5"/>
  <c r="S26" i="5"/>
  <c r="S676" i="5"/>
  <c r="S158" i="5"/>
  <c r="S281" i="5"/>
  <c r="S24" i="5"/>
  <c r="S334" i="5"/>
  <c r="S328" i="5"/>
  <c r="S110" i="5"/>
  <c r="S522" i="5"/>
  <c r="S441" i="5"/>
  <c r="S384" i="5"/>
  <c r="S7" i="5"/>
  <c r="S755" i="5"/>
  <c r="S339" i="5"/>
  <c r="S208" i="5"/>
  <c r="S462" i="5"/>
  <c r="S64" i="5"/>
  <c r="S765" i="5"/>
  <c r="S72" i="5"/>
  <c r="S13" i="5"/>
  <c r="S779" i="5"/>
  <c r="S353" i="5"/>
  <c r="S130" i="5"/>
  <c r="S70" i="5"/>
  <c r="S393" i="5"/>
  <c r="S673" i="5"/>
  <c r="S745" i="5"/>
  <c r="S697" i="5"/>
  <c r="S343" i="5"/>
  <c r="S41" i="5"/>
  <c r="S537" i="5"/>
  <c r="S564" i="5"/>
  <c r="S92" i="5"/>
  <c r="S444" i="5"/>
  <c r="S38" i="5"/>
  <c r="S81" i="5"/>
  <c r="S653" i="5"/>
  <c r="S142" i="5"/>
  <c r="S108" i="5"/>
  <c r="S139" i="5"/>
  <c r="S470" i="5"/>
  <c r="S551" i="5"/>
  <c r="S523" i="5"/>
  <c r="S257" i="5"/>
  <c r="S538" i="5"/>
  <c r="S88" i="5"/>
  <c r="S460" i="5"/>
  <c r="S352" i="5"/>
  <c r="S674" i="5"/>
  <c r="S56" i="5"/>
  <c r="S567" i="5"/>
  <c r="S488" i="5"/>
  <c r="S789" i="5"/>
  <c r="S664" i="5"/>
  <c r="S4" i="5"/>
  <c r="S345" i="5"/>
  <c r="S68" i="5"/>
  <c r="S221" i="5"/>
  <c r="S232" i="5"/>
  <c r="S95" i="5"/>
  <c r="S396" i="5"/>
  <c r="S660" i="5"/>
  <c r="S93" i="5"/>
  <c r="S415" i="5"/>
  <c r="S560" i="5"/>
  <c r="S734" i="5"/>
  <c r="S602" i="5"/>
  <c r="S706" i="5"/>
  <c r="S272" i="5"/>
  <c r="S236" i="5"/>
  <c r="S78" i="5"/>
  <c r="S149" i="5"/>
  <c r="S403" i="5"/>
  <c r="S382" i="5"/>
  <c r="S187" i="5"/>
  <c r="S733" i="5"/>
  <c r="S671" i="5"/>
  <c r="S424" i="5"/>
  <c r="S515" i="5"/>
  <c r="S670" i="5"/>
  <c r="S144" i="5"/>
  <c r="S140" i="5"/>
  <c r="S727" i="5"/>
  <c r="S707" i="5"/>
  <c r="S678" i="5"/>
  <c r="S169" i="5"/>
  <c r="S642" i="5"/>
  <c r="S589" i="5"/>
  <c r="S788" i="5"/>
  <c r="S231" i="5"/>
  <c r="S536" i="5"/>
  <c r="S203" i="5"/>
  <c r="S15" i="5"/>
  <c r="S252" i="5"/>
  <c r="S698" i="5"/>
  <c r="S590" i="5"/>
  <c r="S211" i="5"/>
  <c r="S120" i="5"/>
  <c r="S708" i="5"/>
  <c r="S132" i="5"/>
  <c r="S371" i="5"/>
  <c r="S468" i="5"/>
  <c r="S11" i="5"/>
  <c r="S800" i="5"/>
  <c r="S766" i="5"/>
  <c r="S319" i="5"/>
  <c r="S498" i="5"/>
  <c r="S646" i="5"/>
  <c r="S716" i="5"/>
  <c r="S209" i="5"/>
  <c r="S357" i="5"/>
  <c r="S163" i="5"/>
  <c r="S385" i="5"/>
  <c r="S751" i="5"/>
  <c r="S658" i="5"/>
  <c r="S97" i="5"/>
  <c r="S783" i="5"/>
  <c r="S320" i="5"/>
  <c r="S795" i="5"/>
  <c r="S635" i="5"/>
  <c r="S675" i="5"/>
  <c r="S147" i="5"/>
  <c r="S365" i="5"/>
  <c r="S346" i="5"/>
  <c r="S681" i="5"/>
  <c r="S605" i="5"/>
  <c r="S89" i="5"/>
  <c r="S30" i="5"/>
  <c r="S155" i="5"/>
  <c r="S192" i="5"/>
  <c r="S333" i="5"/>
  <c r="S59" i="5"/>
  <c r="S430" i="5"/>
  <c r="S171" i="5"/>
  <c r="S683" i="5"/>
  <c r="S336" i="5"/>
  <c r="S73" i="5"/>
  <c r="S552" i="5"/>
  <c r="S699" i="5"/>
  <c r="S12" i="5"/>
  <c r="S770" i="5"/>
  <c r="S563" i="5"/>
  <c r="S639" i="5"/>
  <c r="S456" i="5"/>
  <c r="S273" i="5"/>
  <c r="S372" i="5"/>
  <c r="S718" i="5"/>
  <c r="S651" i="5"/>
  <c r="S255" i="5"/>
  <c r="S289" i="5"/>
  <c r="S562" i="5"/>
  <c r="S44" i="5"/>
  <c r="S45" i="5"/>
  <c r="S194" i="5"/>
  <c r="S409" i="5"/>
  <c r="S226" i="5"/>
  <c r="S748" i="5"/>
  <c r="S656" i="5"/>
  <c r="S628" i="5"/>
  <c r="S195" i="5"/>
  <c r="S746" i="5"/>
  <c r="S366" i="5"/>
  <c r="S264" i="5"/>
  <c r="S558" i="5"/>
  <c r="S145" i="5"/>
  <c r="S160" i="5"/>
  <c r="S790" i="5"/>
  <c r="S633" i="5"/>
  <c r="S406" i="5"/>
  <c r="S321" i="5"/>
  <c r="S757" i="5"/>
  <c r="S388" i="5"/>
  <c r="S677" i="5"/>
  <c r="S50" i="5"/>
  <c r="S588" i="5"/>
  <c r="S459" i="5"/>
  <c r="S153" i="5"/>
  <c r="S661" i="5"/>
  <c r="S738" i="5"/>
  <c r="S791" i="5"/>
  <c r="S188" i="5"/>
  <c r="S331" i="5"/>
  <c r="S28" i="5"/>
  <c r="S428" i="5"/>
  <c r="S53" i="5"/>
  <c r="S730" i="5"/>
  <c r="S476" i="5"/>
  <c r="S154" i="5"/>
  <c r="S284" i="5"/>
  <c r="S225" i="5"/>
  <c r="S67" i="5"/>
  <c r="S69" i="5"/>
  <c r="S111" i="5"/>
  <c r="S553" i="5"/>
  <c r="S595" i="5"/>
  <c r="S125" i="5"/>
  <c r="S416" i="5"/>
  <c r="S509" i="5"/>
  <c r="S546" i="5"/>
  <c r="S608" i="5"/>
  <c r="S636" i="5"/>
  <c r="S600" i="5"/>
  <c r="S117" i="5"/>
  <c r="S700" i="5"/>
  <c r="S63" i="5"/>
  <c r="S782" i="5"/>
  <c r="S191" i="5"/>
  <c r="S610" i="5"/>
  <c r="S535" i="5"/>
  <c r="S492" i="5"/>
  <c r="S344" i="5"/>
  <c r="S432" i="5"/>
  <c r="S453" i="5"/>
  <c r="S359" i="5"/>
  <c r="S166" i="5"/>
  <c r="S389" i="5"/>
  <c r="S573" i="5"/>
  <c r="S629" i="5"/>
  <c r="S640" i="5"/>
  <c r="S375" i="5"/>
  <c r="S527" i="5"/>
  <c r="S689" i="5"/>
  <c r="S137" i="5"/>
  <c r="S768" i="5"/>
  <c r="S597" i="5"/>
  <c r="S325" i="5"/>
  <c r="S577" i="5"/>
  <c r="S756" i="5"/>
  <c r="S167" i="5"/>
  <c r="S654" i="5"/>
  <c r="S531" i="5"/>
  <c r="S164" i="5"/>
  <c r="S311" i="5"/>
  <c r="S445" i="5"/>
  <c r="S279" i="5"/>
  <c r="S10" i="5"/>
  <c r="S547" i="5"/>
  <c r="S25" i="5"/>
  <c r="S74" i="5"/>
  <c r="S418" i="5"/>
  <c r="S36" i="5"/>
  <c r="S442" i="5"/>
  <c r="S54" i="5"/>
  <c r="S518" i="5"/>
  <c r="S398" i="5"/>
  <c r="S598" i="5"/>
  <c r="S270" i="5"/>
  <c r="S448" i="5"/>
  <c r="S592" i="5"/>
  <c r="S136" i="5"/>
  <c r="S580" i="5"/>
  <c r="S581" i="5"/>
  <c r="S126" i="5"/>
  <c r="S204" i="5"/>
  <c r="S373" i="5"/>
  <c r="S579" i="5"/>
  <c r="S199" i="5"/>
  <c r="S354" i="5"/>
  <c r="S526" i="5"/>
  <c r="S625" i="5"/>
  <c r="S724" i="5"/>
  <c r="S267" i="5"/>
  <c r="S785" i="5"/>
  <c r="S519" i="5"/>
  <c r="S685" i="5"/>
  <c r="S31" i="5"/>
  <c r="S18" i="5"/>
  <c r="S299" i="5"/>
  <c r="S550" i="5"/>
  <c r="S240" i="5"/>
  <c r="S709" i="5"/>
  <c r="S6" i="5"/>
  <c r="S21" i="5"/>
  <c r="S235" i="5"/>
  <c r="S499" i="5"/>
  <c r="S722" i="5"/>
  <c r="S224" i="5"/>
  <c r="S690" i="5"/>
  <c r="S307" i="5"/>
  <c r="S308" i="5"/>
  <c r="S49" i="5"/>
  <c r="S185" i="5"/>
  <c r="S340" i="5"/>
  <c r="S585" i="5"/>
  <c r="S555" i="5"/>
  <c r="S367" i="5"/>
  <c r="S146" i="5"/>
  <c r="S315" i="5"/>
  <c r="S749" i="5"/>
  <c r="S451" i="5"/>
  <c r="S376" i="5"/>
  <c r="S641" i="5"/>
  <c r="S542" i="5"/>
  <c r="S102" i="5"/>
  <c r="S516" i="5"/>
  <c r="S342" i="5"/>
  <c r="S609" i="5"/>
  <c r="S274" i="5"/>
  <c r="S798" i="5"/>
  <c r="S517" i="5"/>
  <c r="S763" i="5"/>
  <c r="S502" i="5"/>
  <c r="S717" i="5"/>
  <c r="S489" i="5"/>
  <c r="S241" i="5"/>
  <c r="S720" i="5"/>
  <c r="S151" i="5"/>
  <c r="S614" i="5"/>
  <c r="S762" i="5"/>
  <c r="S94" i="5"/>
  <c r="S133" i="5"/>
  <c r="S475" i="5"/>
  <c r="S162" i="5"/>
  <c r="S774" i="5"/>
  <c r="S740" i="5"/>
  <c r="S114" i="5"/>
  <c r="S361" i="5"/>
  <c r="S513" i="5"/>
  <c r="S5" i="5"/>
  <c r="S630" i="5"/>
  <c r="S543" i="5"/>
  <c r="S559" i="5"/>
  <c r="S269" i="5"/>
  <c r="S8" i="5"/>
  <c r="S2" i="5"/>
  <c r="S35" i="5"/>
  <c r="S265" i="5"/>
  <c r="S638" i="5"/>
  <c r="S271" i="5"/>
  <c r="S511" i="5"/>
  <c r="S280" i="5"/>
  <c r="S728" i="5"/>
  <c r="S141" i="5"/>
  <c r="S283" i="5"/>
  <c r="S103" i="5"/>
  <c r="S193" i="5"/>
  <c r="S47" i="5"/>
  <c r="S61" i="5"/>
  <c r="S568" i="5"/>
  <c r="S586" i="5"/>
  <c r="S647" i="5"/>
  <c r="S337" i="5"/>
  <c r="S109" i="5"/>
  <c r="S268" i="5"/>
  <c r="S604" i="5"/>
  <c r="S66" i="5"/>
  <c r="S394" i="5"/>
  <c r="S741" i="5"/>
  <c r="S666" i="5"/>
  <c r="S596" i="5"/>
  <c r="S253" i="5"/>
  <c r="S14" i="5"/>
  <c r="S351" i="5"/>
  <c r="S348" i="5"/>
  <c r="S484" i="5"/>
  <c r="S754" i="5"/>
  <c r="S294" i="5"/>
  <c r="S622" i="5"/>
  <c r="S84" i="5"/>
  <c r="S349" i="5"/>
  <c r="S412" i="5"/>
  <c r="S150" i="5"/>
  <c r="S17" i="5"/>
  <c r="S736" i="5"/>
  <c r="S723" i="5"/>
  <c r="S429" i="5"/>
  <c r="S458" i="5"/>
  <c r="S575" i="5"/>
  <c r="S131" i="5"/>
  <c r="S113" i="5"/>
  <c r="S435" i="5"/>
  <c r="S457" i="5"/>
  <c r="S258" i="5"/>
  <c r="S206" i="5"/>
  <c r="S201" i="5"/>
  <c r="S404" i="5"/>
  <c r="S326" i="5"/>
  <c r="S196" i="5"/>
  <c r="S668" i="5"/>
  <c r="S100" i="5"/>
  <c r="S39" i="5"/>
  <c r="S363" i="5"/>
  <c r="S440" i="5"/>
  <c r="S295" i="5"/>
  <c r="S652" i="5"/>
  <c r="S57" i="5"/>
  <c r="S786" i="5"/>
  <c r="S637" i="5"/>
  <c r="S491" i="5"/>
  <c r="S623" i="5"/>
  <c r="S175" i="5"/>
  <c r="S691" i="5"/>
  <c r="S180" i="5"/>
  <c r="S378" i="5"/>
  <c r="S485" i="5"/>
  <c r="S293" i="5"/>
  <c r="S557" i="5"/>
  <c r="S161" i="5"/>
  <c r="S34" i="5"/>
  <c r="S405" i="5"/>
  <c r="S182" i="5"/>
  <c r="S687" i="5"/>
  <c r="S413" i="5"/>
  <c r="S643" i="5"/>
  <c r="S474" i="5"/>
  <c r="S620" i="5"/>
  <c r="S285" i="5"/>
  <c r="S410" i="5"/>
  <c r="S129" i="5"/>
  <c r="S304" i="5"/>
  <c r="S174" i="5"/>
  <c r="S101" i="5"/>
  <c r="S792" i="5"/>
  <c r="S769" i="5"/>
  <c r="S379" i="5"/>
  <c r="S390" i="5"/>
  <c r="S544" i="5"/>
  <c r="S477" i="5"/>
  <c r="S104" i="5"/>
  <c r="S239" i="5"/>
  <c r="S244" i="5"/>
  <c r="S288" i="5"/>
  <c r="S649" i="5"/>
  <c r="S82" i="5"/>
  <c r="S742" i="5"/>
  <c r="S587" i="5"/>
  <c r="S118" i="5"/>
  <c r="S483" i="5"/>
  <c r="S669" i="5"/>
  <c r="S75" i="5"/>
  <c r="S521" i="5"/>
  <c r="S582" i="5"/>
  <c r="S539" i="5"/>
  <c r="S329" i="5"/>
  <c r="S548" i="5"/>
  <c r="S263" i="5"/>
  <c r="S290" i="5"/>
  <c r="S574" i="5"/>
  <c r="S37" i="5"/>
  <c r="S51" i="5"/>
  <c r="S317" i="5"/>
  <c r="S778" i="5"/>
  <c r="S569" i="5"/>
  <c r="S370" i="5"/>
  <c r="S506" i="5"/>
  <c r="S469" i="5"/>
  <c r="S223" i="5"/>
  <c r="S237" i="5"/>
  <c r="S277" i="5"/>
  <c r="S662" i="5"/>
  <c r="S87" i="5"/>
  <c r="S510" i="5"/>
  <c r="S76" i="5"/>
  <c r="S619" i="5"/>
  <c r="S703" i="5"/>
  <c r="S711" i="5"/>
  <c r="S712" i="5"/>
  <c r="S606" i="5"/>
  <c r="S91" i="5"/>
  <c r="S391" i="5"/>
  <c r="S520" i="5"/>
  <c r="S358" i="5"/>
  <c r="S234" i="5"/>
  <c r="S407" i="5"/>
  <c r="S771" i="5"/>
  <c r="S464" i="5"/>
  <c r="S545" i="5"/>
  <c r="S322" i="5"/>
  <c r="S245" i="5"/>
  <c r="S731" i="5"/>
  <c r="S275" i="5"/>
  <c r="S305" i="5"/>
  <c r="S377" i="5"/>
  <c r="S197" i="5"/>
  <c r="S298" i="5"/>
  <c r="S494" i="5"/>
  <c r="S123" i="5"/>
  <c r="S565" i="5"/>
  <c r="S780" i="5"/>
  <c r="S466" i="5"/>
  <c r="S309" i="5"/>
  <c r="S556" i="5"/>
  <c r="S186" i="5"/>
  <c r="S355" i="5"/>
  <c r="S694" i="5"/>
  <c r="S362" i="5"/>
  <c r="S19" i="5"/>
  <c r="S472" i="5"/>
  <c r="S784" i="5"/>
  <c r="S219" i="5"/>
  <c r="S173" i="5"/>
  <c r="S692" i="5"/>
  <c r="S701" i="5"/>
  <c r="S306" i="5"/>
  <c r="S202" i="5"/>
  <c r="S593" i="5"/>
  <c r="S725" i="5"/>
  <c r="S172" i="5"/>
  <c r="S655" i="5"/>
  <c r="S532" i="5"/>
  <c r="S170" i="5"/>
  <c r="S105" i="5"/>
  <c r="S260" i="5"/>
  <c r="S591" i="5"/>
  <c r="S710" i="5"/>
  <c r="S119" i="5"/>
  <c r="S112" i="5"/>
  <c r="S115" i="5"/>
  <c r="S561" i="5"/>
  <c r="S541" i="5"/>
  <c r="S397" i="5"/>
  <c r="S121" i="5"/>
  <c r="S487" i="5"/>
  <c r="S347" i="5"/>
  <c r="S631" i="5"/>
  <c r="S528" i="5"/>
  <c r="S446" i="5"/>
  <c r="S316" i="5"/>
  <c r="S323" i="5"/>
  <c r="S383" i="5"/>
  <c r="S478" i="5"/>
  <c r="S179" i="5"/>
  <c r="S672" i="5"/>
  <c r="S254" i="5"/>
  <c r="S743" i="5"/>
  <c r="S198" i="5"/>
  <c r="S679" i="5"/>
  <c r="S43" i="5"/>
  <c r="S747" i="5"/>
  <c r="S427" i="5"/>
  <c r="S227" i="5"/>
  <c r="S210" i="5"/>
  <c r="S218" i="5"/>
  <c r="S215" i="5"/>
  <c r="S242" i="5"/>
  <c r="S178" i="5"/>
  <c r="S300" i="5"/>
  <c r="S332" i="5"/>
  <c r="S52" i="5"/>
  <c r="S663" i="5"/>
  <c r="S233" i="5"/>
  <c r="S626" i="5"/>
  <c r="S490" i="5"/>
  <c r="S732" i="5"/>
  <c r="S571" i="5"/>
  <c r="S399" i="5"/>
  <c r="S461" i="5"/>
  <c r="S772" i="5"/>
  <c r="S250" i="5"/>
  <c r="S60" i="5"/>
  <c r="S713" i="5"/>
  <c r="S463" i="5"/>
  <c r="S256" i="5"/>
  <c r="S801" i="5"/>
  <c r="S704" i="5"/>
  <c r="S22" i="5"/>
  <c r="S603" i="5"/>
  <c r="S381" i="5"/>
  <c r="S438" i="5"/>
  <c r="S693" i="5"/>
  <c r="S465" i="5"/>
  <c r="S122" i="5"/>
  <c r="S714" i="5"/>
  <c r="S217" i="5"/>
  <c r="S611" i="5"/>
  <c r="S773" i="5"/>
  <c r="S128" i="5"/>
  <c r="S291" i="5"/>
  <c r="S303" i="5"/>
  <c r="S230" i="5"/>
  <c r="S392" i="5"/>
  <c r="S248" i="5"/>
  <c r="S40" i="5"/>
  <c r="S157" i="5"/>
  <c r="S360" i="5"/>
  <c r="S695" i="5"/>
  <c r="S3" i="5"/>
  <c r="S737" i="5"/>
  <c r="S83" i="5"/>
  <c r="S634" i="5"/>
  <c r="S644" i="5"/>
  <c r="S313" i="5"/>
  <c r="S447" i="5"/>
  <c r="S335" i="5"/>
  <c r="S454" i="5"/>
  <c r="S205" i="5"/>
  <c r="T42" i="5"/>
  <c r="T374" i="5"/>
  <c r="T752" i="5"/>
  <c r="T386" i="5"/>
  <c r="T96" i="5"/>
  <c r="T735" i="5"/>
  <c r="T680" i="5"/>
  <c r="T540" i="5"/>
  <c r="T77" i="5"/>
  <c r="T156" i="5"/>
  <c r="T296" i="5"/>
  <c r="T301" i="5"/>
  <c r="T696" i="5"/>
  <c r="T220" i="5"/>
  <c r="T222" i="5"/>
  <c r="T183" i="5"/>
  <c r="T189" i="5"/>
  <c r="T719" i="5"/>
  <c r="T750" i="5"/>
  <c r="T529" i="5"/>
  <c r="T576" i="5"/>
  <c r="T776" i="5"/>
  <c r="T467" i="5"/>
  <c r="T135" i="5"/>
  <c r="T481" i="5"/>
  <c r="T767" i="5"/>
  <c r="T594" i="5"/>
  <c r="T143" i="5"/>
  <c r="T246" i="5"/>
  <c r="T612" i="5"/>
  <c r="T667" i="5"/>
  <c r="T200" i="5"/>
  <c r="T20" i="5"/>
  <c r="T702" i="5"/>
  <c r="T261" i="5"/>
  <c r="T530" i="5"/>
  <c r="T168" i="5"/>
  <c r="T621" i="5"/>
  <c r="T549" i="5"/>
  <c r="T369" i="5"/>
  <c r="T514" i="5"/>
  <c r="T387" i="5"/>
  <c r="T657" i="5"/>
  <c r="T318" i="5"/>
  <c r="T177" i="5"/>
  <c r="T796" i="5"/>
  <c r="T23" i="5"/>
  <c r="T138" i="5"/>
  <c r="T99" i="5"/>
  <c r="T482" i="5"/>
  <c r="T434" i="5"/>
  <c r="T624" i="5"/>
  <c r="T613" i="5"/>
  <c r="T455" i="5"/>
  <c r="T554" i="5"/>
  <c r="T721" i="5"/>
  <c r="T615" i="5"/>
  <c r="T632" i="5"/>
  <c r="T449" i="5"/>
  <c r="T686" i="5"/>
  <c r="T607" i="5"/>
  <c r="T243" i="5"/>
  <c r="T739" i="5"/>
  <c r="T420" i="5"/>
  <c r="T395" i="5"/>
  <c r="T46" i="5"/>
  <c r="T744" i="5"/>
  <c r="T116" i="5"/>
  <c r="T276" i="5"/>
  <c r="T286" i="5"/>
  <c r="T216" i="5"/>
  <c r="T350" i="5"/>
  <c r="T422" i="5"/>
  <c r="T262" i="5"/>
  <c r="T512" i="5"/>
  <c r="T504" i="5"/>
  <c r="T497" i="5"/>
  <c r="T797" i="5"/>
  <c r="T71" i="5"/>
  <c r="T758" i="5"/>
  <c r="T338" i="5"/>
  <c r="T207" i="5"/>
  <c r="T324" i="5"/>
  <c r="T364" i="5"/>
  <c r="T266" i="5"/>
  <c r="T79" i="5"/>
  <c r="T214" i="5"/>
  <c r="T213" i="5"/>
  <c r="T570" i="5"/>
  <c r="T65" i="5"/>
  <c r="T431" i="5"/>
  <c r="T759" i="5"/>
  <c r="T753" i="5"/>
  <c r="T29" i="5"/>
  <c r="T423" i="5"/>
  <c r="T578" i="5"/>
  <c r="T479" i="5"/>
  <c r="T251" i="5"/>
  <c r="T534" i="5"/>
  <c r="T419" i="5"/>
  <c r="T665" i="5"/>
  <c r="T450" i="5"/>
  <c r="T793" i="5"/>
  <c r="T282" i="5"/>
  <c r="T799" i="5"/>
  <c r="T356" i="5"/>
  <c r="T566" i="5"/>
  <c r="T618" i="5"/>
  <c r="T184" i="5"/>
  <c r="T9" i="5"/>
  <c r="T486" i="5"/>
  <c r="T729" i="5"/>
  <c r="T433" i="5"/>
  <c r="T688" i="5"/>
  <c r="T775" i="5"/>
  <c r="T212" i="5"/>
  <c r="T794" i="5"/>
  <c r="T134" i="5"/>
  <c r="T645" i="5"/>
  <c r="T682" i="5"/>
  <c r="T659" i="5"/>
  <c r="T533" i="5"/>
  <c r="T436" i="5"/>
  <c r="T247" i="5"/>
  <c r="T165" i="5"/>
  <c r="T310" i="5"/>
  <c r="T181" i="5"/>
  <c r="T726" i="5"/>
  <c r="T228" i="5"/>
  <c r="T55" i="5"/>
  <c r="T314" i="5"/>
  <c r="T297" i="5"/>
  <c r="T62" i="5"/>
  <c r="T617" i="5"/>
  <c r="T85" i="5"/>
  <c r="T524" i="5"/>
  <c r="T650" i="5"/>
  <c r="T508" i="5"/>
  <c r="T493" i="5"/>
  <c r="T302" i="5"/>
  <c r="T312" i="5"/>
  <c r="T287" i="5"/>
  <c r="T127" i="5"/>
  <c r="T583" i="5"/>
  <c r="T402" i="5"/>
  <c r="T16" i="5"/>
  <c r="T760" i="5"/>
  <c r="T327" i="5"/>
  <c r="T292" i="5"/>
  <c r="T599" i="5"/>
  <c r="T229" i="5"/>
  <c r="T437" i="5"/>
  <c r="T368" i="5"/>
  <c r="T572" i="5"/>
  <c r="T176" i="5"/>
  <c r="T787" i="5"/>
  <c r="T425" i="5"/>
  <c r="T439" i="5"/>
  <c r="T124" i="5"/>
  <c r="T32" i="5"/>
  <c r="T473" i="5"/>
  <c r="T452" i="5"/>
  <c r="T601" i="5"/>
  <c r="T58" i="5"/>
  <c r="T148" i="5"/>
  <c r="T507" i="5"/>
  <c r="T414" i="5"/>
  <c r="T159" i="5"/>
  <c r="T705" i="5"/>
  <c r="T500" i="5"/>
  <c r="T525" i="5"/>
  <c r="T411" i="5"/>
  <c r="T249" i="5"/>
  <c r="T426" i="5"/>
  <c r="T90" i="5"/>
  <c r="T443" i="5"/>
  <c r="T86" i="5"/>
  <c r="T152" i="5"/>
  <c r="T480" i="5"/>
  <c r="T341" i="5"/>
  <c r="T616" i="5"/>
  <c r="T80" i="5"/>
  <c r="T106" i="5"/>
  <c r="T330" i="5"/>
  <c r="T781" i="5"/>
  <c r="T648" i="5"/>
  <c r="T190" i="5"/>
  <c r="T259" i="5"/>
  <c r="T401" i="5"/>
  <c r="T27" i="5"/>
  <c r="T503" i="5"/>
  <c r="T684" i="5"/>
  <c r="T584" i="5"/>
  <c r="T408" i="5"/>
  <c r="T777" i="5"/>
  <c r="T505" i="5"/>
  <c r="T495" i="5"/>
  <c r="T238" i="5"/>
  <c r="T33" i="5"/>
  <c r="T48" i="5"/>
  <c r="T496" i="5"/>
  <c r="T471" i="5"/>
  <c r="T764" i="5"/>
  <c r="T501" i="5"/>
  <c r="T380" i="5"/>
  <c r="T278" i="5"/>
  <c r="T761" i="5"/>
  <c r="T627" i="5"/>
  <c r="T715" i="5"/>
  <c r="T417" i="5"/>
  <c r="T400" i="5"/>
  <c r="T98" i="5"/>
  <c r="T107" i="5"/>
  <c r="T421" i="5"/>
  <c r="T26" i="5"/>
  <c r="T676" i="5"/>
  <c r="T158" i="5"/>
  <c r="T281" i="5"/>
  <c r="T24" i="5"/>
  <c r="T334" i="5"/>
  <c r="T328" i="5"/>
  <c r="T110" i="5"/>
  <c r="T522" i="5"/>
  <c r="T441" i="5"/>
  <c r="T384" i="5"/>
  <c r="T7" i="5"/>
  <c r="T755" i="5"/>
  <c r="T339" i="5"/>
  <c r="T208" i="5"/>
  <c r="T462" i="5"/>
  <c r="T64" i="5"/>
  <c r="T765" i="5"/>
  <c r="T72" i="5"/>
  <c r="T13" i="5"/>
  <c r="T779" i="5"/>
  <c r="T353" i="5"/>
  <c r="T130" i="5"/>
  <c r="T70" i="5"/>
  <c r="T393" i="5"/>
  <c r="T673" i="5"/>
  <c r="T745" i="5"/>
  <c r="T697" i="5"/>
  <c r="T343" i="5"/>
  <c r="T41" i="5"/>
  <c r="T537" i="5"/>
  <c r="T564" i="5"/>
  <c r="T92" i="5"/>
  <c r="T444" i="5"/>
  <c r="T38" i="5"/>
  <c r="T81" i="5"/>
  <c r="T653" i="5"/>
  <c r="T142" i="5"/>
  <c r="T108" i="5"/>
  <c r="T139" i="5"/>
  <c r="T470" i="5"/>
  <c r="T551" i="5"/>
  <c r="T523" i="5"/>
  <c r="T257" i="5"/>
  <c r="T538" i="5"/>
  <c r="T88" i="5"/>
  <c r="T460" i="5"/>
  <c r="T352" i="5"/>
  <c r="T674" i="5"/>
  <c r="T56" i="5"/>
  <c r="T567" i="5"/>
  <c r="T488" i="5"/>
  <c r="T789" i="5"/>
  <c r="T664" i="5"/>
  <c r="T4" i="5"/>
  <c r="T345" i="5"/>
  <c r="T68" i="5"/>
  <c r="T221" i="5"/>
  <c r="T232" i="5"/>
  <c r="T95" i="5"/>
  <c r="T396" i="5"/>
  <c r="T660" i="5"/>
  <c r="T93" i="5"/>
  <c r="T415" i="5"/>
  <c r="T560" i="5"/>
  <c r="T734" i="5"/>
  <c r="T602" i="5"/>
  <c r="T706" i="5"/>
  <c r="T272" i="5"/>
  <c r="T236" i="5"/>
  <c r="T78" i="5"/>
  <c r="T149" i="5"/>
  <c r="T403" i="5"/>
  <c r="T382" i="5"/>
  <c r="T187" i="5"/>
  <c r="T733" i="5"/>
  <c r="T671" i="5"/>
  <c r="T424" i="5"/>
  <c r="T515" i="5"/>
  <c r="T670" i="5"/>
  <c r="T144" i="5"/>
  <c r="T140" i="5"/>
  <c r="T727" i="5"/>
  <c r="T707" i="5"/>
  <c r="T678" i="5"/>
  <c r="T169" i="5"/>
  <c r="T642" i="5"/>
  <c r="T589" i="5"/>
  <c r="T788" i="5"/>
  <c r="T231" i="5"/>
  <c r="T536" i="5"/>
  <c r="T203" i="5"/>
  <c r="T15" i="5"/>
  <c r="T252" i="5"/>
  <c r="T698" i="5"/>
  <c r="T590" i="5"/>
  <c r="T211" i="5"/>
  <c r="T120" i="5"/>
  <c r="T708" i="5"/>
  <c r="T132" i="5"/>
  <c r="T371" i="5"/>
  <c r="T468" i="5"/>
  <c r="T11" i="5"/>
  <c r="T800" i="5"/>
  <c r="T766" i="5"/>
  <c r="T319" i="5"/>
  <c r="T498" i="5"/>
  <c r="T646" i="5"/>
  <c r="T716" i="5"/>
  <c r="T209" i="5"/>
  <c r="T357" i="5"/>
  <c r="T163" i="5"/>
  <c r="T385" i="5"/>
  <c r="T751" i="5"/>
  <c r="T658" i="5"/>
  <c r="T97" i="5"/>
  <c r="T783" i="5"/>
  <c r="T320" i="5"/>
  <c r="T795" i="5"/>
  <c r="T635" i="5"/>
  <c r="T675" i="5"/>
  <c r="T147" i="5"/>
  <c r="T365" i="5"/>
  <c r="T346" i="5"/>
  <c r="T681" i="5"/>
  <c r="T605" i="5"/>
  <c r="T89" i="5"/>
  <c r="T30" i="5"/>
  <c r="T155" i="5"/>
  <c r="T192" i="5"/>
  <c r="T333" i="5"/>
  <c r="T59" i="5"/>
  <c r="T430" i="5"/>
  <c r="T171" i="5"/>
  <c r="T683" i="5"/>
  <c r="T336" i="5"/>
  <c r="T73" i="5"/>
  <c r="T552" i="5"/>
  <c r="T699" i="5"/>
  <c r="T12" i="5"/>
  <c r="T770" i="5"/>
  <c r="T563" i="5"/>
  <c r="T639" i="5"/>
  <c r="T456" i="5"/>
  <c r="T273" i="5"/>
  <c r="T372" i="5"/>
  <c r="T718" i="5"/>
  <c r="T651" i="5"/>
  <c r="T255" i="5"/>
  <c r="T289" i="5"/>
  <c r="T562" i="5"/>
  <c r="T44" i="5"/>
  <c r="T45" i="5"/>
  <c r="T194" i="5"/>
  <c r="T409" i="5"/>
  <c r="T226" i="5"/>
  <c r="T748" i="5"/>
  <c r="T656" i="5"/>
  <c r="T628" i="5"/>
  <c r="T195" i="5"/>
  <c r="T746" i="5"/>
  <c r="T366" i="5"/>
  <c r="T264" i="5"/>
  <c r="T558" i="5"/>
  <c r="T145" i="5"/>
  <c r="T160" i="5"/>
  <c r="T790" i="5"/>
  <c r="T633" i="5"/>
  <c r="T406" i="5"/>
  <c r="T321" i="5"/>
  <c r="T757" i="5"/>
  <c r="T388" i="5"/>
  <c r="T677" i="5"/>
  <c r="T50" i="5"/>
  <c r="T588" i="5"/>
  <c r="T459" i="5"/>
  <c r="T153" i="5"/>
  <c r="T661" i="5"/>
  <c r="T738" i="5"/>
  <c r="T791" i="5"/>
  <c r="T188" i="5"/>
  <c r="T331" i="5"/>
  <c r="T28" i="5"/>
  <c r="T428" i="5"/>
  <c r="T53" i="5"/>
  <c r="T730" i="5"/>
  <c r="T476" i="5"/>
  <c r="T154" i="5"/>
  <c r="T284" i="5"/>
  <c r="T225" i="5"/>
  <c r="T67" i="5"/>
  <c r="T69" i="5"/>
  <c r="T111" i="5"/>
  <c r="T553" i="5"/>
  <c r="T595" i="5"/>
  <c r="T125" i="5"/>
  <c r="T416" i="5"/>
  <c r="T509" i="5"/>
  <c r="T546" i="5"/>
  <c r="T608" i="5"/>
  <c r="T636" i="5"/>
  <c r="T600" i="5"/>
  <c r="T117" i="5"/>
  <c r="T700" i="5"/>
  <c r="T63" i="5"/>
  <c r="T782" i="5"/>
  <c r="T191" i="5"/>
  <c r="T610" i="5"/>
  <c r="T535" i="5"/>
  <c r="T492" i="5"/>
  <c r="T344" i="5"/>
  <c r="T432" i="5"/>
  <c r="T453" i="5"/>
  <c r="T359" i="5"/>
  <c r="T166" i="5"/>
  <c r="T389" i="5"/>
  <c r="T573" i="5"/>
  <c r="T629" i="5"/>
  <c r="T640" i="5"/>
  <c r="T375" i="5"/>
  <c r="T527" i="5"/>
  <c r="T689" i="5"/>
  <c r="T137" i="5"/>
  <c r="T768" i="5"/>
  <c r="T597" i="5"/>
  <c r="T325" i="5"/>
  <c r="T577" i="5"/>
  <c r="T756" i="5"/>
  <c r="T167" i="5"/>
  <c r="T654" i="5"/>
  <c r="T531" i="5"/>
  <c r="T164" i="5"/>
  <c r="T311" i="5"/>
  <c r="T445" i="5"/>
  <c r="T279" i="5"/>
  <c r="T10" i="5"/>
  <c r="T547" i="5"/>
  <c r="T25" i="5"/>
  <c r="T74" i="5"/>
  <c r="T418" i="5"/>
  <c r="T36" i="5"/>
  <c r="T442" i="5"/>
  <c r="T54" i="5"/>
  <c r="T518" i="5"/>
  <c r="T398" i="5"/>
  <c r="T598" i="5"/>
  <c r="T270" i="5"/>
  <c r="T448" i="5"/>
  <c r="T592" i="5"/>
  <c r="T136" i="5"/>
  <c r="T580" i="5"/>
  <c r="T581" i="5"/>
  <c r="T126" i="5"/>
  <c r="T204" i="5"/>
  <c r="T373" i="5"/>
  <c r="T579" i="5"/>
  <c r="T199" i="5"/>
  <c r="T354" i="5"/>
  <c r="T526" i="5"/>
  <c r="T625" i="5"/>
  <c r="T724" i="5"/>
  <c r="T267" i="5"/>
  <c r="T785" i="5"/>
  <c r="T519" i="5"/>
  <c r="T685" i="5"/>
  <c r="T31" i="5"/>
  <c r="T18" i="5"/>
  <c r="T299" i="5"/>
  <c r="T550" i="5"/>
  <c r="T240" i="5"/>
  <c r="T709" i="5"/>
  <c r="T6" i="5"/>
  <c r="T21" i="5"/>
  <c r="T235" i="5"/>
  <c r="T499" i="5"/>
  <c r="T722" i="5"/>
  <c r="T224" i="5"/>
  <c r="T690" i="5"/>
  <c r="T307" i="5"/>
  <c r="T308" i="5"/>
  <c r="T49" i="5"/>
  <c r="T185" i="5"/>
  <c r="T340" i="5"/>
  <c r="T585" i="5"/>
  <c r="T555" i="5"/>
  <c r="T367" i="5"/>
  <c r="T146" i="5"/>
  <c r="T315" i="5"/>
  <c r="T749" i="5"/>
  <c r="T451" i="5"/>
  <c r="T376" i="5"/>
  <c r="T641" i="5"/>
  <c r="T542" i="5"/>
  <c r="T102" i="5"/>
  <c r="T516" i="5"/>
  <c r="T342" i="5"/>
  <c r="T609" i="5"/>
  <c r="T274" i="5"/>
  <c r="T798" i="5"/>
  <c r="T517" i="5"/>
  <c r="T763" i="5"/>
  <c r="T502" i="5"/>
  <c r="T717" i="5"/>
  <c r="T489" i="5"/>
  <c r="T241" i="5"/>
  <c r="T720" i="5"/>
  <c r="T151" i="5"/>
  <c r="T614" i="5"/>
  <c r="T762" i="5"/>
  <c r="T94" i="5"/>
  <c r="T133" i="5"/>
  <c r="T475" i="5"/>
  <c r="T162" i="5"/>
  <c r="T774" i="5"/>
  <c r="T740" i="5"/>
  <c r="T114" i="5"/>
  <c r="T361" i="5"/>
  <c r="T513" i="5"/>
  <c r="T5" i="5"/>
  <c r="T630" i="5"/>
  <c r="T543" i="5"/>
  <c r="T559" i="5"/>
  <c r="T269" i="5"/>
  <c r="T8" i="5"/>
  <c r="T2" i="5"/>
  <c r="T35" i="5"/>
  <c r="T265" i="5"/>
  <c r="T638" i="5"/>
  <c r="T271" i="5"/>
  <c r="T511" i="5"/>
  <c r="T280" i="5"/>
  <c r="T728" i="5"/>
  <c r="T141" i="5"/>
  <c r="T283" i="5"/>
  <c r="T103" i="5"/>
  <c r="T193" i="5"/>
  <c r="T47" i="5"/>
  <c r="T61" i="5"/>
  <c r="T568" i="5"/>
  <c r="T586" i="5"/>
  <c r="T647" i="5"/>
  <c r="T337" i="5"/>
  <c r="T109" i="5"/>
  <c r="T268" i="5"/>
  <c r="T604" i="5"/>
  <c r="T66" i="5"/>
  <c r="T394" i="5"/>
  <c r="T741" i="5"/>
  <c r="T666" i="5"/>
  <c r="T596" i="5"/>
  <c r="T253" i="5"/>
  <c r="T14" i="5"/>
  <c r="T351" i="5"/>
  <c r="T348" i="5"/>
  <c r="T484" i="5"/>
  <c r="T754" i="5"/>
  <c r="T294" i="5"/>
  <c r="T622" i="5"/>
  <c r="T84" i="5"/>
  <c r="T349" i="5"/>
  <c r="T412" i="5"/>
  <c r="T150" i="5"/>
  <c r="T17" i="5"/>
  <c r="T736" i="5"/>
  <c r="T723" i="5"/>
  <c r="T429" i="5"/>
  <c r="T458" i="5"/>
  <c r="T575" i="5"/>
  <c r="T131" i="5"/>
  <c r="T113" i="5"/>
  <c r="T435" i="5"/>
  <c r="T457" i="5"/>
  <c r="T258" i="5"/>
  <c r="T206" i="5"/>
  <c r="T201" i="5"/>
  <c r="T404" i="5"/>
  <c r="T326" i="5"/>
  <c r="T196" i="5"/>
  <c r="T668" i="5"/>
  <c r="T100" i="5"/>
  <c r="T39" i="5"/>
  <c r="T363" i="5"/>
  <c r="T440" i="5"/>
  <c r="T295" i="5"/>
  <c r="T652" i="5"/>
  <c r="T57" i="5"/>
  <c r="T786" i="5"/>
  <c r="T637" i="5"/>
  <c r="T491" i="5"/>
  <c r="T623" i="5"/>
  <c r="T175" i="5"/>
  <c r="T691" i="5"/>
  <c r="T180" i="5"/>
  <c r="T378" i="5"/>
  <c r="T485" i="5"/>
  <c r="T293" i="5"/>
  <c r="T557" i="5"/>
  <c r="T161" i="5"/>
  <c r="T34" i="5"/>
  <c r="T405" i="5"/>
  <c r="T182" i="5"/>
  <c r="T687" i="5"/>
  <c r="T413" i="5"/>
  <c r="T643" i="5"/>
  <c r="T474" i="5"/>
  <c r="T620" i="5"/>
  <c r="T285" i="5"/>
  <c r="T410" i="5"/>
  <c r="T129" i="5"/>
  <c r="T304" i="5"/>
  <c r="T174" i="5"/>
  <c r="T101" i="5"/>
  <c r="T792" i="5"/>
  <c r="T769" i="5"/>
  <c r="T379" i="5"/>
  <c r="T390" i="5"/>
  <c r="T544" i="5"/>
  <c r="T477" i="5"/>
  <c r="T104" i="5"/>
  <c r="T239" i="5"/>
  <c r="T244" i="5"/>
  <c r="T288" i="5"/>
  <c r="T649" i="5"/>
  <c r="T82" i="5"/>
  <c r="T742" i="5"/>
  <c r="T587" i="5"/>
  <c r="T118" i="5"/>
  <c r="T483" i="5"/>
  <c r="T669" i="5"/>
  <c r="T75" i="5"/>
  <c r="T521" i="5"/>
  <c r="T582" i="5"/>
  <c r="T539" i="5"/>
  <c r="T329" i="5"/>
  <c r="T548" i="5"/>
  <c r="T263" i="5"/>
  <c r="T290" i="5"/>
  <c r="T574" i="5"/>
  <c r="T37" i="5"/>
  <c r="T51" i="5"/>
  <c r="T317" i="5"/>
  <c r="T778" i="5"/>
  <c r="T569" i="5"/>
  <c r="T370" i="5"/>
  <c r="T506" i="5"/>
  <c r="T469" i="5"/>
  <c r="T223" i="5"/>
  <c r="T237" i="5"/>
  <c r="T277" i="5"/>
  <c r="T662" i="5"/>
  <c r="T87" i="5"/>
  <c r="T510" i="5"/>
  <c r="T76" i="5"/>
  <c r="T619" i="5"/>
  <c r="T703" i="5"/>
  <c r="T711" i="5"/>
  <c r="T712" i="5"/>
  <c r="T606" i="5"/>
  <c r="T91" i="5"/>
  <c r="T391" i="5"/>
  <c r="T520" i="5"/>
  <c r="T358" i="5"/>
  <c r="T234" i="5"/>
  <c r="T407" i="5"/>
  <c r="T771" i="5"/>
  <c r="T464" i="5"/>
  <c r="T545" i="5"/>
  <c r="T322" i="5"/>
  <c r="T245" i="5"/>
  <c r="T731" i="5"/>
  <c r="T275" i="5"/>
  <c r="T305" i="5"/>
  <c r="T377" i="5"/>
  <c r="T197" i="5"/>
  <c r="T298" i="5"/>
  <c r="T494" i="5"/>
  <c r="T123" i="5"/>
  <c r="T565" i="5"/>
  <c r="T780" i="5"/>
  <c r="T466" i="5"/>
  <c r="T309" i="5"/>
  <c r="T556" i="5"/>
  <c r="T186" i="5"/>
  <c r="T355" i="5"/>
  <c r="T694" i="5"/>
  <c r="T362" i="5"/>
  <c r="T19" i="5"/>
  <c r="T472" i="5"/>
  <c r="T784" i="5"/>
  <c r="T219" i="5"/>
  <c r="T173" i="5"/>
  <c r="T692" i="5"/>
  <c r="T701" i="5"/>
  <c r="T306" i="5"/>
  <c r="T202" i="5"/>
  <c r="T593" i="5"/>
  <c r="T725" i="5"/>
  <c r="T172" i="5"/>
  <c r="T655" i="5"/>
  <c r="T532" i="5"/>
  <c r="T170" i="5"/>
  <c r="T105" i="5"/>
  <c r="T260" i="5"/>
  <c r="T591" i="5"/>
  <c r="T710" i="5"/>
  <c r="T119" i="5"/>
  <c r="T112" i="5"/>
  <c r="T115" i="5"/>
  <c r="T561" i="5"/>
  <c r="T541" i="5"/>
  <c r="T397" i="5"/>
  <c r="T121" i="5"/>
  <c r="T487" i="5"/>
  <c r="T347" i="5"/>
  <c r="T631" i="5"/>
  <c r="T528" i="5"/>
  <c r="T446" i="5"/>
  <c r="T316" i="5"/>
  <c r="T323" i="5"/>
  <c r="T383" i="5"/>
  <c r="T478" i="5"/>
  <c r="T179" i="5"/>
  <c r="T672" i="5"/>
  <c r="T254" i="5"/>
  <c r="T743" i="5"/>
  <c r="T198" i="5"/>
  <c r="T679" i="5"/>
  <c r="T43" i="5"/>
  <c r="T747" i="5"/>
  <c r="T427" i="5"/>
  <c r="T227" i="5"/>
  <c r="T210" i="5"/>
  <c r="T218" i="5"/>
  <c r="T215" i="5"/>
  <c r="T242" i="5"/>
  <c r="T178" i="5"/>
  <c r="T300" i="5"/>
  <c r="T332" i="5"/>
  <c r="T52" i="5"/>
  <c r="T663" i="5"/>
  <c r="T233" i="5"/>
  <c r="T626" i="5"/>
  <c r="T490" i="5"/>
  <c r="T732" i="5"/>
  <c r="T571" i="5"/>
  <c r="T399" i="5"/>
  <c r="T461" i="5"/>
  <c r="T772" i="5"/>
  <c r="T250" i="5"/>
  <c r="T60" i="5"/>
  <c r="T713" i="5"/>
  <c r="T463" i="5"/>
  <c r="T256" i="5"/>
  <c r="T801" i="5"/>
  <c r="T704" i="5"/>
  <c r="T22" i="5"/>
  <c r="T603" i="5"/>
  <c r="T381" i="5"/>
  <c r="T438" i="5"/>
  <c r="T693" i="5"/>
  <c r="T465" i="5"/>
  <c r="T122" i="5"/>
  <c r="T714" i="5"/>
  <c r="T217" i="5"/>
  <c r="T611" i="5"/>
  <c r="T773" i="5"/>
  <c r="T128" i="5"/>
  <c r="T291" i="5"/>
  <c r="T303" i="5"/>
  <c r="T230" i="5"/>
  <c r="T392" i="5"/>
  <c r="T248" i="5"/>
  <c r="T40" i="5"/>
  <c r="T157" i="5"/>
  <c r="T360" i="5"/>
  <c r="T695" i="5"/>
  <c r="T3" i="5"/>
  <c r="T737" i="5"/>
  <c r="T83" i="5"/>
  <c r="T634" i="5"/>
  <c r="T644" i="5"/>
  <c r="T313" i="5"/>
  <c r="T447" i="5"/>
  <c r="T335" i="5"/>
  <c r="T454" i="5"/>
  <c r="T205" i="5"/>
  <c r="U42" i="5"/>
  <c r="U374" i="5"/>
  <c r="U752" i="5"/>
  <c r="U386" i="5"/>
  <c r="U96" i="5"/>
  <c r="U735" i="5"/>
  <c r="U680" i="5"/>
  <c r="U540" i="5"/>
  <c r="U77" i="5"/>
  <c r="U156" i="5"/>
  <c r="U296" i="5"/>
  <c r="U301" i="5"/>
  <c r="U696" i="5"/>
  <c r="U220" i="5"/>
  <c r="U222" i="5"/>
  <c r="U183" i="5"/>
  <c r="U189" i="5"/>
  <c r="U719" i="5"/>
  <c r="U750" i="5"/>
  <c r="U529" i="5"/>
  <c r="U576" i="5"/>
  <c r="U776" i="5"/>
  <c r="U467" i="5"/>
  <c r="U135" i="5"/>
  <c r="U481" i="5"/>
  <c r="U767" i="5"/>
  <c r="U594" i="5"/>
  <c r="U143" i="5"/>
  <c r="U246" i="5"/>
  <c r="U612" i="5"/>
  <c r="U667" i="5"/>
  <c r="U200" i="5"/>
  <c r="U20" i="5"/>
  <c r="U702" i="5"/>
  <c r="U261" i="5"/>
  <c r="U530" i="5"/>
  <c r="U168" i="5"/>
  <c r="U621" i="5"/>
  <c r="U549" i="5"/>
  <c r="U369" i="5"/>
  <c r="U514" i="5"/>
  <c r="U387" i="5"/>
  <c r="U657" i="5"/>
  <c r="U318" i="5"/>
  <c r="U177" i="5"/>
  <c r="U796" i="5"/>
  <c r="U23" i="5"/>
  <c r="U138" i="5"/>
  <c r="U99" i="5"/>
  <c r="U482" i="5"/>
  <c r="U434" i="5"/>
  <c r="U624" i="5"/>
  <c r="U613" i="5"/>
  <c r="U455" i="5"/>
  <c r="U554" i="5"/>
  <c r="U721" i="5"/>
  <c r="U615" i="5"/>
  <c r="U632" i="5"/>
  <c r="U449" i="5"/>
  <c r="U686" i="5"/>
  <c r="U607" i="5"/>
  <c r="U243" i="5"/>
  <c r="U739" i="5"/>
  <c r="U420" i="5"/>
  <c r="U395" i="5"/>
  <c r="U46" i="5"/>
  <c r="U744" i="5"/>
  <c r="U116" i="5"/>
  <c r="U276" i="5"/>
  <c r="U286" i="5"/>
  <c r="U216" i="5"/>
  <c r="U350" i="5"/>
  <c r="U422" i="5"/>
  <c r="U262" i="5"/>
  <c r="U512" i="5"/>
  <c r="U504" i="5"/>
  <c r="U497" i="5"/>
  <c r="U797" i="5"/>
  <c r="U71" i="5"/>
  <c r="U758" i="5"/>
  <c r="U338" i="5"/>
  <c r="U207" i="5"/>
  <c r="U324" i="5"/>
  <c r="U364" i="5"/>
  <c r="U266" i="5"/>
  <c r="U79" i="5"/>
  <c r="U214" i="5"/>
  <c r="U213" i="5"/>
  <c r="U570" i="5"/>
  <c r="U65" i="5"/>
  <c r="U431" i="5"/>
  <c r="U759" i="5"/>
  <c r="U753" i="5"/>
  <c r="U29" i="5"/>
  <c r="U423" i="5"/>
  <c r="U578" i="5"/>
  <c r="U479" i="5"/>
  <c r="U251" i="5"/>
  <c r="U534" i="5"/>
  <c r="U419" i="5"/>
  <c r="U665" i="5"/>
  <c r="U450" i="5"/>
  <c r="U793" i="5"/>
  <c r="U282" i="5"/>
  <c r="U799" i="5"/>
  <c r="U356" i="5"/>
  <c r="U566" i="5"/>
  <c r="U618" i="5"/>
  <c r="U184" i="5"/>
  <c r="U9" i="5"/>
  <c r="U486" i="5"/>
  <c r="U729" i="5"/>
  <c r="U433" i="5"/>
  <c r="U688" i="5"/>
  <c r="U775" i="5"/>
  <c r="U212" i="5"/>
  <c r="U794" i="5"/>
  <c r="U134" i="5"/>
  <c r="U645" i="5"/>
  <c r="U682" i="5"/>
  <c r="U659" i="5"/>
  <c r="U533" i="5"/>
  <c r="U436" i="5"/>
  <c r="U247" i="5"/>
  <c r="U165" i="5"/>
  <c r="U310" i="5"/>
  <c r="U181" i="5"/>
  <c r="U726" i="5"/>
  <c r="U228" i="5"/>
  <c r="U55" i="5"/>
  <c r="U314" i="5"/>
  <c r="U297" i="5"/>
  <c r="U62" i="5"/>
  <c r="U617" i="5"/>
  <c r="U85" i="5"/>
  <c r="U524" i="5"/>
  <c r="U650" i="5"/>
  <c r="U508" i="5"/>
  <c r="U493" i="5"/>
  <c r="U302" i="5"/>
  <c r="U312" i="5"/>
  <c r="U287" i="5"/>
  <c r="U127" i="5"/>
  <c r="U583" i="5"/>
  <c r="U402" i="5"/>
  <c r="U16" i="5"/>
  <c r="U760" i="5"/>
  <c r="U327" i="5"/>
  <c r="U292" i="5"/>
  <c r="U599" i="5"/>
  <c r="U229" i="5"/>
  <c r="U437" i="5"/>
  <c r="U368" i="5"/>
  <c r="U572" i="5"/>
  <c r="U176" i="5"/>
  <c r="U787" i="5"/>
  <c r="U425" i="5"/>
  <c r="U439" i="5"/>
  <c r="U124" i="5"/>
  <c r="U32" i="5"/>
  <c r="U473" i="5"/>
  <c r="U452" i="5"/>
  <c r="U601" i="5"/>
  <c r="U58" i="5"/>
  <c r="U148" i="5"/>
  <c r="U507" i="5"/>
  <c r="U414" i="5"/>
  <c r="U159" i="5"/>
  <c r="U705" i="5"/>
  <c r="U500" i="5"/>
  <c r="U525" i="5"/>
  <c r="U411" i="5"/>
  <c r="U249" i="5"/>
  <c r="U426" i="5"/>
  <c r="U90" i="5"/>
  <c r="U443" i="5"/>
  <c r="U86" i="5"/>
  <c r="U152" i="5"/>
  <c r="U480" i="5"/>
  <c r="U341" i="5"/>
  <c r="U616" i="5"/>
  <c r="U80" i="5"/>
  <c r="U106" i="5"/>
  <c r="U330" i="5"/>
  <c r="U781" i="5"/>
  <c r="U648" i="5"/>
  <c r="U190" i="5"/>
  <c r="U259" i="5"/>
  <c r="U401" i="5"/>
  <c r="U27" i="5"/>
  <c r="U503" i="5"/>
  <c r="U684" i="5"/>
  <c r="U584" i="5"/>
  <c r="U408" i="5"/>
  <c r="U777" i="5"/>
  <c r="U505" i="5"/>
  <c r="U495" i="5"/>
  <c r="U238" i="5"/>
  <c r="U33" i="5"/>
  <c r="U48" i="5"/>
  <c r="U496" i="5"/>
  <c r="U471" i="5"/>
  <c r="U764" i="5"/>
  <c r="U501" i="5"/>
  <c r="U380" i="5"/>
  <c r="U278" i="5"/>
  <c r="U761" i="5"/>
  <c r="U627" i="5"/>
  <c r="U715" i="5"/>
  <c r="U417" i="5"/>
  <c r="U400" i="5"/>
  <c r="U98" i="5"/>
  <c r="U107" i="5"/>
  <c r="U421" i="5"/>
  <c r="U26" i="5"/>
  <c r="U676" i="5"/>
  <c r="U158" i="5"/>
  <c r="U281" i="5"/>
  <c r="U24" i="5"/>
  <c r="U334" i="5"/>
  <c r="U328" i="5"/>
  <c r="U110" i="5"/>
  <c r="U522" i="5"/>
  <c r="U441" i="5"/>
  <c r="U384" i="5"/>
  <c r="U7" i="5"/>
  <c r="U755" i="5"/>
  <c r="U339" i="5"/>
  <c r="U208" i="5"/>
  <c r="U462" i="5"/>
  <c r="U64" i="5"/>
  <c r="U765" i="5"/>
  <c r="U72" i="5"/>
  <c r="U13" i="5"/>
  <c r="U779" i="5"/>
  <c r="U353" i="5"/>
  <c r="U130" i="5"/>
  <c r="U70" i="5"/>
  <c r="U393" i="5"/>
  <c r="U673" i="5"/>
  <c r="U745" i="5"/>
  <c r="U697" i="5"/>
  <c r="U343" i="5"/>
  <c r="U41" i="5"/>
  <c r="U537" i="5"/>
  <c r="U564" i="5"/>
  <c r="U92" i="5"/>
  <c r="U444" i="5"/>
  <c r="U38" i="5"/>
  <c r="U81" i="5"/>
  <c r="U653" i="5"/>
  <c r="U142" i="5"/>
  <c r="U108" i="5"/>
  <c r="U139" i="5"/>
  <c r="U470" i="5"/>
  <c r="U551" i="5"/>
  <c r="U523" i="5"/>
  <c r="U257" i="5"/>
  <c r="U538" i="5"/>
  <c r="U88" i="5"/>
  <c r="U460" i="5"/>
  <c r="U352" i="5"/>
  <c r="U674" i="5"/>
  <c r="U56" i="5"/>
  <c r="U567" i="5"/>
  <c r="U488" i="5"/>
  <c r="U789" i="5"/>
  <c r="U664" i="5"/>
  <c r="U4" i="5"/>
  <c r="U345" i="5"/>
  <c r="U68" i="5"/>
  <c r="U221" i="5"/>
  <c r="U232" i="5"/>
  <c r="U95" i="5"/>
  <c r="U396" i="5"/>
  <c r="U660" i="5"/>
  <c r="U93" i="5"/>
  <c r="U415" i="5"/>
  <c r="U560" i="5"/>
  <c r="U734" i="5"/>
  <c r="U602" i="5"/>
  <c r="U706" i="5"/>
  <c r="U272" i="5"/>
  <c r="U236" i="5"/>
  <c r="U78" i="5"/>
  <c r="U149" i="5"/>
  <c r="U403" i="5"/>
  <c r="U382" i="5"/>
  <c r="U187" i="5"/>
  <c r="U733" i="5"/>
  <c r="U671" i="5"/>
  <c r="U424" i="5"/>
  <c r="U515" i="5"/>
  <c r="U670" i="5"/>
  <c r="U144" i="5"/>
  <c r="U140" i="5"/>
  <c r="U727" i="5"/>
  <c r="U707" i="5"/>
  <c r="U678" i="5"/>
  <c r="U169" i="5"/>
  <c r="U642" i="5"/>
  <c r="U589" i="5"/>
  <c r="U788" i="5"/>
  <c r="U231" i="5"/>
  <c r="U536" i="5"/>
  <c r="U203" i="5"/>
  <c r="U15" i="5"/>
  <c r="U252" i="5"/>
  <c r="U698" i="5"/>
  <c r="U590" i="5"/>
  <c r="U211" i="5"/>
  <c r="U120" i="5"/>
  <c r="U708" i="5"/>
  <c r="U132" i="5"/>
  <c r="U371" i="5"/>
  <c r="U468" i="5"/>
  <c r="U11" i="5"/>
  <c r="U800" i="5"/>
  <c r="U766" i="5"/>
  <c r="U319" i="5"/>
  <c r="U498" i="5"/>
  <c r="U646" i="5"/>
  <c r="U716" i="5"/>
  <c r="U209" i="5"/>
  <c r="U357" i="5"/>
  <c r="U163" i="5"/>
  <c r="U385" i="5"/>
  <c r="U751" i="5"/>
  <c r="U658" i="5"/>
  <c r="U97" i="5"/>
  <c r="U783" i="5"/>
  <c r="U320" i="5"/>
  <c r="U795" i="5"/>
  <c r="U635" i="5"/>
  <c r="U675" i="5"/>
  <c r="U147" i="5"/>
  <c r="U365" i="5"/>
  <c r="U346" i="5"/>
  <c r="U681" i="5"/>
  <c r="U605" i="5"/>
  <c r="U89" i="5"/>
  <c r="U30" i="5"/>
  <c r="U155" i="5"/>
  <c r="U192" i="5"/>
  <c r="U333" i="5"/>
  <c r="U59" i="5"/>
  <c r="U430" i="5"/>
  <c r="U171" i="5"/>
  <c r="U683" i="5"/>
  <c r="U336" i="5"/>
  <c r="U73" i="5"/>
  <c r="U552" i="5"/>
  <c r="U699" i="5"/>
  <c r="U12" i="5"/>
  <c r="U770" i="5"/>
  <c r="U563" i="5"/>
  <c r="U639" i="5"/>
  <c r="U456" i="5"/>
  <c r="U273" i="5"/>
  <c r="U372" i="5"/>
  <c r="U718" i="5"/>
  <c r="U651" i="5"/>
  <c r="U255" i="5"/>
  <c r="U289" i="5"/>
  <c r="U562" i="5"/>
  <c r="U44" i="5"/>
  <c r="U45" i="5"/>
  <c r="U194" i="5"/>
  <c r="U409" i="5"/>
  <c r="U226" i="5"/>
  <c r="U748" i="5"/>
  <c r="U656" i="5"/>
  <c r="U628" i="5"/>
  <c r="U195" i="5"/>
  <c r="U746" i="5"/>
  <c r="U366" i="5"/>
  <c r="U264" i="5"/>
  <c r="U558" i="5"/>
  <c r="U145" i="5"/>
  <c r="U160" i="5"/>
  <c r="U790" i="5"/>
  <c r="U633" i="5"/>
  <c r="U406" i="5"/>
  <c r="U321" i="5"/>
  <c r="U757" i="5"/>
  <c r="U388" i="5"/>
  <c r="U677" i="5"/>
  <c r="U50" i="5"/>
  <c r="U588" i="5"/>
  <c r="U459" i="5"/>
  <c r="U153" i="5"/>
  <c r="U661" i="5"/>
  <c r="U738" i="5"/>
  <c r="U791" i="5"/>
  <c r="U188" i="5"/>
  <c r="U331" i="5"/>
  <c r="U28" i="5"/>
  <c r="U428" i="5"/>
  <c r="U53" i="5"/>
  <c r="U730" i="5"/>
  <c r="U476" i="5"/>
  <c r="U154" i="5"/>
  <c r="U284" i="5"/>
  <c r="U225" i="5"/>
  <c r="U67" i="5"/>
  <c r="U69" i="5"/>
  <c r="U111" i="5"/>
  <c r="U553" i="5"/>
  <c r="U595" i="5"/>
  <c r="U125" i="5"/>
  <c r="U416" i="5"/>
  <c r="U509" i="5"/>
  <c r="U546" i="5"/>
  <c r="U608" i="5"/>
  <c r="U636" i="5"/>
  <c r="U600" i="5"/>
  <c r="U117" i="5"/>
  <c r="U700" i="5"/>
  <c r="U63" i="5"/>
  <c r="U782" i="5"/>
  <c r="U191" i="5"/>
  <c r="U610" i="5"/>
  <c r="U535" i="5"/>
  <c r="U492" i="5"/>
  <c r="U344" i="5"/>
  <c r="U432" i="5"/>
  <c r="U453" i="5"/>
  <c r="U359" i="5"/>
  <c r="U166" i="5"/>
  <c r="U389" i="5"/>
  <c r="U573" i="5"/>
  <c r="U629" i="5"/>
  <c r="U640" i="5"/>
  <c r="U375" i="5"/>
  <c r="U527" i="5"/>
  <c r="U689" i="5"/>
  <c r="U137" i="5"/>
  <c r="U768" i="5"/>
  <c r="U597" i="5"/>
  <c r="U325" i="5"/>
  <c r="U577" i="5"/>
  <c r="U756" i="5"/>
  <c r="U167" i="5"/>
  <c r="U654" i="5"/>
  <c r="U531" i="5"/>
  <c r="U164" i="5"/>
  <c r="U311" i="5"/>
  <c r="U445" i="5"/>
  <c r="U279" i="5"/>
  <c r="U10" i="5"/>
  <c r="U547" i="5"/>
  <c r="U25" i="5"/>
  <c r="U74" i="5"/>
  <c r="U418" i="5"/>
  <c r="U36" i="5"/>
  <c r="U442" i="5"/>
  <c r="U54" i="5"/>
  <c r="U518" i="5"/>
  <c r="U398" i="5"/>
  <c r="U598" i="5"/>
  <c r="U270" i="5"/>
  <c r="U448" i="5"/>
  <c r="U592" i="5"/>
  <c r="U136" i="5"/>
  <c r="U580" i="5"/>
  <c r="U581" i="5"/>
  <c r="U126" i="5"/>
  <c r="U204" i="5"/>
  <c r="U373" i="5"/>
  <c r="U579" i="5"/>
  <c r="U199" i="5"/>
  <c r="U354" i="5"/>
  <c r="U526" i="5"/>
  <c r="U625" i="5"/>
  <c r="U724" i="5"/>
  <c r="U267" i="5"/>
  <c r="U785" i="5"/>
  <c r="U519" i="5"/>
  <c r="U685" i="5"/>
  <c r="U31" i="5"/>
  <c r="U18" i="5"/>
  <c r="U299" i="5"/>
  <c r="U550" i="5"/>
  <c r="U240" i="5"/>
  <c r="U709" i="5"/>
  <c r="U6" i="5"/>
  <c r="U21" i="5"/>
  <c r="U235" i="5"/>
  <c r="U499" i="5"/>
  <c r="U722" i="5"/>
  <c r="U224" i="5"/>
  <c r="U690" i="5"/>
  <c r="U307" i="5"/>
  <c r="U308" i="5"/>
  <c r="U49" i="5"/>
  <c r="U185" i="5"/>
  <c r="U340" i="5"/>
  <c r="U585" i="5"/>
  <c r="U555" i="5"/>
  <c r="U367" i="5"/>
  <c r="U146" i="5"/>
  <c r="U315" i="5"/>
  <c r="U749" i="5"/>
  <c r="U451" i="5"/>
  <c r="U376" i="5"/>
  <c r="U641" i="5"/>
  <c r="U542" i="5"/>
  <c r="U102" i="5"/>
  <c r="U516" i="5"/>
  <c r="U342" i="5"/>
  <c r="U609" i="5"/>
  <c r="U274" i="5"/>
  <c r="U798" i="5"/>
  <c r="U517" i="5"/>
  <c r="U763" i="5"/>
  <c r="U502" i="5"/>
  <c r="U717" i="5"/>
  <c r="U489" i="5"/>
  <c r="U241" i="5"/>
  <c r="U720" i="5"/>
  <c r="U151" i="5"/>
  <c r="U614" i="5"/>
  <c r="U762" i="5"/>
  <c r="U94" i="5"/>
  <c r="U133" i="5"/>
  <c r="U475" i="5"/>
  <c r="U162" i="5"/>
  <c r="U774" i="5"/>
  <c r="U740" i="5"/>
  <c r="U114" i="5"/>
  <c r="U361" i="5"/>
  <c r="U513" i="5"/>
  <c r="U5" i="5"/>
  <c r="U630" i="5"/>
  <c r="U543" i="5"/>
  <c r="U559" i="5"/>
  <c r="U269" i="5"/>
  <c r="U8" i="5"/>
  <c r="U2" i="5"/>
  <c r="U35" i="5"/>
  <c r="U265" i="5"/>
  <c r="U638" i="5"/>
  <c r="U271" i="5"/>
  <c r="U511" i="5"/>
  <c r="U280" i="5"/>
  <c r="U728" i="5"/>
  <c r="U141" i="5"/>
  <c r="U283" i="5"/>
  <c r="U103" i="5"/>
  <c r="U193" i="5"/>
  <c r="U47" i="5"/>
  <c r="U61" i="5"/>
  <c r="U568" i="5"/>
  <c r="U586" i="5"/>
  <c r="U647" i="5"/>
  <c r="U337" i="5"/>
  <c r="U109" i="5"/>
  <c r="U268" i="5"/>
  <c r="U604" i="5"/>
  <c r="U66" i="5"/>
  <c r="U394" i="5"/>
  <c r="U741" i="5"/>
  <c r="U666" i="5"/>
  <c r="U596" i="5"/>
  <c r="U253" i="5"/>
  <c r="U14" i="5"/>
  <c r="U351" i="5"/>
  <c r="U348" i="5"/>
  <c r="U484" i="5"/>
  <c r="U754" i="5"/>
  <c r="U294" i="5"/>
  <c r="U622" i="5"/>
  <c r="U84" i="5"/>
  <c r="U349" i="5"/>
  <c r="U412" i="5"/>
  <c r="U150" i="5"/>
  <c r="U17" i="5"/>
  <c r="U736" i="5"/>
  <c r="U723" i="5"/>
  <c r="U429" i="5"/>
  <c r="U458" i="5"/>
  <c r="U575" i="5"/>
  <c r="U131" i="5"/>
  <c r="U113" i="5"/>
  <c r="U435" i="5"/>
  <c r="U457" i="5"/>
  <c r="U258" i="5"/>
  <c r="U206" i="5"/>
  <c r="U201" i="5"/>
  <c r="U404" i="5"/>
  <c r="U326" i="5"/>
  <c r="U196" i="5"/>
  <c r="U668" i="5"/>
  <c r="U100" i="5"/>
  <c r="U39" i="5"/>
  <c r="U363" i="5"/>
  <c r="U440" i="5"/>
  <c r="U295" i="5"/>
  <c r="U652" i="5"/>
  <c r="U57" i="5"/>
  <c r="U786" i="5"/>
  <c r="U637" i="5"/>
  <c r="U491" i="5"/>
  <c r="U623" i="5"/>
  <c r="U175" i="5"/>
  <c r="U691" i="5"/>
  <c r="U180" i="5"/>
  <c r="U378" i="5"/>
  <c r="U485" i="5"/>
  <c r="U293" i="5"/>
  <c r="U557" i="5"/>
  <c r="U161" i="5"/>
  <c r="U34" i="5"/>
  <c r="U405" i="5"/>
  <c r="U182" i="5"/>
  <c r="U687" i="5"/>
  <c r="U413" i="5"/>
  <c r="U643" i="5"/>
  <c r="U474" i="5"/>
  <c r="U620" i="5"/>
  <c r="U285" i="5"/>
  <c r="U410" i="5"/>
  <c r="U129" i="5"/>
  <c r="U304" i="5"/>
  <c r="U174" i="5"/>
  <c r="U101" i="5"/>
  <c r="U792" i="5"/>
  <c r="U769" i="5"/>
  <c r="U379" i="5"/>
  <c r="U390" i="5"/>
  <c r="U544" i="5"/>
  <c r="U477" i="5"/>
  <c r="U104" i="5"/>
  <c r="U239" i="5"/>
  <c r="U244" i="5"/>
  <c r="U288" i="5"/>
  <c r="U649" i="5"/>
  <c r="U82" i="5"/>
  <c r="U742" i="5"/>
  <c r="U587" i="5"/>
  <c r="U118" i="5"/>
  <c r="U483" i="5"/>
  <c r="U669" i="5"/>
  <c r="U75" i="5"/>
  <c r="U521" i="5"/>
  <c r="U582" i="5"/>
  <c r="U539" i="5"/>
  <c r="U329" i="5"/>
  <c r="U548" i="5"/>
  <c r="U263" i="5"/>
  <c r="U290" i="5"/>
  <c r="U574" i="5"/>
  <c r="U37" i="5"/>
  <c r="U51" i="5"/>
  <c r="U317" i="5"/>
  <c r="U778" i="5"/>
  <c r="U569" i="5"/>
  <c r="U370" i="5"/>
  <c r="U506" i="5"/>
  <c r="U469" i="5"/>
  <c r="U223" i="5"/>
  <c r="U237" i="5"/>
  <c r="U277" i="5"/>
  <c r="U662" i="5"/>
  <c r="U87" i="5"/>
  <c r="U510" i="5"/>
  <c r="U76" i="5"/>
  <c r="U619" i="5"/>
  <c r="U703" i="5"/>
  <c r="U711" i="5"/>
  <c r="U712" i="5"/>
  <c r="U606" i="5"/>
  <c r="U91" i="5"/>
  <c r="U391" i="5"/>
  <c r="U520" i="5"/>
  <c r="U358" i="5"/>
  <c r="U234" i="5"/>
  <c r="U407" i="5"/>
  <c r="U771" i="5"/>
  <c r="U464" i="5"/>
  <c r="U545" i="5"/>
  <c r="U322" i="5"/>
  <c r="U245" i="5"/>
  <c r="U731" i="5"/>
  <c r="U275" i="5"/>
  <c r="U305" i="5"/>
  <c r="U377" i="5"/>
  <c r="U197" i="5"/>
  <c r="U298" i="5"/>
  <c r="U494" i="5"/>
  <c r="U123" i="5"/>
  <c r="U565" i="5"/>
  <c r="U780" i="5"/>
  <c r="U466" i="5"/>
  <c r="U309" i="5"/>
  <c r="U556" i="5"/>
  <c r="U186" i="5"/>
  <c r="U355" i="5"/>
  <c r="U694" i="5"/>
  <c r="U362" i="5"/>
  <c r="U19" i="5"/>
  <c r="U472" i="5"/>
  <c r="U784" i="5"/>
  <c r="U219" i="5"/>
  <c r="U173" i="5"/>
  <c r="U692" i="5"/>
  <c r="U701" i="5"/>
  <c r="U306" i="5"/>
  <c r="U202" i="5"/>
  <c r="U593" i="5"/>
  <c r="U725" i="5"/>
  <c r="U172" i="5"/>
  <c r="U655" i="5"/>
  <c r="U532" i="5"/>
  <c r="U170" i="5"/>
  <c r="U105" i="5"/>
  <c r="U260" i="5"/>
  <c r="U591" i="5"/>
  <c r="U710" i="5"/>
  <c r="U119" i="5"/>
  <c r="U112" i="5"/>
  <c r="U115" i="5"/>
  <c r="U561" i="5"/>
  <c r="U541" i="5"/>
  <c r="U397" i="5"/>
  <c r="U121" i="5"/>
  <c r="U487" i="5"/>
  <c r="U347" i="5"/>
  <c r="U631" i="5"/>
  <c r="U528" i="5"/>
  <c r="U446" i="5"/>
  <c r="U316" i="5"/>
  <c r="U323" i="5"/>
  <c r="U383" i="5"/>
  <c r="U478" i="5"/>
  <c r="U179" i="5"/>
  <c r="U672" i="5"/>
  <c r="U254" i="5"/>
  <c r="U743" i="5"/>
  <c r="U198" i="5"/>
  <c r="U679" i="5"/>
  <c r="U43" i="5"/>
  <c r="U747" i="5"/>
  <c r="U427" i="5"/>
  <c r="U227" i="5"/>
  <c r="U210" i="5"/>
  <c r="U218" i="5"/>
  <c r="U215" i="5"/>
  <c r="U242" i="5"/>
  <c r="U178" i="5"/>
  <c r="U300" i="5"/>
  <c r="U332" i="5"/>
  <c r="U52" i="5"/>
  <c r="U663" i="5"/>
  <c r="U233" i="5"/>
  <c r="U626" i="5"/>
  <c r="U490" i="5"/>
  <c r="U732" i="5"/>
  <c r="U571" i="5"/>
  <c r="U399" i="5"/>
  <c r="U461" i="5"/>
  <c r="U772" i="5"/>
  <c r="U250" i="5"/>
  <c r="U60" i="5"/>
  <c r="U713" i="5"/>
  <c r="U463" i="5"/>
  <c r="U256" i="5"/>
  <c r="U801" i="5"/>
  <c r="U704" i="5"/>
  <c r="U22" i="5"/>
  <c r="U603" i="5"/>
  <c r="U381" i="5"/>
  <c r="U438" i="5"/>
  <c r="U693" i="5"/>
  <c r="U465" i="5"/>
  <c r="U122" i="5"/>
  <c r="U714" i="5"/>
  <c r="U217" i="5"/>
  <c r="U611" i="5"/>
  <c r="U773" i="5"/>
  <c r="U128" i="5"/>
  <c r="U291" i="5"/>
  <c r="U303" i="5"/>
  <c r="U230" i="5"/>
  <c r="U392" i="5"/>
  <c r="U248" i="5"/>
  <c r="U40" i="5"/>
  <c r="U157" i="5"/>
  <c r="U360" i="5"/>
  <c r="U695" i="5"/>
  <c r="U3" i="5"/>
  <c r="U737" i="5"/>
  <c r="U83" i="5"/>
  <c r="U634" i="5"/>
  <c r="U644" i="5"/>
  <c r="U313" i="5"/>
  <c r="U447" i="5"/>
  <c r="U335" i="5"/>
  <c r="U454" i="5"/>
  <c r="U205" i="5"/>
  <c r="V42" i="5"/>
  <c r="V374" i="5"/>
  <c r="V752" i="5"/>
  <c r="V386" i="5"/>
  <c r="V96" i="5"/>
  <c r="V735" i="5"/>
  <c r="V680" i="5"/>
  <c r="V540" i="5"/>
  <c r="V77" i="5"/>
  <c r="V156" i="5"/>
  <c r="V296" i="5"/>
  <c r="V301" i="5"/>
  <c r="V696" i="5"/>
  <c r="V220" i="5"/>
  <c r="V222" i="5"/>
  <c r="V183" i="5"/>
  <c r="V189" i="5"/>
  <c r="V719" i="5"/>
  <c r="V750" i="5"/>
  <c r="V529" i="5"/>
  <c r="V576" i="5"/>
  <c r="V776" i="5"/>
  <c r="V467" i="5"/>
  <c r="V135" i="5"/>
  <c r="V481" i="5"/>
  <c r="V767" i="5"/>
  <c r="V594" i="5"/>
  <c r="V143" i="5"/>
  <c r="V246" i="5"/>
  <c r="V612" i="5"/>
  <c r="V667" i="5"/>
  <c r="V200" i="5"/>
  <c r="V20" i="5"/>
  <c r="V702" i="5"/>
  <c r="V261" i="5"/>
  <c r="V530" i="5"/>
  <c r="V168" i="5"/>
  <c r="V621" i="5"/>
  <c r="V549" i="5"/>
  <c r="V369" i="5"/>
  <c r="V514" i="5"/>
  <c r="V387" i="5"/>
  <c r="V657" i="5"/>
  <c r="V318" i="5"/>
  <c r="V177" i="5"/>
  <c r="V796" i="5"/>
  <c r="V23" i="5"/>
  <c r="V138" i="5"/>
  <c r="V99" i="5"/>
  <c r="V482" i="5"/>
  <c r="V434" i="5"/>
  <c r="V624" i="5"/>
  <c r="V613" i="5"/>
  <c r="V455" i="5"/>
  <c r="V554" i="5"/>
  <c r="V721" i="5"/>
  <c r="V615" i="5"/>
  <c r="V632" i="5"/>
  <c r="V449" i="5"/>
  <c r="V686" i="5"/>
  <c r="V607" i="5"/>
  <c r="V243" i="5"/>
  <c r="V739" i="5"/>
  <c r="V420" i="5"/>
  <c r="V395" i="5"/>
  <c r="V46" i="5"/>
  <c r="V744" i="5"/>
  <c r="V116" i="5"/>
  <c r="V276" i="5"/>
  <c r="V286" i="5"/>
  <c r="V216" i="5"/>
  <c r="V350" i="5"/>
  <c r="V422" i="5"/>
  <c r="V262" i="5"/>
  <c r="V512" i="5"/>
  <c r="V504" i="5"/>
  <c r="V497" i="5"/>
  <c r="V797" i="5"/>
  <c r="V71" i="5"/>
  <c r="V758" i="5"/>
  <c r="V338" i="5"/>
  <c r="V207" i="5"/>
  <c r="V324" i="5"/>
  <c r="V364" i="5"/>
  <c r="V266" i="5"/>
  <c r="V79" i="5"/>
  <c r="V214" i="5"/>
  <c r="V213" i="5"/>
  <c r="V570" i="5"/>
  <c r="V65" i="5"/>
  <c r="V431" i="5"/>
  <c r="V759" i="5"/>
  <c r="V753" i="5"/>
  <c r="V29" i="5"/>
  <c r="V423" i="5"/>
  <c r="V578" i="5"/>
  <c r="V479" i="5"/>
  <c r="V251" i="5"/>
  <c r="V534" i="5"/>
  <c r="V419" i="5"/>
  <c r="V665" i="5"/>
  <c r="V450" i="5"/>
  <c r="V793" i="5"/>
  <c r="V282" i="5"/>
  <c r="V799" i="5"/>
  <c r="V356" i="5"/>
  <c r="V566" i="5"/>
  <c r="V618" i="5"/>
  <c r="V184" i="5"/>
  <c r="V9" i="5"/>
  <c r="V486" i="5"/>
  <c r="V729" i="5"/>
  <c r="V433" i="5"/>
  <c r="V688" i="5"/>
  <c r="V775" i="5"/>
  <c r="V212" i="5"/>
  <c r="V794" i="5"/>
  <c r="V134" i="5"/>
  <c r="V645" i="5"/>
  <c r="V682" i="5"/>
  <c r="V659" i="5"/>
  <c r="V533" i="5"/>
  <c r="V436" i="5"/>
  <c r="V247" i="5"/>
  <c r="V165" i="5"/>
  <c r="V310" i="5"/>
  <c r="V181" i="5"/>
  <c r="V726" i="5"/>
  <c r="V228" i="5"/>
  <c r="V55" i="5"/>
  <c r="V314" i="5"/>
  <c r="V297" i="5"/>
  <c r="V62" i="5"/>
  <c r="V617" i="5"/>
  <c r="V85" i="5"/>
  <c r="V524" i="5"/>
  <c r="V650" i="5"/>
  <c r="V508" i="5"/>
  <c r="V493" i="5"/>
  <c r="V302" i="5"/>
  <c r="V312" i="5"/>
  <c r="V287" i="5"/>
  <c r="V127" i="5"/>
  <c r="V583" i="5"/>
  <c r="V402" i="5"/>
  <c r="V16" i="5"/>
  <c r="V760" i="5"/>
  <c r="V327" i="5"/>
  <c r="V292" i="5"/>
  <c r="V599" i="5"/>
  <c r="V229" i="5"/>
  <c r="V437" i="5"/>
  <c r="V368" i="5"/>
  <c r="V572" i="5"/>
  <c r="V176" i="5"/>
  <c r="V787" i="5"/>
  <c r="V425" i="5"/>
  <c r="V439" i="5"/>
  <c r="V124" i="5"/>
  <c r="V32" i="5"/>
  <c r="V473" i="5"/>
  <c r="V452" i="5"/>
  <c r="V601" i="5"/>
  <c r="V58" i="5"/>
  <c r="V148" i="5"/>
  <c r="V507" i="5"/>
  <c r="V414" i="5"/>
  <c r="V159" i="5"/>
  <c r="V705" i="5"/>
  <c r="V500" i="5"/>
  <c r="V525" i="5"/>
  <c r="V411" i="5"/>
  <c r="V249" i="5"/>
  <c r="V426" i="5"/>
  <c r="V90" i="5"/>
  <c r="V443" i="5"/>
  <c r="V86" i="5"/>
  <c r="V152" i="5"/>
  <c r="V480" i="5"/>
  <c r="V341" i="5"/>
  <c r="V616" i="5"/>
  <c r="V80" i="5"/>
  <c r="V106" i="5"/>
  <c r="V330" i="5"/>
  <c r="V781" i="5"/>
  <c r="V648" i="5"/>
  <c r="V190" i="5"/>
  <c r="V259" i="5"/>
  <c r="V401" i="5"/>
  <c r="V27" i="5"/>
  <c r="V503" i="5"/>
  <c r="V684" i="5"/>
  <c r="V584" i="5"/>
  <c r="V408" i="5"/>
  <c r="V777" i="5"/>
  <c r="V505" i="5"/>
  <c r="V495" i="5"/>
  <c r="V238" i="5"/>
  <c r="V33" i="5"/>
  <c r="V48" i="5"/>
  <c r="V496" i="5"/>
  <c r="V471" i="5"/>
  <c r="V764" i="5"/>
  <c r="V501" i="5"/>
  <c r="V380" i="5"/>
  <c r="V278" i="5"/>
  <c r="V761" i="5"/>
  <c r="V627" i="5"/>
  <c r="V715" i="5"/>
  <c r="V417" i="5"/>
  <c r="V400" i="5"/>
  <c r="V98" i="5"/>
  <c r="V107" i="5"/>
  <c r="V421" i="5"/>
  <c r="V26" i="5"/>
  <c r="V676" i="5"/>
  <c r="V158" i="5"/>
  <c r="V281" i="5"/>
  <c r="V24" i="5"/>
  <c r="V334" i="5"/>
  <c r="V328" i="5"/>
  <c r="V110" i="5"/>
  <c r="V522" i="5"/>
  <c r="V441" i="5"/>
  <c r="V384" i="5"/>
  <c r="V7" i="5"/>
  <c r="V755" i="5"/>
  <c r="V339" i="5"/>
  <c r="V208" i="5"/>
  <c r="V462" i="5"/>
  <c r="V64" i="5"/>
  <c r="V765" i="5"/>
  <c r="V72" i="5"/>
  <c r="V13" i="5"/>
  <c r="V779" i="5"/>
  <c r="V353" i="5"/>
  <c r="V130" i="5"/>
  <c r="V70" i="5"/>
  <c r="V393" i="5"/>
  <c r="V673" i="5"/>
  <c r="V745" i="5"/>
  <c r="V697" i="5"/>
  <c r="V343" i="5"/>
  <c r="V41" i="5"/>
  <c r="V537" i="5"/>
  <c r="V564" i="5"/>
  <c r="V92" i="5"/>
  <c r="V444" i="5"/>
  <c r="V38" i="5"/>
  <c r="V81" i="5"/>
  <c r="V653" i="5"/>
  <c r="V142" i="5"/>
  <c r="V108" i="5"/>
  <c r="V139" i="5"/>
  <c r="V470" i="5"/>
  <c r="V551" i="5"/>
  <c r="V523" i="5"/>
  <c r="V257" i="5"/>
  <c r="V538" i="5"/>
  <c r="V88" i="5"/>
  <c r="V460" i="5"/>
  <c r="V352" i="5"/>
  <c r="V674" i="5"/>
  <c r="V56" i="5"/>
  <c r="V567" i="5"/>
  <c r="V488" i="5"/>
  <c r="V789" i="5"/>
  <c r="V664" i="5"/>
  <c r="V4" i="5"/>
  <c r="V345" i="5"/>
  <c r="V68" i="5"/>
  <c r="V221" i="5"/>
  <c r="V232" i="5"/>
  <c r="V95" i="5"/>
  <c r="V396" i="5"/>
  <c r="V660" i="5"/>
  <c r="V93" i="5"/>
  <c r="V415" i="5"/>
  <c r="V560" i="5"/>
  <c r="V734" i="5"/>
  <c r="V602" i="5"/>
  <c r="V706" i="5"/>
  <c r="V272" i="5"/>
  <c r="V236" i="5"/>
  <c r="V78" i="5"/>
  <c r="V149" i="5"/>
  <c r="V403" i="5"/>
  <c r="V382" i="5"/>
  <c r="V187" i="5"/>
  <c r="V733" i="5"/>
  <c r="V671" i="5"/>
  <c r="V424" i="5"/>
  <c r="V515" i="5"/>
  <c r="V670" i="5"/>
  <c r="V144" i="5"/>
  <c r="V140" i="5"/>
  <c r="V727" i="5"/>
  <c r="V707" i="5"/>
  <c r="V678" i="5"/>
  <c r="V169" i="5"/>
  <c r="V642" i="5"/>
  <c r="V589" i="5"/>
  <c r="V788" i="5"/>
  <c r="V231" i="5"/>
  <c r="V536" i="5"/>
  <c r="V203" i="5"/>
  <c r="V15" i="5"/>
  <c r="V252" i="5"/>
  <c r="V698" i="5"/>
  <c r="V590" i="5"/>
  <c r="V211" i="5"/>
  <c r="V120" i="5"/>
  <c r="V708" i="5"/>
  <c r="V132" i="5"/>
  <c r="V371" i="5"/>
  <c r="V468" i="5"/>
  <c r="V11" i="5"/>
  <c r="V800" i="5"/>
  <c r="V766" i="5"/>
  <c r="V319" i="5"/>
  <c r="V498" i="5"/>
  <c r="V646" i="5"/>
  <c r="V716" i="5"/>
  <c r="V209" i="5"/>
  <c r="V357" i="5"/>
  <c r="V163" i="5"/>
  <c r="V385" i="5"/>
  <c r="V751" i="5"/>
  <c r="V658" i="5"/>
  <c r="V97" i="5"/>
  <c r="V783" i="5"/>
  <c r="V320" i="5"/>
  <c r="V795" i="5"/>
  <c r="V635" i="5"/>
  <c r="V675" i="5"/>
  <c r="V147" i="5"/>
  <c r="V365" i="5"/>
  <c r="V346" i="5"/>
  <c r="V681" i="5"/>
  <c r="V605" i="5"/>
  <c r="V89" i="5"/>
  <c r="V30" i="5"/>
  <c r="V155" i="5"/>
  <c r="V192" i="5"/>
  <c r="V333" i="5"/>
  <c r="V59" i="5"/>
  <c r="V430" i="5"/>
  <c r="V171" i="5"/>
  <c r="V683" i="5"/>
  <c r="V336" i="5"/>
  <c r="V73" i="5"/>
  <c r="V552" i="5"/>
  <c r="V699" i="5"/>
  <c r="V12" i="5"/>
  <c r="V770" i="5"/>
  <c r="V563" i="5"/>
  <c r="V639" i="5"/>
  <c r="V456" i="5"/>
  <c r="V273" i="5"/>
  <c r="V372" i="5"/>
  <c r="V718" i="5"/>
  <c r="V651" i="5"/>
  <c r="V255" i="5"/>
  <c r="V289" i="5"/>
  <c r="V562" i="5"/>
  <c r="V44" i="5"/>
  <c r="V45" i="5"/>
  <c r="V194" i="5"/>
  <c r="V409" i="5"/>
  <c r="V226" i="5"/>
  <c r="V748" i="5"/>
  <c r="V656" i="5"/>
  <c r="V628" i="5"/>
  <c r="V195" i="5"/>
  <c r="V746" i="5"/>
  <c r="V366" i="5"/>
  <c r="V264" i="5"/>
  <c r="V558" i="5"/>
  <c r="V145" i="5"/>
  <c r="V160" i="5"/>
  <c r="V790" i="5"/>
  <c r="V633" i="5"/>
  <c r="V406" i="5"/>
  <c r="V321" i="5"/>
  <c r="V757" i="5"/>
  <c r="V388" i="5"/>
  <c r="V677" i="5"/>
  <c r="V50" i="5"/>
  <c r="V588" i="5"/>
  <c r="V459" i="5"/>
  <c r="V153" i="5"/>
  <c r="V661" i="5"/>
  <c r="V738" i="5"/>
  <c r="V791" i="5"/>
  <c r="V188" i="5"/>
  <c r="V331" i="5"/>
  <c r="V28" i="5"/>
  <c r="V428" i="5"/>
  <c r="V53" i="5"/>
  <c r="V730" i="5"/>
  <c r="V476" i="5"/>
  <c r="V154" i="5"/>
  <c r="V284" i="5"/>
  <c r="V225" i="5"/>
  <c r="V67" i="5"/>
  <c r="V69" i="5"/>
  <c r="V111" i="5"/>
  <c r="V553" i="5"/>
  <c r="V595" i="5"/>
  <c r="V125" i="5"/>
  <c r="V416" i="5"/>
  <c r="V509" i="5"/>
  <c r="V546" i="5"/>
  <c r="V608" i="5"/>
  <c r="V636" i="5"/>
  <c r="V600" i="5"/>
  <c r="V117" i="5"/>
  <c r="V700" i="5"/>
  <c r="V63" i="5"/>
  <c r="V782" i="5"/>
  <c r="V191" i="5"/>
  <c r="V610" i="5"/>
  <c r="V535" i="5"/>
  <c r="V492" i="5"/>
  <c r="V344" i="5"/>
  <c r="V432" i="5"/>
  <c r="V453" i="5"/>
  <c r="V359" i="5"/>
  <c r="V166" i="5"/>
  <c r="V389" i="5"/>
  <c r="V573" i="5"/>
  <c r="V629" i="5"/>
  <c r="V640" i="5"/>
  <c r="V375" i="5"/>
  <c r="V527" i="5"/>
  <c r="V689" i="5"/>
  <c r="V137" i="5"/>
  <c r="V768" i="5"/>
  <c r="V597" i="5"/>
  <c r="V325" i="5"/>
  <c r="V577" i="5"/>
  <c r="V756" i="5"/>
  <c r="V167" i="5"/>
  <c r="V654" i="5"/>
  <c r="V531" i="5"/>
  <c r="V164" i="5"/>
  <c r="V311" i="5"/>
  <c r="V445" i="5"/>
  <c r="V279" i="5"/>
  <c r="V10" i="5"/>
  <c r="V547" i="5"/>
  <c r="V25" i="5"/>
  <c r="V74" i="5"/>
  <c r="V418" i="5"/>
  <c r="V36" i="5"/>
  <c r="V442" i="5"/>
  <c r="V54" i="5"/>
  <c r="V518" i="5"/>
  <c r="V398" i="5"/>
  <c r="V598" i="5"/>
  <c r="V270" i="5"/>
  <c r="V448" i="5"/>
  <c r="V592" i="5"/>
  <c r="V136" i="5"/>
  <c r="V580" i="5"/>
  <c r="V581" i="5"/>
  <c r="V126" i="5"/>
  <c r="V204" i="5"/>
  <c r="V373" i="5"/>
  <c r="V579" i="5"/>
  <c r="V199" i="5"/>
  <c r="V354" i="5"/>
  <c r="V526" i="5"/>
  <c r="V625" i="5"/>
  <c r="V724" i="5"/>
  <c r="V267" i="5"/>
  <c r="V785" i="5"/>
  <c r="V519" i="5"/>
  <c r="V685" i="5"/>
  <c r="V31" i="5"/>
  <c r="V18" i="5"/>
  <c r="V299" i="5"/>
  <c r="V550" i="5"/>
  <c r="V240" i="5"/>
  <c r="V709" i="5"/>
  <c r="V6" i="5"/>
  <c r="V21" i="5"/>
  <c r="V235" i="5"/>
  <c r="V499" i="5"/>
  <c r="V722" i="5"/>
  <c r="V224" i="5"/>
  <c r="V690" i="5"/>
  <c r="V307" i="5"/>
  <c r="V308" i="5"/>
  <c r="V49" i="5"/>
  <c r="V185" i="5"/>
  <c r="V340" i="5"/>
  <c r="V585" i="5"/>
  <c r="V555" i="5"/>
  <c r="V367" i="5"/>
  <c r="V146" i="5"/>
  <c r="V315" i="5"/>
  <c r="V749" i="5"/>
  <c r="V451" i="5"/>
  <c r="V376" i="5"/>
  <c r="V641" i="5"/>
  <c r="V542" i="5"/>
  <c r="V102" i="5"/>
  <c r="V516" i="5"/>
  <c r="V342" i="5"/>
  <c r="V609" i="5"/>
  <c r="V274" i="5"/>
  <c r="V798" i="5"/>
  <c r="V517" i="5"/>
  <c r="V763" i="5"/>
  <c r="V502" i="5"/>
  <c r="V717" i="5"/>
  <c r="V489" i="5"/>
  <c r="V241" i="5"/>
  <c r="V720" i="5"/>
  <c r="V151" i="5"/>
  <c r="V614" i="5"/>
  <c r="V762" i="5"/>
  <c r="V94" i="5"/>
  <c r="V133" i="5"/>
  <c r="V475" i="5"/>
  <c r="V162" i="5"/>
  <c r="V774" i="5"/>
  <c r="V740" i="5"/>
  <c r="V114" i="5"/>
  <c r="V361" i="5"/>
  <c r="V513" i="5"/>
  <c r="V5" i="5"/>
  <c r="V630" i="5"/>
  <c r="V543" i="5"/>
  <c r="V559" i="5"/>
  <c r="V269" i="5"/>
  <c r="V8" i="5"/>
  <c r="V2" i="5"/>
  <c r="V35" i="5"/>
  <c r="V265" i="5"/>
  <c r="V638" i="5"/>
  <c r="V271" i="5"/>
  <c r="V511" i="5"/>
  <c r="V280" i="5"/>
  <c r="V728" i="5"/>
  <c r="V141" i="5"/>
  <c r="V283" i="5"/>
  <c r="V103" i="5"/>
  <c r="V193" i="5"/>
  <c r="V47" i="5"/>
  <c r="V61" i="5"/>
  <c r="V568" i="5"/>
  <c r="V586" i="5"/>
  <c r="V647" i="5"/>
  <c r="V337" i="5"/>
  <c r="V109" i="5"/>
  <c r="V268" i="5"/>
  <c r="V604" i="5"/>
  <c r="V66" i="5"/>
  <c r="V394" i="5"/>
  <c r="V741" i="5"/>
  <c r="V666" i="5"/>
  <c r="V596" i="5"/>
  <c r="V253" i="5"/>
  <c r="V14" i="5"/>
  <c r="V351" i="5"/>
  <c r="V348" i="5"/>
  <c r="V484" i="5"/>
  <c r="V754" i="5"/>
  <c r="V294" i="5"/>
  <c r="V622" i="5"/>
  <c r="V84" i="5"/>
  <c r="V349" i="5"/>
  <c r="V412" i="5"/>
  <c r="V150" i="5"/>
  <c r="V17" i="5"/>
  <c r="V736" i="5"/>
  <c r="V723" i="5"/>
  <c r="V429" i="5"/>
  <c r="V458" i="5"/>
  <c r="V575" i="5"/>
  <c r="V131" i="5"/>
  <c r="V113" i="5"/>
  <c r="V435" i="5"/>
  <c r="V457" i="5"/>
  <c r="V258" i="5"/>
  <c r="V206" i="5"/>
  <c r="V201" i="5"/>
  <c r="V404" i="5"/>
  <c r="V326" i="5"/>
  <c r="V196" i="5"/>
  <c r="V668" i="5"/>
  <c r="V100" i="5"/>
  <c r="V39" i="5"/>
  <c r="V363" i="5"/>
  <c r="V440" i="5"/>
  <c r="V295" i="5"/>
  <c r="V652" i="5"/>
  <c r="V57" i="5"/>
  <c r="V786" i="5"/>
  <c r="V637" i="5"/>
  <c r="V491" i="5"/>
  <c r="V623" i="5"/>
  <c r="V175" i="5"/>
  <c r="V691" i="5"/>
  <c r="V180" i="5"/>
  <c r="V378" i="5"/>
  <c r="V485" i="5"/>
  <c r="V293" i="5"/>
  <c r="V557" i="5"/>
  <c r="V161" i="5"/>
  <c r="V34" i="5"/>
  <c r="V405" i="5"/>
  <c r="V182" i="5"/>
  <c r="V687" i="5"/>
  <c r="V413" i="5"/>
  <c r="V643" i="5"/>
  <c r="V474" i="5"/>
  <c r="V620" i="5"/>
  <c r="V285" i="5"/>
  <c r="V410" i="5"/>
  <c r="V129" i="5"/>
  <c r="V304" i="5"/>
  <c r="V174" i="5"/>
  <c r="V101" i="5"/>
  <c r="V792" i="5"/>
  <c r="V769" i="5"/>
  <c r="V379" i="5"/>
  <c r="V390" i="5"/>
  <c r="V544" i="5"/>
  <c r="V477" i="5"/>
  <c r="V104" i="5"/>
  <c r="V239" i="5"/>
  <c r="V244" i="5"/>
  <c r="V288" i="5"/>
  <c r="V649" i="5"/>
  <c r="V82" i="5"/>
  <c r="V742" i="5"/>
  <c r="V587" i="5"/>
  <c r="V118" i="5"/>
  <c r="V483" i="5"/>
  <c r="V669" i="5"/>
  <c r="V75" i="5"/>
  <c r="V521" i="5"/>
  <c r="V582" i="5"/>
  <c r="V539" i="5"/>
  <c r="V329" i="5"/>
  <c r="V548" i="5"/>
  <c r="V263" i="5"/>
  <c r="V290" i="5"/>
  <c r="V574" i="5"/>
  <c r="V37" i="5"/>
  <c r="V51" i="5"/>
  <c r="V317" i="5"/>
  <c r="V778" i="5"/>
  <c r="V569" i="5"/>
  <c r="V370" i="5"/>
  <c r="V506" i="5"/>
  <c r="V469" i="5"/>
  <c r="V223" i="5"/>
  <c r="V237" i="5"/>
  <c r="V277" i="5"/>
  <c r="V662" i="5"/>
  <c r="V87" i="5"/>
  <c r="V510" i="5"/>
  <c r="V76" i="5"/>
  <c r="V619" i="5"/>
  <c r="V703" i="5"/>
  <c r="V711" i="5"/>
  <c r="V712" i="5"/>
  <c r="V606" i="5"/>
  <c r="V91" i="5"/>
  <c r="V391" i="5"/>
  <c r="V520" i="5"/>
  <c r="V358" i="5"/>
  <c r="V234" i="5"/>
  <c r="V407" i="5"/>
  <c r="V771" i="5"/>
  <c r="V464" i="5"/>
  <c r="V545" i="5"/>
  <c r="V322" i="5"/>
  <c r="V245" i="5"/>
  <c r="V731" i="5"/>
  <c r="V275" i="5"/>
  <c r="V305" i="5"/>
  <c r="V377" i="5"/>
  <c r="V197" i="5"/>
  <c r="V298" i="5"/>
  <c r="V494" i="5"/>
  <c r="V123" i="5"/>
  <c r="V565" i="5"/>
  <c r="V780" i="5"/>
  <c r="V466" i="5"/>
  <c r="V309" i="5"/>
  <c r="V556" i="5"/>
  <c r="V186" i="5"/>
  <c r="V355" i="5"/>
  <c r="V694" i="5"/>
  <c r="V362" i="5"/>
  <c r="V19" i="5"/>
  <c r="V472" i="5"/>
  <c r="V784" i="5"/>
  <c r="V219" i="5"/>
  <c r="V173" i="5"/>
  <c r="V692" i="5"/>
  <c r="V701" i="5"/>
  <c r="V306" i="5"/>
  <c r="V202" i="5"/>
  <c r="V593" i="5"/>
  <c r="V725" i="5"/>
  <c r="V172" i="5"/>
  <c r="V655" i="5"/>
  <c r="V532" i="5"/>
  <c r="V170" i="5"/>
  <c r="V105" i="5"/>
  <c r="V260" i="5"/>
  <c r="V591" i="5"/>
  <c r="V710" i="5"/>
  <c r="V119" i="5"/>
  <c r="V112" i="5"/>
  <c r="V115" i="5"/>
  <c r="V561" i="5"/>
  <c r="V541" i="5"/>
  <c r="V397" i="5"/>
  <c r="V121" i="5"/>
  <c r="V487" i="5"/>
  <c r="V347" i="5"/>
  <c r="V631" i="5"/>
  <c r="V528" i="5"/>
  <c r="V446" i="5"/>
  <c r="V316" i="5"/>
  <c r="V323" i="5"/>
  <c r="V383" i="5"/>
  <c r="V478" i="5"/>
  <c r="V179" i="5"/>
  <c r="V672" i="5"/>
  <c r="V254" i="5"/>
  <c r="V743" i="5"/>
  <c r="V198" i="5"/>
  <c r="V679" i="5"/>
  <c r="V43" i="5"/>
  <c r="V747" i="5"/>
  <c r="V427" i="5"/>
  <c r="V227" i="5"/>
  <c r="V210" i="5"/>
  <c r="V218" i="5"/>
  <c r="V215" i="5"/>
  <c r="V242" i="5"/>
  <c r="V178" i="5"/>
  <c r="V300" i="5"/>
  <c r="V332" i="5"/>
  <c r="V52" i="5"/>
  <c r="V663" i="5"/>
  <c r="V233" i="5"/>
  <c r="V626" i="5"/>
  <c r="V490" i="5"/>
  <c r="V732" i="5"/>
  <c r="V571" i="5"/>
  <c r="V399" i="5"/>
  <c r="V461" i="5"/>
  <c r="V772" i="5"/>
  <c r="V250" i="5"/>
  <c r="V60" i="5"/>
  <c r="V713" i="5"/>
  <c r="V463" i="5"/>
  <c r="V256" i="5"/>
  <c r="V801" i="5"/>
  <c r="V704" i="5"/>
  <c r="V22" i="5"/>
  <c r="V603" i="5"/>
  <c r="V381" i="5"/>
  <c r="V438" i="5"/>
  <c r="V693" i="5"/>
  <c r="V465" i="5"/>
  <c r="V122" i="5"/>
  <c r="V714" i="5"/>
  <c r="V217" i="5"/>
  <c r="V611" i="5"/>
  <c r="V773" i="5"/>
  <c r="V128" i="5"/>
  <c r="V291" i="5"/>
  <c r="V303" i="5"/>
  <c r="V230" i="5"/>
  <c r="V392" i="5"/>
  <c r="V248" i="5"/>
  <c r="V40" i="5"/>
  <c r="V157" i="5"/>
  <c r="V360" i="5"/>
  <c r="V695" i="5"/>
  <c r="V3" i="5"/>
  <c r="V737" i="5"/>
  <c r="V83" i="5"/>
  <c r="V634" i="5"/>
  <c r="V644" i="5"/>
  <c r="V313" i="5"/>
  <c r="V447" i="5"/>
  <c r="V335" i="5"/>
  <c r="V454" i="5"/>
  <c r="V205" i="5"/>
  <c r="W42" i="5"/>
  <c r="W374" i="5"/>
  <c r="W752" i="5"/>
  <c r="W386" i="5"/>
  <c r="W96" i="5"/>
  <c r="W735" i="5"/>
  <c r="W680" i="5"/>
  <c r="W540" i="5"/>
  <c r="W77" i="5"/>
  <c r="W156" i="5"/>
  <c r="W296" i="5"/>
  <c r="W301" i="5"/>
  <c r="W696" i="5"/>
  <c r="W220" i="5"/>
  <c r="W222" i="5"/>
  <c r="W183" i="5"/>
  <c r="W189" i="5"/>
  <c r="W719" i="5"/>
  <c r="W750" i="5"/>
  <c r="W529" i="5"/>
  <c r="W576" i="5"/>
  <c r="W776" i="5"/>
  <c r="W467" i="5"/>
  <c r="W135" i="5"/>
  <c r="W481" i="5"/>
  <c r="W767" i="5"/>
  <c r="W594" i="5"/>
  <c r="W143" i="5"/>
  <c r="W246" i="5"/>
  <c r="W612" i="5"/>
  <c r="W667" i="5"/>
  <c r="W200" i="5"/>
  <c r="W20" i="5"/>
  <c r="W702" i="5"/>
  <c r="W261" i="5"/>
  <c r="W530" i="5"/>
  <c r="W168" i="5"/>
  <c r="W621" i="5"/>
  <c r="W549" i="5"/>
  <c r="W369" i="5"/>
  <c r="W514" i="5"/>
  <c r="W387" i="5"/>
  <c r="W657" i="5"/>
  <c r="W318" i="5"/>
  <c r="W177" i="5"/>
  <c r="W796" i="5"/>
  <c r="W23" i="5"/>
  <c r="W138" i="5"/>
  <c r="W99" i="5"/>
  <c r="W482" i="5"/>
  <c r="W434" i="5"/>
  <c r="W624" i="5"/>
  <c r="W613" i="5"/>
  <c r="W455" i="5"/>
  <c r="W554" i="5"/>
  <c r="W721" i="5"/>
  <c r="W615" i="5"/>
  <c r="W632" i="5"/>
  <c r="W449" i="5"/>
  <c r="W686" i="5"/>
  <c r="W607" i="5"/>
  <c r="W243" i="5"/>
  <c r="W739" i="5"/>
  <c r="W420" i="5"/>
  <c r="W395" i="5"/>
  <c r="W46" i="5"/>
  <c r="W744" i="5"/>
  <c r="W116" i="5"/>
  <c r="W276" i="5"/>
  <c r="W286" i="5"/>
  <c r="W216" i="5"/>
  <c r="W350" i="5"/>
  <c r="W422" i="5"/>
  <c r="W262" i="5"/>
  <c r="W512" i="5"/>
  <c r="W504" i="5"/>
  <c r="W497" i="5"/>
  <c r="W797" i="5"/>
  <c r="W71" i="5"/>
  <c r="W758" i="5"/>
  <c r="W338" i="5"/>
  <c r="W207" i="5"/>
  <c r="W324" i="5"/>
  <c r="W364" i="5"/>
  <c r="W266" i="5"/>
  <c r="W79" i="5"/>
  <c r="W214" i="5"/>
  <c r="W213" i="5"/>
  <c r="W570" i="5"/>
  <c r="W65" i="5"/>
  <c r="W431" i="5"/>
  <c r="W759" i="5"/>
  <c r="W753" i="5"/>
  <c r="W29" i="5"/>
  <c r="W423" i="5"/>
  <c r="W578" i="5"/>
  <c r="W479" i="5"/>
  <c r="W251" i="5"/>
  <c r="W534" i="5"/>
  <c r="W419" i="5"/>
  <c r="W665" i="5"/>
  <c r="W450" i="5"/>
  <c r="W793" i="5"/>
  <c r="W282" i="5"/>
  <c r="W799" i="5"/>
  <c r="W356" i="5"/>
  <c r="W566" i="5"/>
  <c r="W618" i="5"/>
  <c r="W184" i="5"/>
  <c r="W9" i="5"/>
  <c r="W486" i="5"/>
  <c r="W729" i="5"/>
  <c r="W433" i="5"/>
  <c r="W688" i="5"/>
  <c r="W775" i="5"/>
  <c r="W212" i="5"/>
  <c r="W794" i="5"/>
  <c r="W134" i="5"/>
  <c r="W645" i="5"/>
  <c r="W682" i="5"/>
  <c r="W659" i="5"/>
  <c r="W533" i="5"/>
  <c r="W436" i="5"/>
  <c r="W247" i="5"/>
  <c r="W165" i="5"/>
  <c r="W310" i="5"/>
  <c r="W181" i="5"/>
  <c r="W726" i="5"/>
  <c r="W228" i="5"/>
  <c r="W55" i="5"/>
  <c r="W314" i="5"/>
  <c r="W297" i="5"/>
  <c r="W62" i="5"/>
  <c r="W617" i="5"/>
  <c r="W85" i="5"/>
  <c r="W524" i="5"/>
  <c r="W650" i="5"/>
  <c r="W508" i="5"/>
  <c r="W493" i="5"/>
  <c r="W302" i="5"/>
  <c r="W312" i="5"/>
  <c r="W287" i="5"/>
  <c r="W127" i="5"/>
  <c r="W583" i="5"/>
  <c r="W402" i="5"/>
  <c r="W16" i="5"/>
  <c r="W760" i="5"/>
  <c r="W327" i="5"/>
  <c r="W292" i="5"/>
  <c r="W599" i="5"/>
  <c r="W229" i="5"/>
  <c r="W437" i="5"/>
  <c r="W368" i="5"/>
  <c r="W572" i="5"/>
  <c r="W176" i="5"/>
  <c r="W787" i="5"/>
  <c r="W425" i="5"/>
  <c r="W439" i="5"/>
  <c r="W124" i="5"/>
  <c r="W32" i="5"/>
  <c r="W473" i="5"/>
  <c r="W452" i="5"/>
  <c r="W601" i="5"/>
  <c r="W58" i="5"/>
  <c r="W148" i="5"/>
  <c r="W507" i="5"/>
  <c r="W414" i="5"/>
  <c r="W159" i="5"/>
  <c r="W705" i="5"/>
  <c r="W500" i="5"/>
  <c r="W525" i="5"/>
  <c r="W411" i="5"/>
  <c r="W249" i="5"/>
  <c r="W426" i="5"/>
  <c r="W90" i="5"/>
  <c r="W443" i="5"/>
  <c r="W86" i="5"/>
  <c r="W152" i="5"/>
  <c r="W480" i="5"/>
  <c r="W341" i="5"/>
  <c r="W616" i="5"/>
  <c r="W80" i="5"/>
  <c r="W106" i="5"/>
  <c r="W330" i="5"/>
  <c r="W781" i="5"/>
  <c r="W648" i="5"/>
  <c r="W190" i="5"/>
  <c r="W259" i="5"/>
  <c r="W401" i="5"/>
  <c r="W27" i="5"/>
  <c r="W503" i="5"/>
  <c r="W684" i="5"/>
  <c r="W584" i="5"/>
  <c r="W408" i="5"/>
  <c r="W777" i="5"/>
  <c r="W505" i="5"/>
  <c r="W495" i="5"/>
  <c r="W238" i="5"/>
  <c r="W33" i="5"/>
  <c r="W48" i="5"/>
  <c r="W496" i="5"/>
  <c r="W471" i="5"/>
  <c r="W764" i="5"/>
  <c r="W501" i="5"/>
  <c r="W380" i="5"/>
  <c r="W278" i="5"/>
  <c r="W761" i="5"/>
  <c r="W627" i="5"/>
  <c r="W715" i="5"/>
  <c r="W417" i="5"/>
  <c r="W400" i="5"/>
  <c r="W98" i="5"/>
  <c r="W107" i="5"/>
  <c r="W421" i="5"/>
  <c r="W26" i="5"/>
  <c r="W676" i="5"/>
  <c r="W158" i="5"/>
  <c r="W281" i="5"/>
  <c r="W24" i="5"/>
  <c r="W334" i="5"/>
  <c r="W328" i="5"/>
  <c r="W110" i="5"/>
  <c r="W522" i="5"/>
  <c r="W441" i="5"/>
  <c r="W384" i="5"/>
  <c r="W7" i="5"/>
  <c r="W755" i="5"/>
  <c r="W339" i="5"/>
  <c r="W208" i="5"/>
  <c r="W462" i="5"/>
  <c r="W64" i="5"/>
  <c r="W765" i="5"/>
  <c r="W72" i="5"/>
  <c r="W13" i="5"/>
  <c r="W779" i="5"/>
  <c r="W353" i="5"/>
  <c r="W130" i="5"/>
  <c r="W70" i="5"/>
  <c r="W393" i="5"/>
  <c r="W673" i="5"/>
  <c r="W745" i="5"/>
  <c r="W697" i="5"/>
  <c r="W343" i="5"/>
  <c r="W41" i="5"/>
  <c r="W537" i="5"/>
  <c r="W564" i="5"/>
  <c r="W92" i="5"/>
  <c r="W444" i="5"/>
  <c r="W38" i="5"/>
  <c r="W81" i="5"/>
  <c r="W653" i="5"/>
  <c r="W142" i="5"/>
  <c r="W108" i="5"/>
  <c r="W139" i="5"/>
  <c r="W470" i="5"/>
  <c r="W551" i="5"/>
  <c r="W523" i="5"/>
  <c r="W257" i="5"/>
  <c r="W538" i="5"/>
  <c r="W88" i="5"/>
  <c r="W460" i="5"/>
  <c r="W352" i="5"/>
  <c r="W674" i="5"/>
  <c r="W56" i="5"/>
  <c r="W567" i="5"/>
  <c r="W488" i="5"/>
  <c r="W789" i="5"/>
  <c r="W664" i="5"/>
  <c r="W4" i="5"/>
  <c r="W345" i="5"/>
  <c r="W68" i="5"/>
  <c r="W221" i="5"/>
  <c r="W232" i="5"/>
  <c r="W95" i="5"/>
  <c r="W396" i="5"/>
  <c r="W660" i="5"/>
  <c r="W93" i="5"/>
  <c r="W415" i="5"/>
  <c r="W560" i="5"/>
  <c r="W734" i="5"/>
  <c r="W602" i="5"/>
  <c r="W706" i="5"/>
  <c r="W272" i="5"/>
  <c r="W236" i="5"/>
  <c r="W78" i="5"/>
  <c r="W149" i="5"/>
  <c r="W403" i="5"/>
  <c r="W382" i="5"/>
  <c r="W187" i="5"/>
  <c r="W733" i="5"/>
  <c r="W671" i="5"/>
  <c r="W424" i="5"/>
  <c r="W515" i="5"/>
  <c r="W670" i="5"/>
  <c r="W144" i="5"/>
  <c r="W140" i="5"/>
  <c r="W727" i="5"/>
  <c r="W707" i="5"/>
  <c r="W678" i="5"/>
  <c r="W169" i="5"/>
  <c r="W642" i="5"/>
  <c r="W589" i="5"/>
  <c r="W788" i="5"/>
  <c r="W231" i="5"/>
  <c r="W536" i="5"/>
  <c r="W203" i="5"/>
  <c r="W15" i="5"/>
  <c r="W252" i="5"/>
  <c r="W698" i="5"/>
  <c r="W590" i="5"/>
  <c r="W211" i="5"/>
  <c r="W120" i="5"/>
  <c r="W708" i="5"/>
  <c r="W132" i="5"/>
  <c r="W371" i="5"/>
  <c r="W468" i="5"/>
  <c r="W11" i="5"/>
  <c r="W800" i="5"/>
  <c r="W766" i="5"/>
  <c r="W319" i="5"/>
  <c r="W498" i="5"/>
  <c r="W646" i="5"/>
  <c r="W716" i="5"/>
  <c r="W209" i="5"/>
  <c r="W357" i="5"/>
  <c r="W163" i="5"/>
  <c r="W385" i="5"/>
  <c r="W751" i="5"/>
  <c r="W658" i="5"/>
  <c r="W97" i="5"/>
  <c r="W783" i="5"/>
  <c r="W320" i="5"/>
  <c r="W795" i="5"/>
  <c r="W635" i="5"/>
  <c r="W675" i="5"/>
  <c r="W147" i="5"/>
  <c r="W365" i="5"/>
  <c r="W346" i="5"/>
  <c r="W681" i="5"/>
  <c r="W605" i="5"/>
  <c r="W89" i="5"/>
  <c r="W30" i="5"/>
  <c r="W155" i="5"/>
  <c r="W192" i="5"/>
  <c r="W333" i="5"/>
  <c r="W59" i="5"/>
  <c r="W430" i="5"/>
  <c r="W171" i="5"/>
  <c r="W683" i="5"/>
  <c r="W336" i="5"/>
  <c r="W73" i="5"/>
  <c r="W552" i="5"/>
  <c r="W699" i="5"/>
  <c r="W12" i="5"/>
  <c r="W770" i="5"/>
  <c r="W563" i="5"/>
  <c r="W639" i="5"/>
  <c r="W456" i="5"/>
  <c r="W273" i="5"/>
  <c r="W372" i="5"/>
  <c r="W718" i="5"/>
  <c r="W651" i="5"/>
  <c r="W255" i="5"/>
  <c r="W289" i="5"/>
  <c r="W562" i="5"/>
  <c r="W44" i="5"/>
  <c r="W45" i="5"/>
  <c r="W194" i="5"/>
  <c r="W409" i="5"/>
  <c r="W226" i="5"/>
  <c r="W748" i="5"/>
  <c r="W656" i="5"/>
  <c r="W628" i="5"/>
  <c r="W195" i="5"/>
  <c r="W746" i="5"/>
  <c r="W366" i="5"/>
  <c r="W264" i="5"/>
  <c r="W558" i="5"/>
  <c r="W145" i="5"/>
  <c r="W160" i="5"/>
  <c r="W790" i="5"/>
  <c r="W633" i="5"/>
  <c r="W406" i="5"/>
  <c r="W321" i="5"/>
  <c r="W757" i="5"/>
  <c r="W388" i="5"/>
  <c r="W677" i="5"/>
  <c r="W50" i="5"/>
  <c r="W588" i="5"/>
  <c r="W459" i="5"/>
  <c r="W153" i="5"/>
  <c r="W661" i="5"/>
  <c r="W738" i="5"/>
  <c r="W791" i="5"/>
  <c r="W188" i="5"/>
  <c r="W331" i="5"/>
  <c r="W28" i="5"/>
  <c r="W428" i="5"/>
  <c r="W53" i="5"/>
  <c r="W730" i="5"/>
  <c r="W476" i="5"/>
  <c r="W154" i="5"/>
  <c r="W284" i="5"/>
  <c r="W225" i="5"/>
  <c r="W67" i="5"/>
  <c r="W69" i="5"/>
  <c r="W111" i="5"/>
  <c r="W553" i="5"/>
  <c r="W595" i="5"/>
  <c r="W125" i="5"/>
  <c r="W416" i="5"/>
  <c r="W509" i="5"/>
  <c r="W546" i="5"/>
  <c r="W608" i="5"/>
  <c r="W636" i="5"/>
  <c r="W600" i="5"/>
  <c r="W117" i="5"/>
  <c r="W700" i="5"/>
  <c r="W63" i="5"/>
  <c r="W782" i="5"/>
  <c r="W191" i="5"/>
  <c r="W610" i="5"/>
  <c r="W535" i="5"/>
  <c r="W492" i="5"/>
  <c r="W344" i="5"/>
  <c r="W432" i="5"/>
  <c r="W453" i="5"/>
  <c r="W359" i="5"/>
  <c r="W166" i="5"/>
  <c r="W389" i="5"/>
  <c r="W573" i="5"/>
  <c r="W629" i="5"/>
  <c r="W640" i="5"/>
  <c r="W375" i="5"/>
  <c r="W527" i="5"/>
  <c r="W689" i="5"/>
  <c r="W137" i="5"/>
  <c r="W768" i="5"/>
  <c r="W597" i="5"/>
  <c r="W325" i="5"/>
  <c r="W577" i="5"/>
  <c r="W756" i="5"/>
  <c r="W167" i="5"/>
  <c r="W654" i="5"/>
  <c r="W531" i="5"/>
  <c r="W164" i="5"/>
  <c r="W311" i="5"/>
  <c r="W445" i="5"/>
  <c r="W279" i="5"/>
  <c r="W10" i="5"/>
  <c r="W547" i="5"/>
  <c r="W25" i="5"/>
  <c r="W74" i="5"/>
  <c r="W418" i="5"/>
  <c r="W36" i="5"/>
  <c r="W442" i="5"/>
  <c r="W54" i="5"/>
  <c r="W518" i="5"/>
  <c r="W398" i="5"/>
  <c r="W598" i="5"/>
  <c r="W270" i="5"/>
  <c r="W448" i="5"/>
  <c r="W592" i="5"/>
  <c r="W136" i="5"/>
  <c r="W580" i="5"/>
  <c r="W581" i="5"/>
  <c r="W126" i="5"/>
  <c r="W204" i="5"/>
  <c r="W373" i="5"/>
  <c r="W579" i="5"/>
  <c r="W199" i="5"/>
  <c r="W354" i="5"/>
  <c r="W526" i="5"/>
  <c r="W625" i="5"/>
  <c r="W724" i="5"/>
  <c r="W267" i="5"/>
  <c r="W785" i="5"/>
  <c r="W519" i="5"/>
  <c r="W685" i="5"/>
  <c r="W31" i="5"/>
  <c r="W18" i="5"/>
  <c r="W299" i="5"/>
  <c r="W550" i="5"/>
  <c r="W240" i="5"/>
  <c r="W709" i="5"/>
  <c r="W6" i="5"/>
  <c r="W21" i="5"/>
  <c r="W235" i="5"/>
  <c r="W499" i="5"/>
  <c r="W722" i="5"/>
  <c r="W224" i="5"/>
  <c r="W690" i="5"/>
  <c r="W307" i="5"/>
  <c r="W308" i="5"/>
  <c r="W49" i="5"/>
  <c r="W185" i="5"/>
  <c r="W340" i="5"/>
  <c r="W585" i="5"/>
  <c r="W555" i="5"/>
  <c r="W367" i="5"/>
  <c r="W146" i="5"/>
  <c r="W315" i="5"/>
  <c r="W749" i="5"/>
  <c r="W451" i="5"/>
  <c r="W376" i="5"/>
  <c r="W641" i="5"/>
  <c r="W542" i="5"/>
  <c r="W102" i="5"/>
  <c r="W516" i="5"/>
  <c r="W342" i="5"/>
  <c r="W609" i="5"/>
  <c r="W274" i="5"/>
  <c r="W798" i="5"/>
  <c r="W517" i="5"/>
  <c r="W763" i="5"/>
  <c r="W502" i="5"/>
  <c r="W717" i="5"/>
  <c r="W489" i="5"/>
  <c r="W241" i="5"/>
  <c r="W720" i="5"/>
  <c r="W151" i="5"/>
  <c r="W614" i="5"/>
  <c r="W762" i="5"/>
  <c r="W94" i="5"/>
  <c r="W133" i="5"/>
  <c r="W475" i="5"/>
  <c r="W162" i="5"/>
  <c r="W774" i="5"/>
  <c r="W740" i="5"/>
  <c r="W114" i="5"/>
  <c r="W361" i="5"/>
  <c r="W513" i="5"/>
  <c r="W5" i="5"/>
  <c r="W630" i="5"/>
  <c r="W543" i="5"/>
  <c r="W559" i="5"/>
  <c r="W269" i="5"/>
  <c r="W8" i="5"/>
  <c r="W2" i="5"/>
  <c r="W35" i="5"/>
  <c r="W265" i="5"/>
  <c r="W638" i="5"/>
  <c r="W271" i="5"/>
  <c r="W511" i="5"/>
  <c r="W280" i="5"/>
  <c r="W728" i="5"/>
  <c r="W141" i="5"/>
  <c r="W283" i="5"/>
  <c r="W103" i="5"/>
  <c r="W193" i="5"/>
  <c r="W47" i="5"/>
  <c r="W61" i="5"/>
  <c r="W568" i="5"/>
  <c r="W586" i="5"/>
  <c r="W647" i="5"/>
  <c r="W337" i="5"/>
  <c r="W109" i="5"/>
  <c r="W268" i="5"/>
  <c r="W604" i="5"/>
  <c r="W66" i="5"/>
  <c r="W394" i="5"/>
  <c r="W741" i="5"/>
  <c r="W666" i="5"/>
  <c r="W596" i="5"/>
  <c r="W253" i="5"/>
  <c r="W14" i="5"/>
  <c r="W351" i="5"/>
  <c r="W348" i="5"/>
  <c r="W484" i="5"/>
  <c r="W754" i="5"/>
  <c r="W294" i="5"/>
  <c r="W622" i="5"/>
  <c r="W84" i="5"/>
  <c r="W349" i="5"/>
  <c r="W412" i="5"/>
  <c r="W150" i="5"/>
  <c r="W17" i="5"/>
  <c r="W736" i="5"/>
  <c r="W723" i="5"/>
  <c r="W429" i="5"/>
  <c r="W458" i="5"/>
  <c r="W575" i="5"/>
  <c r="W131" i="5"/>
  <c r="W113" i="5"/>
  <c r="W435" i="5"/>
  <c r="W457" i="5"/>
  <c r="W258" i="5"/>
  <c r="W206" i="5"/>
  <c r="W201" i="5"/>
  <c r="W404" i="5"/>
  <c r="W326" i="5"/>
  <c r="W196" i="5"/>
  <c r="W668" i="5"/>
  <c r="W100" i="5"/>
  <c r="W39" i="5"/>
  <c r="W363" i="5"/>
  <c r="W440" i="5"/>
  <c r="W295" i="5"/>
  <c r="W652" i="5"/>
  <c r="W57" i="5"/>
  <c r="W786" i="5"/>
  <c r="W637" i="5"/>
  <c r="W491" i="5"/>
  <c r="W623" i="5"/>
  <c r="W175" i="5"/>
  <c r="W691" i="5"/>
  <c r="W180" i="5"/>
  <c r="W378" i="5"/>
  <c r="W485" i="5"/>
  <c r="W293" i="5"/>
  <c r="W557" i="5"/>
  <c r="W161" i="5"/>
  <c r="W34" i="5"/>
  <c r="W405" i="5"/>
  <c r="W182" i="5"/>
  <c r="W687" i="5"/>
  <c r="W413" i="5"/>
  <c r="W643" i="5"/>
  <c r="W474" i="5"/>
  <c r="W620" i="5"/>
  <c r="W285" i="5"/>
  <c r="W410" i="5"/>
  <c r="W129" i="5"/>
  <c r="W304" i="5"/>
  <c r="W174" i="5"/>
  <c r="W101" i="5"/>
  <c r="W792" i="5"/>
  <c r="W769" i="5"/>
  <c r="W379" i="5"/>
  <c r="W390" i="5"/>
  <c r="W544" i="5"/>
  <c r="W477" i="5"/>
  <c r="W104" i="5"/>
  <c r="W239" i="5"/>
  <c r="W244" i="5"/>
  <c r="W288" i="5"/>
  <c r="W649" i="5"/>
  <c r="W82" i="5"/>
  <c r="W742" i="5"/>
  <c r="W587" i="5"/>
  <c r="W118" i="5"/>
  <c r="W483" i="5"/>
  <c r="W669" i="5"/>
  <c r="W75" i="5"/>
  <c r="W521" i="5"/>
  <c r="W582" i="5"/>
  <c r="W539" i="5"/>
  <c r="W329" i="5"/>
  <c r="W548" i="5"/>
  <c r="W263" i="5"/>
  <c r="W290" i="5"/>
  <c r="W574" i="5"/>
  <c r="W37" i="5"/>
  <c r="W51" i="5"/>
  <c r="W317" i="5"/>
  <c r="W778" i="5"/>
  <c r="W569" i="5"/>
  <c r="W370" i="5"/>
  <c r="W506" i="5"/>
  <c r="W469" i="5"/>
  <c r="W223" i="5"/>
  <c r="W237" i="5"/>
  <c r="W277" i="5"/>
  <c r="W662" i="5"/>
  <c r="W87" i="5"/>
  <c r="W510" i="5"/>
  <c r="W76" i="5"/>
  <c r="W619" i="5"/>
  <c r="W703" i="5"/>
  <c r="W711" i="5"/>
  <c r="W712" i="5"/>
  <c r="W606" i="5"/>
  <c r="W91" i="5"/>
  <c r="W391" i="5"/>
  <c r="W520" i="5"/>
  <c r="W358" i="5"/>
  <c r="W234" i="5"/>
  <c r="W407" i="5"/>
  <c r="W771" i="5"/>
  <c r="W464" i="5"/>
  <c r="W545" i="5"/>
  <c r="W322" i="5"/>
  <c r="W245" i="5"/>
  <c r="W731" i="5"/>
  <c r="W275" i="5"/>
  <c r="W305" i="5"/>
  <c r="W377" i="5"/>
  <c r="W197" i="5"/>
  <c r="W298" i="5"/>
  <c r="W494" i="5"/>
  <c r="W123" i="5"/>
  <c r="W565" i="5"/>
  <c r="W780" i="5"/>
  <c r="W466" i="5"/>
  <c r="W309" i="5"/>
  <c r="W556" i="5"/>
  <c r="W186" i="5"/>
  <c r="W355" i="5"/>
  <c r="W694" i="5"/>
  <c r="W362" i="5"/>
  <c r="W19" i="5"/>
  <c r="W472" i="5"/>
  <c r="W784" i="5"/>
  <c r="W219" i="5"/>
  <c r="W173" i="5"/>
  <c r="W692" i="5"/>
  <c r="W701" i="5"/>
  <c r="W306" i="5"/>
  <c r="W202" i="5"/>
  <c r="W593" i="5"/>
  <c r="W725" i="5"/>
  <c r="W172" i="5"/>
  <c r="W655" i="5"/>
  <c r="W532" i="5"/>
  <c r="W170" i="5"/>
  <c r="W105" i="5"/>
  <c r="W260" i="5"/>
  <c r="W591" i="5"/>
  <c r="W710" i="5"/>
  <c r="W119" i="5"/>
  <c r="W112" i="5"/>
  <c r="W115" i="5"/>
  <c r="W561" i="5"/>
  <c r="W541" i="5"/>
  <c r="W397" i="5"/>
  <c r="W121" i="5"/>
  <c r="W487" i="5"/>
  <c r="W347" i="5"/>
  <c r="W631" i="5"/>
  <c r="W528" i="5"/>
  <c r="W446" i="5"/>
  <c r="W316" i="5"/>
  <c r="W323" i="5"/>
  <c r="W383" i="5"/>
  <c r="W478" i="5"/>
  <c r="W179" i="5"/>
  <c r="W672" i="5"/>
  <c r="W254" i="5"/>
  <c r="W743" i="5"/>
  <c r="W198" i="5"/>
  <c r="W679" i="5"/>
  <c r="W43" i="5"/>
  <c r="W747" i="5"/>
  <c r="W427" i="5"/>
  <c r="W227" i="5"/>
  <c r="W210" i="5"/>
  <c r="W218" i="5"/>
  <c r="W215" i="5"/>
  <c r="W242" i="5"/>
  <c r="W178" i="5"/>
  <c r="W300" i="5"/>
  <c r="W332" i="5"/>
  <c r="W52" i="5"/>
  <c r="W663" i="5"/>
  <c r="W233" i="5"/>
  <c r="W626" i="5"/>
  <c r="W490" i="5"/>
  <c r="W732" i="5"/>
  <c r="W571" i="5"/>
  <c r="W399" i="5"/>
  <c r="W461" i="5"/>
  <c r="W772" i="5"/>
  <c r="W250" i="5"/>
  <c r="W60" i="5"/>
  <c r="W713" i="5"/>
  <c r="W463" i="5"/>
  <c r="W256" i="5"/>
  <c r="W801" i="5"/>
  <c r="W704" i="5"/>
  <c r="W22" i="5"/>
  <c r="W603" i="5"/>
  <c r="W381" i="5"/>
  <c r="W438" i="5"/>
  <c r="W693" i="5"/>
  <c r="W465" i="5"/>
  <c r="W122" i="5"/>
  <c r="W714" i="5"/>
  <c r="W217" i="5"/>
  <c r="W611" i="5"/>
  <c r="W773" i="5"/>
  <c r="W128" i="5"/>
  <c r="W291" i="5"/>
  <c r="W303" i="5"/>
  <c r="W230" i="5"/>
  <c r="W392" i="5"/>
  <c r="W248" i="5"/>
  <c r="W40" i="5"/>
  <c r="W157" i="5"/>
  <c r="W360" i="5"/>
  <c r="W695" i="5"/>
  <c r="W3" i="5"/>
  <c r="W737" i="5"/>
  <c r="W83" i="5"/>
  <c r="W634" i="5"/>
  <c r="W644" i="5"/>
  <c r="W313" i="5"/>
  <c r="W447" i="5"/>
  <c r="W335" i="5"/>
  <c r="W454" i="5"/>
  <c r="W205" i="5"/>
  <c r="F6" i="7"/>
  <c r="C6" i="7"/>
  <c r="L6" i="7"/>
  <c r="I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90135-2F1C-48B9-8655-FB2ED1D60DB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<sst xmlns="http://schemas.openxmlformats.org/spreadsheetml/2006/main" count="16525" uniqueCount="1330">
  <si>
    <t>Xodim_ID</t>
  </si>
  <si>
    <t>Ism_familiya</t>
  </si>
  <si>
    <t>Jins</t>
  </si>
  <si>
    <t>Tug'ilgan_sana</t>
  </si>
  <si>
    <t>Ishga_kirgan_sana</t>
  </si>
  <si>
    <t>Bo'lim</t>
  </si>
  <si>
    <t>Lavozim</t>
  </si>
  <si>
    <t>Daraja</t>
  </si>
  <si>
    <t>Shahar</t>
  </si>
  <si>
    <t>Oylik (so'm)</t>
  </si>
  <si>
    <t>Samaradorlik_bahosi (1-5)</t>
  </si>
  <si>
    <t>Mamnunlik_bahosi (1-5)</t>
  </si>
  <si>
    <t>Qo'shimcha_ish_soati (oyiga)</t>
  </si>
  <si>
    <t>Ish_formati</t>
  </si>
  <si>
    <t>Ta'lim</t>
  </si>
  <si>
    <t>Ishdan_ketgan</t>
  </si>
  <si>
    <t>Ketgan_sana</t>
  </si>
  <si>
    <t>Ketish_sababi</t>
  </si>
  <si>
    <t>EMP-0001</t>
  </si>
  <si>
    <t>Nodira Ismoilova</t>
  </si>
  <si>
    <t>Ayol</t>
  </si>
  <si>
    <t>IT</t>
  </si>
  <si>
    <t>Dasturchi</t>
  </si>
  <si>
    <t>Senior</t>
  </si>
  <si>
    <t>Toshkent</t>
  </si>
  <si>
    <t>Gibrid</t>
  </si>
  <si>
    <t>Bakalavr</t>
  </si>
  <si>
    <t>Ha</t>
  </si>
  <si>
    <t>Maosh past</t>
  </si>
  <si>
    <t>EMP-0002</t>
  </si>
  <si>
    <t>Timur Karimov</t>
  </si>
  <si>
    <t>Erkak</t>
  </si>
  <si>
    <t>QA muhandisi</t>
  </si>
  <si>
    <t>Junior</t>
  </si>
  <si>
    <t>Samarqand</t>
  </si>
  <si>
    <t>O'rta maxsus</t>
  </si>
  <si>
    <t>Yo'q</t>
  </si>
  <si>
    <t>EMP-0003</t>
  </si>
  <si>
    <t>Rustam Qodirov</t>
  </si>
  <si>
    <t>HR</t>
  </si>
  <si>
    <t>Rekruter</t>
  </si>
  <si>
    <t>Ofis</t>
  </si>
  <si>
    <t>EMP-0004</t>
  </si>
  <si>
    <t>Bobur Saidov</t>
  </si>
  <si>
    <t>Farg'ona</t>
  </si>
  <si>
    <t>EMP-0005</t>
  </si>
  <si>
    <t>Sherzod Qodirov</t>
  </si>
  <si>
    <t>Marketing</t>
  </si>
  <si>
    <t>Kontent menejer</t>
  </si>
  <si>
    <t>EMP-0006</t>
  </si>
  <si>
    <t>Rustam Normatov</t>
  </si>
  <si>
    <t>Mijozlar xizmati</t>
  </si>
  <si>
    <t>Mijozlar bilan ishlash mutaxassisi</t>
  </si>
  <si>
    <t>Magistr</t>
  </si>
  <si>
    <t>EMP-0007</t>
  </si>
  <si>
    <t>Otabek Rahimov</t>
  </si>
  <si>
    <t>Moliya</t>
  </si>
  <si>
    <t>Kassir</t>
  </si>
  <si>
    <t>EMP-0008</t>
  </si>
  <si>
    <t>Doniyor Umarov</t>
  </si>
  <si>
    <t>Moliyaviy tahlilchi</t>
  </si>
  <si>
    <t>Rahbar bilan muammo</t>
  </si>
  <si>
    <t>EMP-0009</t>
  </si>
  <si>
    <t>Behruz Mirzayev</t>
  </si>
  <si>
    <t>Sotuv</t>
  </si>
  <si>
    <t>Savdo vakili</t>
  </si>
  <si>
    <t>EMP-0010</t>
  </si>
  <si>
    <t>Feruza Sobirova</t>
  </si>
  <si>
    <t>Middle</t>
  </si>
  <si>
    <t>EMP-0011</t>
  </si>
  <si>
    <t>Ulugbek Hasanov</t>
  </si>
  <si>
    <t>EMP-0012</t>
  </si>
  <si>
    <t>Feruza Normatova</t>
  </si>
  <si>
    <t>Sotuv menejeri</t>
  </si>
  <si>
    <t>EMP-0013</t>
  </si>
  <si>
    <t>Timur Normatov</t>
  </si>
  <si>
    <t>EMP-0014</t>
  </si>
  <si>
    <t>Islom Hasanov</t>
  </si>
  <si>
    <t>sotuv</t>
  </si>
  <si>
    <t>Hudud menejeri</t>
  </si>
  <si>
    <t>EMP-0015</t>
  </si>
  <si>
    <t>Malika Saidova</t>
  </si>
  <si>
    <t>Andijon</t>
  </si>
  <si>
    <t>EMP-0016</t>
  </si>
  <si>
    <t>Islom Mirzayev</t>
  </si>
  <si>
    <t>EMP-0017</t>
  </si>
  <si>
    <t>Zilola Mirzayeva</t>
  </si>
  <si>
    <t xml:space="preserve">Marketing </t>
  </si>
  <si>
    <t>Masofaviy</t>
  </si>
  <si>
    <t>EMP-0018</t>
  </si>
  <si>
    <t>Marketolog</t>
  </si>
  <si>
    <t>EMP-0019</t>
  </si>
  <si>
    <t>Shahlo Ergasheva</t>
  </si>
  <si>
    <t>Call-markaz operatori</t>
  </si>
  <si>
    <t>EMP-0020</t>
  </si>
  <si>
    <t>Nigora Mirzayeva</t>
  </si>
  <si>
    <t>Namangan</t>
  </si>
  <si>
    <t>EMP-0021</t>
  </si>
  <si>
    <t>Mohira Nazarova</t>
  </si>
  <si>
    <t>EMP-0022</t>
  </si>
  <si>
    <t>Malika Mirzayeva</t>
  </si>
  <si>
    <t>EMP-0023</t>
  </si>
  <si>
    <t>Dilnoza Karimova</t>
  </si>
  <si>
    <t>Tizim administratori</t>
  </si>
  <si>
    <t>Buxoro</t>
  </si>
  <si>
    <t>EMP-0024</t>
  </si>
  <si>
    <t>Shahlo Sobirova</t>
  </si>
  <si>
    <t>EMP-0025</t>
  </si>
  <si>
    <t>Sevara Abdullayeva</t>
  </si>
  <si>
    <t>EMP-0026</t>
  </si>
  <si>
    <t>Madina Qodirova</t>
  </si>
  <si>
    <t>Ish yuklamasi ko'p</t>
  </si>
  <si>
    <t>EMP-0027</t>
  </si>
  <si>
    <t>Dilfuza Nazarova</t>
  </si>
  <si>
    <t>Logistika</t>
  </si>
  <si>
    <t>Logist</t>
  </si>
  <si>
    <t>EMP-0028</t>
  </si>
  <si>
    <t>Jahongir Rahimov</t>
  </si>
  <si>
    <t>EMP-0029</t>
  </si>
  <si>
    <t>Sardor Ergashev</t>
  </si>
  <si>
    <t>EMP-0030</t>
  </si>
  <si>
    <t>Sardor Mirzayev</t>
  </si>
  <si>
    <t>EMP-0031</t>
  </si>
  <si>
    <t>EMP-0032</t>
  </si>
  <si>
    <t>Otabek Ergashev</t>
  </si>
  <si>
    <t>EMP-0033</t>
  </si>
  <si>
    <t>Shaxzod Nazarov</t>
  </si>
  <si>
    <t>SMM mutaxassisi</t>
  </si>
  <si>
    <t>EMP-0034</t>
  </si>
  <si>
    <t>Behruz Umarov</t>
  </si>
  <si>
    <t>EMP-0035</t>
  </si>
  <si>
    <t>Nigora Saidova</t>
  </si>
  <si>
    <t>EMP-0036</t>
  </si>
  <si>
    <t>Gulnora Hasanova</t>
  </si>
  <si>
    <t>EMP-0037</t>
  </si>
  <si>
    <t>Dilshod Nazarov</t>
  </si>
  <si>
    <t>EMP-0038</t>
  </si>
  <si>
    <t>Nodira Hasanova</t>
  </si>
  <si>
    <t>EMP-0039</t>
  </si>
  <si>
    <t>Sevara Qodirova</t>
  </si>
  <si>
    <t>EMP-0040</t>
  </si>
  <si>
    <t>Madina Saidova</t>
  </si>
  <si>
    <t>Buxgalter</t>
  </si>
  <si>
    <t>EMP-0041</t>
  </si>
  <si>
    <t>Timur Tursunov</t>
  </si>
  <si>
    <t>Shaxsiy sabab</t>
  </si>
  <si>
    <t>EMP-0042</t>
  </si>
  <si>
    <t>Kamola Hasanova</t>
  </si>
  <si>
    <t>EMP-0043</t>
  </si>
  <si>
    <t>Akmal Normatov</t>
  </si>
  <si>
    <t>Ombor mudiri</t>
  </si>
  <si>
    <t>EMP-0044</t>
  </si>
  <si>
    <t>Otabek Ismoilov</t>
  </si>
  <si>
    <t>EMP-0045</t>
  </si>
  <si>
    <t>Zilola Qodirova</t>
  </si>
  <si>
    <t>Karyera o'sishi yo'q</t>
  </si>
  <si>
    <t>EMP-0046</t>
  </si>
  <si>
    <t>Zilola Ergasheva</t>
  </si>
  <si>
    <t>EMP-0047</t>
  </si>
  <si>
    <t>Sherzod Ergashev</t>
  </si>
  <si>
    <t>EMP-0048</t>
  </si>
  <si>
    <t>Aziza Qodirova</t>
  </si>
  <si>
    <t>EMP-0049</t>
  </si>
  <si>
    <t>Jahongir Ismoilov</t>
  </si>
  <si>
    <t>EMP-0050</t>
  </si>
  <si>
    <t>Feruza Mirzayeva</t>
  </si>
  <si>
    <t>EMP-0051</t>
  </si>
  <si>
    <t>Ulugbek Rahimov</t>
  </si>
  <si>
    <t>EMP-0052</t>
  </si>
  <si>
    <t>Rustam Umarov</t>
  </si>
  <si>
    <t>HR menejer</t>
  </si>
  <si>
    <t>EMP-0053</t>
  </si>
  <si>
    <t>Aziz Sobirov</t>
  </si>
  <si>
    <t>EMP-0054</t>
  </si>
  <si>
    <t>Mohira Tursunova</t>
  </si>
  <si>
    <t>EMP-0055</t>
  </si>
  <si>
    <t>EMP-0056</t>
  </si>
  <si>
    <t>Malika Yusupova</t>
  </si>
  <si>
    <t>EMP-0057</t>
  </si>
  <si>
    <t>Jahongir Mirzayev</t>
  </si>
  <si>
    <t>EMP-0058</t>
  </si>
  <si>
    <t>EMP-0059</t>
  </si>
  <si>
    <t>Aziza Yusupova</t>
  </si>
  <si>
    <t>EMP-0060</t>
  </si>
  <si>
    <t>Timur Hasanov</t>
  </si>
  <si>
    <t>EMP-0061</t>
  </si>
  <si>
    <t>Nodira Nazarova</t>
  </si>
  <si>
    <t>EMP-0062</t>
  </si>
  <si>
    <t>Madina Normatova</t>
  </si>
  <si>
    <t>EMP-0063</t>
  </si>
  <si>
    <t>Behruz Nazarov</t>
  </si>
  <si>
    <t>EMP-0064</t>
  </si>
  <si>
    <t>Sevara Hasanova</t>
  </si>
  <si>
    <t>EMP-0065</t>
  </si>
  <si>
    <t>EMP-0066</t>
  </si>
  <si>
    <t>EMP-0067</t>
  </si>
  <si>
    <t>Haydovchi-ekspeditor</t>
  </si>
  <si>
    <t>EMP-0068</t>
  </si>
  <si>
    <t>Nodira Abdullayeva</t>
  </si>
  <si>
    <t>EMP-0069</t>
  </si>
  <si>
    <t>Sardor Umarov</t>
  </si>
  <si>
    <t>EMP-0070</t>
  </si>
  <si>
    <t>Aziza Saidova</t>
  </si>
  <si>
    <t>EMP-0071</t>
  </si>
  <si>
    <t>EMP-0072</t>
  </si>
  <si>
    <t>Akmal Qodirov</t>
  </si>
  <si>
    <t>Qarshi</t>
  </si>
  <si>
    <t>EMP-0073</t>
  </si>
  <si>
    <t>Sevara Ergasheva</t>
  </si>
  <si>
    <t>EMP-0074</t>
  </si>
  <si>
    <t>Aziz Nazarov</t>
  </si>
  <si>
    <t>EMP-0075</t>
  </si>
  <si>
    <t>Ulugbek Nazarov</t>
  </si>
  <si>
    <t>EMP-0076</t>
  </si>
  <si>
    <t>EMP-0077</t>
  </si>
  <si>
    <t>Dilfuza Ergasheva</t>
  </si>
  <si>
    <t>EMP-0078</t>
  </si>
  <si>
    <t>Akmal Ergashev</t>
  </si>
  <si>
    <t>EMP-0079</t>
  </si>
  <si>
    <t>Dilnoza Ergasheva</t>
  </si>
  <si>
    <t>EMP-0080</t>
  </si>
  <si>
    <t>Zilola Tursunova</t>
  </si>
  <si>
    <t>EMP-0081</t>
  </si>
  <si>
    <t>Timur Sobirov</t>
  </si>
  <si>
    <t>EMP-0082</t>
  </si>
  <si>
    <t>Nigora Nazarova</t>
  </si>
  <si>
    <t>EMP-0083</t>
  </si>
  <si>
    <t>Sevara Tursunova</t>
  </si>
  <si>
    <t>EMP-0084</t>
  </si>
  <si>
    <t>A</t>
  </si>
  <si>
    <t>EMP-0085</t>
  </si>
  <si>
    <t>Zilola Abdullayeva</t>
  </si>
  <si>
    <t>EMP-0086</t>
  </si>
  <si>
    <t>Aziz Abdullayev</t>
  </si>
  <si>
    <t>erkak</t>
  </si>
  <si>
    <t>Boshqa shaharga ko'chdi</t>
  </si>
  <si>
    <t>EMP-0087</t>
  </si>
  <si>
    <t>Shahlo Qodirova</t>
  </si>
  <si>
    <t>EMP-0088</t>
  </si>
  <si>
    <t>Nodira Saidova</t>
  </si>
  <si>
    <t>ayol</t>
  </si>
  <si>
    <t>EMP-0089</t>
  </si>
  <si>
    <t>Aziz Mirzayev</t>
  </si>
  <si>
    <t>EMP-0090</t>
  </si>
  <si>
    <t>Akmal Ismoilov</t>
  </si>
  <si>
    <t>MARKETING</t>
  </si>
  <si>
    <t>EMP-0091</t>
  </si>
  <si>
    <t>EMP-0092</t>
  </si>
  <si>
    <t>Timur Mirzayev</t>
  </si>
  <si>
    <t>EMP-0093</t>
  </si>
  <si>
    <t>Behruz Sobirov</t>
  </si>
  <si>
    <t>EMP-0094</t>
  </si>
  <si>
    <t>EMP-0095</t>
  </si>
  <si>
    <t>EMP-0096</t>
  </si>
  <si>
    <t>Akmal Hasanov</t>
  </si>
  <si>
    <t>EMP-0097</t>
  </si>
  <si>
    <t>Sevara Karimova</t>
  </si>
  <si>
    <t>EMP-0098</t>
  </si>
  <si>
    <t>Malika Tursunova</t>
  </si>
  <si>
    <t>EMP-0099</t>
  </si>
  <si>
    <t>Doniyor Tursunov</t>
  </si>
  <si>
    <t>EMP-0100</t>
  </si>
  <si>
    <t>Dilfuza Ismoilova</t>
  </si>
  <si>
    <t>EMP-0101</t>
  </si>
  <si>
    <t>EMP-0102</t>
  </si>
  <si>
    <t>Behruz Hasanov</t>
  </si>
  <si>
    <t>EMP-0103</t>
  </si>
  <si>
    <t>Doniyor Normatov</t>
  </si>
  <si>
    <t>EMP-0104</t>
  </si>
  <si>
    <t>Madina Ergasheva</t>
  </si>
  <si>
    <t>EMP-0105</t>
  </si>
  <si>
    <t>Jasur Tursunov</t>
  </si>
  <si>
    <t>EMP-0106</t>
  </si>
  <si>
    <t>Gulnora Rahimova</t>
  </si>
  <si>
    <t>EMP-0107</t>
  </si>
  <si>
    <t>Madina Umarova</t>
  </si>
  <si>
    <t>EMP-0108</t>
  </si>
  <si>
    <t>Gulnora Ismoilova</t>
  </si>
  <si>
    <t>EMP-0109</t>
  </si>
  <si>
    <t>Aziza Tursunova</t>
  </si>
  <si>
    <t>EMP-0110</t>
  </si>
  <si>
    <t>Doniyor Karimov</t>
  </si>
  <si>
    <t>EMP-0111</t>
  </si>
  <si>
    <t>Islom Normatov</t>
  </si>
  <si>
    <t>EMP-0112</t>
  </si>
  <si>
    <t>Madina Karimova</t>
  </si>
  <si>
    <t>EMP-0113</t>
  </si>
  <si>
    <t>Bobur Nazarov</t>
  </si>
  <si>
    <t>EMP-0114</t>
  </si>
  <si>
    <t>EMP-0115</t>
  </si>
  <si>
    <t>Dilshod Karimov</t>
  </si>
  <si>
    <t>EMP-0116</t>
  </si>
  <si>
    <t>Timur Ergashev</t>
  </si>
  <si>
    <t>EMP-0117</t>
  </si>
  <si>
    <t>Ulugbek Saidov</t>
  </si>
  <si>
    <t>EMP-0118</t>
  </si>
  <si>
    <t>Kamola Karimova</t>
  </si>
  <si>
    <t>EMP-0119</t>
  </si>
  <si>
    <t>Madina Tursunova</t>
  </si>
  <si>
    <t>EMP-0120</t>
  </si>
  <si>
    <t>EMP-0121</t>
  </si>
  <si>
    <t>Dilnoza Umarova</t>
  </si>
  <si>
    <t>EMP-0122</t>
  </si>
  <si>
    <t>EMP-0123</t>
  </si>
  <si>
    <t>Malika Normatova</t>
  </si>
  <si>
    <t>EMP-0124</t>
  </si>
  <si>
    <t>marketing</t>
  </si>
  <si>
    <t>EMP-0125</t>
  </si>
  <si>
    <t>Shaxzod Mirzayev</t>
  </si>
  <si>
    <t>EMP-0126</t>
  </si>
  <si>
    <t>EMP-0127</t>
  </si>
  <si>
    <t>Rustam Ismoilov</t>
  </si>
  <si>
    <t>EMP-0128</t>
  </si>
  <si>
    <t>Kamola Yusupova</t>
  </si>
  <si>
    <t>EMP-0129</t>
  </si>
  <si>
    <t>EMP-0130</t>
  </si>
  <si>
    <t>Aziz Rahimov</t>
  </si>
  <si>
    <t>EMP-0131</t>
  </si>
  <si>
    <t>Sardor Nazarov</t>
  </si>
  <si>
    <t>EMP-0132</t>
  </si>
  <si>
    <t>Malika Ismoilova</t>
  </si>
  <si>
    <t>EMP-0133</t>
  </si>
  <si>
    <t>Nodira Karimova</t>
  </si>
  <si>
    <t>EMP-0134</t>
  </si>
  <si>
    <t>Dilnoza Tursunova</t>
  </si>
  <si>
    <t>EMP-0135</t>
  </si>
  <si>
    <t>EMP-0136</t>
  </si>
  <si>
    <t>EMP-0137</t>
  </si>
  <si>
    <t>Shahlo Rahimova</t>
  </si>
  <si>
    <t>EMP-0138</t>
  </si>
  <si>
    <t>Gulnora Karimova</t>
  </si>
  <si>
    <t>AYOL</t>
  </si>
  <si>
    <t>EMP-0139</t>
  </si>
  <si>
    <t>EMP-0140</t>
  </si>
  <si>
    <t>Jahongir Hasanov</t>
  </si>
  <si>
    <t>EMP-0141</t>
  </si>
  <si>
    <t>Nigora Karimova</t>
  </si>
  <si>
    <t>EMP-0142</t>
  </si>
  <si>
    <t>Jasur Yusupov</t>
  </si>
  <si>
    <t>EMP-0143</t>
  </si>
  <si>
    <t>EMP-0144</t>
  </si>
  <si>
    <t>Bobur Ergashev</t>
  </si>
  <si>
    <t>EMP-0145</t>
  </si>
  <si>
    <t>Gulnora Qodirova</t>
  </si>
  <si>
    <t>EMP-0146</t>
  </si>
  <si>
    <t>Bobur Normatov</t>
  </si>
  <si>
    <t>EMP-0147</t>
  </si>
  <si>
    <t>Dilnoza Abdullayeva</t>
  </si>
  <si>
    <t>EMP-0148</t>
  </si>
  <si>
    <t>EMP-0149</t>
  </si>
  <si>
    <t>EMP-0150</t>
  </si>
  <si>
    <t>EMP-0151</t>
  </si>
  <si>
    <t>Zilola Saidova</t>
  </si>
  <si>
    <t>EMP-0152</t>
  </si>
  <si>
    <t>Sardor Sobirov</t>
  </si>
  <si>
    <t>EMP-0153</t>
  </si>
  <si>
    <t>Behruz Normatov</t>
  </si>
  <si>
    <t>EMP-0154</t>
  </si>
  <si>
    <t>EMP-0155</t>
  </si>
  <si>
    <t>Jasur Umarov</t>
  </si>
  <si>
    <t>EMP-0156</t>
  </si>
  <si>
    <t>EMP-0157</t>
  </si>
  <si>
    <t>Nodira Ergasheva</t>
  </si>
  <si>
    <t>EMP-0158</t>
  </si>
  <si>
    <t>EMP-0159</t>
  </si>
  <si>
    <t>EMP-0160</t>
  </si>
  <si>
    <t>Zilola Karimova</t>
  </si>
  <si>
    <t>EMP-0161</t>
  </si>
  <si>
    <t>Sardor Yusupov</t>
  </si>
  <si>
    <t>E</t>
  </si>
  <si>
    <t>EMP-0162</t>
  </si>
  <si>
    <t>Islom Nazarov</t>
  </si>
  <si>
    <t>EMP-0163</t>
  </si>
  <si>
    <t>Otabek Mirzayev</t>
  </si>
  <si>
    <t>EMP-0164</t>
  </si>
  <si>
    <t>EMP-0165</t>
  </si>
  <si>
    <t>Nodira Rahimova</t>
  </si>
  <si>
    <t>EMP-0166</t>
  </si>
  <si>
    <t>Dilfuza Karimova</t>
  </si>
  <si>
    <t>EMP-0167</t>
  </si>
  <si>
    <t>EMP-0168</t>
  </si>
  <si>
    <t>EMP-0169</t>
  </si>
  <si>
    <t>Gulnora Umarova</t>
  </si>
  <si>
    <t>EMP-0170</t>
  </si>
  <si>
    <t>Islom Sobirov</t>
  </si>
  <si>
    <t>EMP-0171</t>
  </si>
  <si>
    <t>Behruz Karimov</t>
  </si>
  <si>
    <t>EMP-0172</t>
  </si>
  <si>
    <t>Madina Ismoilova</t>
  </si>
  <si>
    <t>EMP-0173</t>
  </si>
  <si>
    <t>Bobur Rahimov</t>
  </si>
  <si>
    <t>EMP-0174</t>
  </si>
  <si>
    <t>Sardor Tursunov</t>
  </si>
  <si>
    <t>EMP-0175</t>
  </si>
  <si>
    <t>EMP-0176</t>
  </si>
  <si>
    <t>it</t>
  </si>
  <si>
    <t>EMP-0177</t>
  </si>
  <si>
    <t>EMP-0178</t>
  </si>
  <si>
    <t>Aziza Ergasheva</t>
  </si>
  <si>
    <t>EMP-0179</t>
  </si>
  <si>
    <t>Ulugbek Ismoilov</t>
  </si>
  <si>
    <t>Boshqa kompaniyaga o'tdi</t>
  </si>
  <si>
    <t>EMP-0180</t>
  </si>
  <si>
    <t>Mohira Normatova</t>
  </si>
  <si>
    <t>EMP-0181</t>
  </si>
  <si>
    <t>EMP-0182</t>
  </si>
  <si>
    <t>EMP-0183</t>
  </si>
  <si>
    <t>Nigora Ismoilova</t>
  </si>
  <si>
    <t>EMP-0184</t>
  </si>
  <si>
    <t>Jahongir Ergashev</t>
  </si>
  <si>
    <t>EMP-0185</t>
  </si>
  <si>
    <t>Rustam Ergashev</t>
  </si>
  <si>
    <t>EMP-0186</t>
  </si>
  <si>
    <t>Kamola Sobirova</t>
  </si>
  <si>
    <t>EMP-0187</t>
  </si>
  <si>
    <t>Mohira Mirzayeva</t>
  </si>
  <si>
    <t>EMP-0188</t>
  </si>
  <si>
    <t>EMP-0189</t>
  </si>
  <si>
    <t>Aziz Umarov</t>
  </si>
  <si>
    <t>EMP-0190</t>
  </si>
  <si>
    <t>Shaxzod Abdullayev</t>
  </si>
  <si>
    <t>EMP-0191</t>
  </si>
  <si>
    <t>Malika Nazarova</t>
  </si>
  <si>
    <t>EMP-0192</t>
  </si>
  <si>
    <t>EMP-0193</t>
  </si>
  <si>
    <t>Rustam Yusupov</t>
  </si>
  <si>
    <t>EMP-0194</t>
  </si>
  <si>
    <t>EMP-0195</t>
  </si>
  <si>
    <t>Behruz Yusupov</t>
  </si>
  <si>
    <t>EMP-0196</t>
  </si>
  <si>
    <t>EMP-0197</t>
  </si>
  <si>
    <t>Dilnoza Ismoilova</t>
  </si>
  <si>
    <t>EMP-0198</t>
  </si>
  <si>
    <t>Akmal Nazarov</t>
  </si>
  <si>
    <t>EMP-0199</t>
  </si>
  <si>
    <t>Ulugbek Ergashev</t>
  </si>
  <si>
    <t>EMP-0200</t>
  </si>
  <si>
    <t>Sevara Yusupova</t>
  </si>
  <si>
    <t>EMP-0201</t>
  </si>
  <si>
    <t>EMP-0202</t>
  </si>
  <si>
    <t>Dilfuza Hasanova</t>
  </si>
  <si>
    <t>EMP-0203</t>
  </si>
  <si>
    <t>EMP-0204</t>
  </si>
  <si>
    <t>Rustam Hasanov</t>
  </si>
  <si>
    <t>EMP-0205</t>
  </si>
  <si>
    <t>Dilshod Ismoilov</t>
  </si>
  <si>
    <t>EMP-0206</t>
  </si>
  <si>
    <t>EMP-0207</t>
  </si>
  <si>
    <t>Timur Qodirov</t>
  </si>
  <si>
    <t>EMP-0208</t>
  </si>
  <si>
    <t>EMP-0209</t>
  </si>
  <si>
    <t>Zilola Yusupova</t>
  </si>
  <si>
    <t>EMP-0210</t>
  </si>
  <si>
    <t>Mohira Yusupova</t>
  </si>
  <si>
    <t>EMP-0211</t>
  </si>
  <si>
    <t>EMP-0212</t>
  </si>
  <si>
    <t>Jasur Saidov</t>
  </si>
  <si>
    <t>EMP-0213</t>
  </si>
  <si>
    <t>EMP-0214</t>
  </si>
  <si>
    <t>EMP-0215</t>
  </si>
  <si>
    <t>EMP-0216</t>
  </si>
  <si>
    <t>EMP-0217</t>
  </si>
  <si>
    <t>EMP-0218</t>
  </si>
  <si>
    <t>Aziz Normatov</t>
  </si>
  <si>
    <t>EMP-0219</t>
  </si>
  <si>
    <t>Kamola Tursunova</t>
  </si>
  <si>
    <t>EMP-0220</t>
  </si>
  <si>
    <t>EMP-0221</t>
  </si>
  <si>
    <t>Dilnoza Sobirova</t>
  </si>
  <si>
    <t>EMP-0222</t>
  </si>
  <si>
    <t>Dilfuza Rahimova</t>
  </si>
  <si>
    <t>EMP-0223</t>
  </si>
  <si>
    <t>Malika Hasanova</t>
  </si>
  <si>
    <t>EMP-0224</t>
  </si>
  <si>
    <t>EMP-0225</t>
  </si>
  <si>
    <t>EMP-0226</t>
  </si>
  <si>
    <t>EMP-0227</t>
  </si>
  <si>
    <t>Jahongir Normatov</t>
  </si>
  <si>
    <t>EMP-0228</t>
  </si>
  <si>
    <t>Timur Umarov</t>
  </si>
  <si>
    <t>EMP-0229</t>
  </si>
  <si>
    <t>Aziz Yusupov</t>
  </si>
  <si>
    <t>EMP-0230</t>
  </si>
  <si>
    <t>EMP-0231</t>
  </si>
  <si>
    <t>LOGISTIKA</t>
  </si>
  <si>
    <t>EMP-0232</t>
  </si>
  <si>
    <t>EMP-0233</t>
  </si>
  <si>
    <t>Jasur Sobirov</t>
  </si>
  <si>
    <t>EMP-0234</t>
  </si>
  <si>
    <t>Rustam Tursunov</t>
  </si>
  <si>
    <t>EMP-0235</t>
  </si>
  <si>
    <t>EMP-0236</t>
  </si>
  <si>
    <t>Dilfuza Qodirova</t>
  </si>
  <si>
    <t>EMP-0237</t>
  </si>
  <si>
    <t>EMP-0238</t>
  </si>
  <si>
    <t>Kamola Rahimova</t>
  </si>
  <si>
    <t>EMP-0239</t>
  </si>
  <si>
    <t xml:space="preserve">Sotuv </t>
  </si>
  <si>
    <t>EMP-0240</t>
  </si>
  <si>
    <t>Islom Qodirov</t>
  </si>
  <si>
    <t>EMP-0241</t>
  </si>
  <si>
    <t>Sardor Saidov</t>
  </si>
  <si>
    <t>EMP-0242</t>
  </si>
  <si>
    <t>Sardor Normatov</t>
  </si>
  <si>
    <t>EMP-0243</t>
  </si>
  <si>
    <t>EMP-0244</t>
  </si>
  <si>
    <t>EMP-0245</t>
  </si>
  <si>
    <t>Kamola Abdullayeva</t>
  </si>
  <si>
    <t>EMP-0246</t>
  </si>
  <si>
    <t>EMP-0247</t>
  </si>
  <si>
    <t>Dilshod Abdullayev</t>
  </si>
  <si>
    <t>EMP-0248</t>
  </si>
  <si>
    <t>EMP-0249</t>
  </si>
  <si>
    <t>Sevara Ismoilova</t>
  </si>
  <si>
    <t>EMP-0250</t>
  </si>
  <si>
    <t>Zilola Hasanova</t>
  </si>
  <si>
    <t>EMP-0251</t>
  </si>
  <si>
    <t>EMP-0252</t>
  </si>
  <si>
    <t>Islom Ergashev</t>
  </si>
  <si>
    <t>EMP-0253</t>
  </si>
  <si>
    <t>Nodira Sobirova</t>
  </si>
  <si>
    <t>EMP-0254</t>
  </si>
  <si>
    <t>Jahongir Yusupov</t>
  </si>
  <si>
    <t>EMP-0255</t>
  </si>
  <si>
    <t>Sherzod Yusupov</t>
  </si>
  <si>
    <t>EMP-0256</t>
  </si>
  <si>
    <t>Mohira Karimova</t>
  </si>
  <si>
    <t>EMP-0257</t>
  </si>
  <si>
    <t>Bobur Sobirov</t>
  </si>
  <si>
    <t>EMP-0258</t>
  </si>
  <si>
    <t>EMP-0259</t>
  </si>
  <si>
    <t>EMP-0260</t>
  </si>
  <si>
    <t>Timur Ismoilov</t>
  </si>
  <si>
    <t>EMP-0261</t>
  </si>
  <si>
    <t>Sardor Qodirov</t>
  </si>
  <si>
    <t>EMP-0262</t>
  </si>
  <si>
    <t>Ulugbek Yusupov</t>
  </si>
  <si>
    <t>EMP-0263</t>
  </si>
  <si>
    <t>EMP-0264</t>
  </si>
  <si>
    <t>EMP-0265</t>
  </si>
  <si>
    <t>EMP-0266</t>
  </si>
  <si>
    <t>Otabek Sobirov</t>
  </si>
  <si>
    <t>EMP-0267</t>
  </si>
  <si>
    <t>Doniyor Nazarov</t>
  </si>
  <si>
    <t>mijozlar xizmati</t>
  </si>
  <si>
    <t>EMP-0268</t>
  </si>
  <si>
    <t>EMP-0269</t>
  </si>
  <si>
    <t>EMP-0270</t>
  </si>
  <si>
    <t>Dilshod Saidov</t>
  </si>
  <si>
    <t>EMP-0271</t>
  </si>
  <si>
    <t>EMP-0272</t>
  </si>
  <si>
    <t>Jasur Abdullayev</t>
  </si>
  <si>
    <t>EMP-0273</t>
  </si>
  <si>
    <t>EMP-0274</t>
  </si>
  <si>
    <t>Sherzod Sobirov</t>
  </si>
  <si>
    <t>EMP-0275</t>
  </si>
  <si>
    <t>Rustam Abdullayev</t>
  </si>
  <si>
    <t>EMP-0276</t>
  </si>
  <si>
    <t>Feruza Tursunova</t>
  </si>
  <si>
    <t>EMP-0277</t>
  </si>
  <si>
    <t>Aziza Sobirova</t>
  </si>
  <si>
    <t>EMP-0278</t>
  </si>
  <si>
    <t>EMP-0279</t>
  </si>
  <si>
    <t>Behruz Saidov</t>
  </si>
  <si>
    <t>EMP-0280</t>
  </si>
  <si>
    <t>Malika Sobirova</t>
  </si>
  <si>
    <t>EMP-0281</t>
  </si>
  <si>
    <t xml:space="preserve">Logistika </t>
  </si>
  <si>
    <t>EMP-0282</t>
  </si>
  <si>
    <t>Bobur Qodirov</t>
  </si>
  <si>
    <t>EMP-0283</t>
  </si>
  <si>
    <t>EMP-0284</t>
  </si>
  <si>
    <t>Otabek Qodirov</t>
  </si>
  <si>
    <t>EMP-0285</t>
  </si>
  <si>
    <t>Ulugbek Umarov</t>
  </si>
  <si>
    <t>EMP-0286</t>
  </si>
  <si>
    <t>Aziza Umarova</t>
  </si>
  <si>
    <t>EMP-0287</t>
  </si>
  <si>
    <t>Shaxzod Qodirov</t>
  </si>
  <si>
    <t>EMP-0288</t>
  </si>
  <si>
    <t>Dilfuza Mirzayeva</t>
  </si>
  <si>
    <t>EMP-0289</t>
  </si>
  <si>
    <t>EMP-0290</t>
  </si>
  <si>
    <t>EMP-0291</t>
  </si>
  <si>
    <t>EMP-0292</t>
  </si>
  <si>
    <t>EMP-0293</t>
  </si>
  <si>
    <t>EMP-0294</t>
  </si>
  <si>
    <t>Behruz Abdullayev</t>
  </si>
  <si>
    <t>EMP-0295</t>
  </si>
  <si>
    <t>EMP-0296</t>
  </si>
  <si>
    <t>Bobur Tursunov</t>
  </si>
  <si>
    <t>EMP-0297</t>
  </si>
  <si>
    <t>Jasur Ismoilov</t>
  </si>
  <si>
    <t>EMP-0298</t>
  </si>
  <si>
    <t>Islom Ismoilov</t>
  </si>
  <si>
    <t>EMP-0299</t>
  </si>
  <si>
    <t>EMP-0300</t>
  </si>
  <si>
    <t>Otabek Yusupov</t>
  </si>
  <si>
    <t>EMP-0301</t>
  </si>
  <si>
    <t>EMP-0302</t>
  </si>
  <si>
    <t>Shahlo Tursunova</t>
  </si>
  <si>
    <t>EMP-0303</t>
  </si>
  <si>
    <t xml:space="preserve">Mijozlar xizmati </t>
  </si>
  <si>
    <t>EMP-0304</t>
  </si>
  <si>
    <t>EMP-0305</t>
  </si>
  <si>
    <t>EMP-0306</t>
  </si>
  <si>
    <t>Akmal Saidov</t>
  </si>
  <si>
    <t>EMP-0307</t>
  </si>
  <si>
    <t>EMP-0308</t>
  </si>
  <si>
    <t>Doniyor Sobirov</t>
  </si>
  <si>
    <t>EMP-0309</t>
  </si>
  <si>
    <t>EMP-0310</t>
  </si>
  <si>
    <t>EMP-0311</t>
  </si>
  <si>
    <t>Nigora Rahimova</t>
  </si>
  <si>
    <t>EMP-0312</t>
  </si>
  <si>
    <t>Rustam Karimov</t>
  </si>
  <si>
    <t>EMP-0313</t>
  </si>
  <si>
    <t>Doniyor Rahimov</t>
  </si>
  <si>
    <t>EMP-0314</t>
  </si>
  <si>
    <t>Feruza Karimova</t>
  </si>
  <si>
    <t>EMP-0315</t>
  </si>
  <si>
    <t>EMP-0316</t>
  </si>
  <si>
    <t>Jahongir Umarov</t>
  </si>
  <si>
    <t>EMP-0317</t>
  </si>
  <si>
    <t>EMP-0318</t>
  </si>
  <si>
    <t>Aziz Ismoilov</t>
  </si>
  <si>
    <t>EMP-0319</t>
  </si>
  <si>
    <t>Ulugbek Tursunov</t>
  </si>
  <si>
    <t>EMP-0320</t>
  </si>
  <si>
    <t>Behruz Qodirov</t>
  </si>
  <si>
    <t>EMP-0321</t>
  </si>
  <si>
    <t>Doniyor Saidov</t>
  </si>
  <si>
    <t>EMP-0322</t>
  </si>
  <si>
    <t>EMP-0323</t>
  </si>
  <si>
    <t>Jahongir Tursunov</t>
  </si>
  <si>
    <t>EMP-0324</t>
  </si>
  <si>
    <t>Gulnora Abdullayeva</t>
  </si>
  <si>
    <t>EMP-0325</t>
  </si>
  <si>
    <t>EMP-0326</t>
  </si>
  <si>
    <t>EMP-0327</t>
  </si>
  <si>
    <t>Dilshod Ergashev</t>
  </si>
  <si>
    <t xml:space="preserve">Moliya </t>
  </si>
  <si>
    <t>EMP-0328</t>
  </si>
  <si>
    <t>EMP-0329</t>
  </si>
  <si>
    <t>EMP-0330</t>
  </si>
  <si>
    <t>Doniyor Ergashev</t>
  </si>
  <si>
    <t>EMP-0331</t>
  </si>
  <si>
    <t>Sevara Normatova</t>
  </si>
  <si>
    <t>EMP-0332</t>
  </si>
  <si>
    <t>Sherzod Hasanov</t>
  </si>
  <si>
    <t>EMP-0333</t>
  </si>
  <si>
    <t>Otabek Karimov</t>
  </si>
  <si>
    <t>EMP-0334</t>
  </si>
  <si>
    <t>EMP-0335</t>
  </si>
  <si>
    <t>EMP-0336</t>
  </si>
  <si>
    <t>Kamola Umarova</t>
  </si>
  <si>
    <t>EMP-0337</t>
  </si>
  <si>
    <t>EMP-0338</t>
  </si>
  <si>
    <t>Bobur Ismoilov</t>
  </si>
  <si>
    <t>EMP-0339</t>
  </si>
  <si>
    <t>EMP-0340</t>
  </si>
  <si>
    <t>Otabek Saidov</t>
  </si>
  <si>
    <t>EMP-0341</t>
  </si>
  <si>
    <t>EMP-0342</t>
  </si>
  <si>
    <t>Nigora Qodirova</t>
  </si>
  <si>
    <t>EMP-0343</t>
  </si>
  <si>
    <t>Dilshod Yusupov</t>
  </si>
  <si>
    <t>EMP-0344</t>
  </si>
  <si>
    <t>EMP-0345</t>
  </si>
  <si>
    <t>EMP-0346</t>
  </si>
  <si>
    <t>EMP-0347</t>
  </si>
  <si>
    <t>EMP-0348</t>
  </si>
  <si>
    <t>Kamola Nazarova</t>
  </si>
  <si>
    <t>EMP-0349</t>
  </si>
  <si>
    <t>Otabek Normatov</t>
  </si>
  <si>
    <t>EMP-0350</t>
  </si>
  <si>
    <t>Shaxzod Sobirov</t>
  </si>
  <si>
    <t>EMP-0351</t>
  </si>
  <si>
    <t>EMP-0352</t>
  </si>
  <si>
    <t>EMP-0353</t>
  </si>
  <si>
    <t>Islom Tursunov</t>
  </si>
  <si>
    <t>EMP-0354</t>
  </si>
  <si>
    <t>Sevara Mirzayeva</t>
  </si>
  <si>
    <t>EMP-0355</t>
  </si>
  <si>
    <t>Bobur Yusupov</t>
  </si>
  <si>
    <t>EMP-0356</t>
  </si>
  <si>
    <t>EMP-0357</t>
  </si>
  <si>
    <t>EMP-0358</t>
  </si>
  <si>
    <t>EMP-0359</t>
  </si>
  <si>
    <t>Shaxzod Hasanov</t>
  </si>
  <si>
    <t>EMP-0360</t>
  </si>
  <si>
    <t>EMP-0361</t>
  </si>
  <si>
    <t>EMP-0362</t>
  </si>
  <si>
    <t>Malika Umarova</t>
  </si>
  <si>
    <t>EMP-0363</t>
  </si>
  <si>
    <t>Shaxzod Normatov</t>
  </si>
  <si>
    <t>EMP-0364</t>
  </si>
  <si>
    <t>Zilola Ismoilova</t>
  </si>
  <si>
    <t>EMP-0365</t>
  </si>
  <si>
    <t>EMP-0366</t>
  </si>
  <si>
    <t>Jasur Ergashev</t>
  </si>
  <si>
    <t>EMP-0367</t>
  </si>
  <si>
    <t>EMP-0368</t>
  </si>
  <si>
    <t>EMP-0369</t>
  </si>
  <si>
    <t>EMP-0370</t>
  </si>
  <si>
    <t>EMP-0371</t>
  </si>
  <si>
    <t>EMP-0372</t>
  </si>
  <si>
    <t>EMP-0373</t>
  </si>
  <si>
    <t>Rustam Nazarov</t>
  </si>
  <si>
    <t>EMP-0374</t>
  </si>
  <si>
    <t>Feruza Nazarova</t>
  </si>
  <si>
    <t>EMP-0375</t>
  </si>
  <si>
    <t>EMP-0376</t>
  </si>
  <si>
    <t>Nodira Tursunova</t>
  </si>
  <si>
    <t>EMP-0377</t>
  </si>
  <si>
    <t>EMP-0378</t>
  </si>
  <si>
    <t>EMP-0379</t>
  </si>
  <si>
    <t>EMP-0380</t>
  </si>
  <si>
    <t>Nodira Qodirova</t>
  </si>
  <si>
    <t>EMP-0381</t>
  </si>
  <si>
    <t>EMP-0382</t>
  </si>
  <si>
    <t>EMP-0383</t>
  </si>
  <si>
    <t>EMP-0384</t>
  </si>
  <si>
    <t>Sherzod Mirzayev</t>
  </si>
  <si>
    <t>EMP-0385</t>
  </si>
  <si>
    <t>Dilnoza Nazarova</t>
  </si>
  <si>
    <t>EMP-0386</t>
  </si>
  <si>
    <t>Jahongir Qodirov</t>
  </si>
  <si>
    <t>EMP-0387</t>
  </si>
  <si>
    <t>Shaxzod Ergashev</t>
  </si>
  <si>
    <t>EMP-0388</t>
  </si>
  <si>
    <t>Doniyor Mirzayev</t>
  </si>
  <si>
    <t>EMP-0389</t>
  </si>
  <si>
    <t>EMP-0390</t>
  </si>
  <si>
    <t>Doniyor Yusupov</t>
  </si>
  <si>
    <t>EMP-0391</t>
  </si>
  <si>
    <t>EMP-0392</t>
  </si>
  <si>
    <t>EMP-0393</t>
  </si>
  <si>
    <t>Jasur Karimov</t>
  </si>
  <si>
    <t>EMP-0394</t>
  </si>
  <si>
    <t>Dilfuza Umarova</t>
  </si>
  <si>
    <t>EMP-0395</t>
  </si>
  <si>
    <t>Nodira Mirzayeva</t>
  </si>
  <si>
    <t>EMP-0396</t>
  </si>
  <si>
    <t>EMP-0397</t>
  </si>
  <si>
    <t>EMP-0398</t>
  </si>
  <si>
    <t>Zilola Sobirova</t>
  </si>
  <si>
    <t>EMP-0399</t>
  </si>
  <si>
    <t>Kamola Normatova</t>
  </si>
  <si>
    <t>EMP-0400</t>
  </si>
  <si>
    <t>EMP-0401</t>
  </si>
  <si>
    <t>Jahongir Karimov</t>
  </si>
  <si>
    <t>EMP-0402</t>
  </si>
  <si>
    <t>EMP-0403</t>
  </si>
  <si>
    <t>Mohira Sobirova</t>
  </si>
  <si>
    <t>EMP-0404</t>
  </si>
  <si>
    <t>EMP-0405</t>
  </si>
  <si>
    <t>Jahongir Nazarov</t>
  </si>
  <si>
    <t>EMP-0406</t>
  </si>
  <si>
    <t>EMP-0407</t>
  </si>
  <si>
    <t>EMP-0408</t>
  </si>
  <si>
    <t>EMP-0409</t>
  </si>
  <si>
    <t>Behruz Ismoilov</t>
  </si>
  <si>
    <t>EMP-0410</t>
  </si>
  <si>
    <t>EMP-0411</t>
  </si>
  <si>
    <t>ERKAK</t>
  </si>
  <si>
    <t>EMP-0412</t>
  </si>
  <si>
    <t>EMP-0413</t>
  </si>
  <si>
    <t>Nodira Normatova</t>
  </si>
  <si>
    <t>EMP-0414</t>
  </si>
  <si>
    <t>Feruza Qodirova</t>
  </si>
  <si>
    <t>EMP-0415</t>
  </si>
  <si>
    <t>EMP-0416</t>
  </si>
  <si>
    <t>Aziz Saidov</t>
  </si>
  <si>
    <t>EMP-0417</t>
  </si>
  <si>
    <t>Jasur Hasanov</t>
  </si>
  <si>
    <t>EMP-0418</t>
  </si>
  <si>
    <t>Dilshod Sobirov</t>
  </si>
  <si>
    <t>EMP-0419</t>
  </si>
  <si>
    <t>EMP-0420</t>
  </si>
  <si>
    <t>EMP-0421</t>
  </si>
  <si>
    <t>EMP-0422</t>
  </si>
  <si>
    <t>EMP-0423</t>
  </si>
  <si>
    <t>EMP-0424</t>
  </si>
  <si>
    <t>Sardor Rahimov</t>
  </si>
  <si>
    <t>EMP-0425</t>
  </si>
  <si>
    <t>Zilola Nazarova</t>
  </si>
  <si>
    <t>EMP-0426</t>
  </si>
  <si>
    <t>EMP-0427</t>
  </si>
  <si>
    <t>Rustam Mirzayev</t>
  </si>
  <si>
    <t>EMP-0428</t>
  </si>
  <si>
    <t>EMP-0429</t>
  </si>
  <si>
    <t>EMP-0430</t>
  </si>
  <si>
    <t>EMP-0431</t>
  </si>
  <si>
    <t>Mohira Hasanova</t>
  </si>
  <si>
    <t>EMP-0432</t>
  </si>
  <si>
    <t>EMP-0433</t>
  </si>
  <si>
    <t>Gulnora Yusupova</t>
  </si>
  <si>
    <t>EMP-0434</t>
  </si>
  <si>
    <t>EMP-0435</t>
  </si>
  <si>
    <t>EMP-0436</t>
  </si>
  <si>
    <t>Dilnoza Rahimova</t>
  </si>
  <si>
    <t>EMP-0437</t>
  </si>
  <si>
    <t>Islom Karimov</t>
  </si>
  <si>
    <t>EMP-0438</t>
  </si>
  <si>
    <t>EMP-0439</t>
  </si>
  <si>
    <t>Jahongir Abdullayev</t>
  </si>
  <si>
    <t>EMP-0440</t>
  </si>
  <si>
    <t>Mohira Rahimova</t>
  </si>
  <si>
    <t>EMP-0441</t>
  </si>
  <si>
    <t>Madina Abdullayeva</t>
  </si>
  <si>
    <t>EMP-0442</t>
  </si>
  <si>
    <t>Dilshod Mirzayev</t>
  </si>
  <si>
    <t>EMP-0443</t>
  </si>
  <si>
    <t>EMP-0444</t>
  </si>
  <si>
    <t>EMP-0445</t>
  </si>
  <si>
    <t>EMP-0446</t>
  </si>
  <si>
    <t>Feruza Saidova</t>
  </si>
  <si>
    <t>EMP-0447</t>
  </si>
  <si>
    <t>Dilshod Rahimov</t>
  </si>
  <si>
    <t>EMP-0448</t>
  </si>
  <si>
    <t>EMP-0449</t>
  </si>
  <si>
    <t>Nodira Umarova</t>
  </si>
  <si>
    <t>EMP-0450</t>
  </si>
  <si>
    <t>Islom Saidov</t>
  </si>
  <si>
    <t>EMP-0451</t>
  </si>
  <si>
    <t>Sherzod Umarov</t>
  </si>
  <si>
    <t>EMP-0452</t>
  </si>
  <si>
    <t>EMP-0453</t>
  </si>
  <si>
    <t>EMP-0454</t>
  </si>
  <si>
    <t>Feruza Ismoilova</t>
  </si>
  <si>
    <t>EMP-0455</t>
  </si>
  <si>
    <t>Malika Rahimova</t>
  </si>
  <si>
    <t>EMP-0456</t>
  </si>
  <si>
    <t>Sevara Nazarova</t>
  </si>
  <si>
    <t>EMP-0457</t>
  </si>
  <si>
    <t>Jasur Nazarov</t>
  </si>
  <si>
    <t>EMP-0458</t>
  </si>
  <si>
    <t>EMP-0459</t>
  </si>
  <si>
    <t>Kamola Saidova</t>
  </si>
  <si>
    <t>EMP-0460</t>
  </si>
  <si>
    <t>Gulnora Ergasheva</t>
  </si>
  <si>
    <t>EMP-0461</t>
  </si>
  <si>
    <t>EMP-0462</t>
  </si>
  <si>
    <t>EMP-0463</t>
  </si>
  <si>
    <t>EMP-0464</t>
  </si>
  <si>
    <t>EMP-0465</t>
  </si>
  <si>
    <t>Aziza Ismoilova</t>
  </si>
  <si>
    <t>EMP-0466</t>
  </si>
  <si>
    <t>Timur Yusupov</t>
  </si>
  <si>
    <t>EMP-0467</t>
  </si>
  <si>
    <t>EMP-0468</t>
  </si>
  <si>
    <t>EMP-0469</t>
  </si>
  <si>
    <t>Mohira Qodirova</t>
  </si>
  <si>
    <t>EMP-0470</t>
  </si>
  <si>
    <t>Nigora Sobirova</t>
  </si>
  <si>
    <t>EMP-0471</t>
  </si>
  <si>
    <t>Sardor Karimov</t>
  </si>
  <si>
    <t>EMP-0472</t>
  </si>
  <si>
    <t>EMP-0473</t>
  </si>
  <si>
    <t>EMP-0474</t>
  </si>
  <si>
    <t>EMP-0475</t>
  </si>
  <si>
    <t>EMP-0476</t>
  </si>
  <si>
    <t>Dilfuza Sobirova</t>
  </si>
  <si>
    <t>EMP-0477</t>
  </si>
  <si>
    <t>EMP-0478</t>
  </si>
  <si>
    <t>Dilshod Qodirov</t>
  </si>
  <si>
    <t>EMP-0479</t>
  </si>
  <si>
    <t>EMP-0480</t>
  </si>
  <si>
    <t>Otabek Tursunov</t>
  </si>
  <si>
    <t>EMP-0481</t>
  </si>
  <si>
    <t>Feruza Hasanova</t>
  </si>
  <si>
    <t>EMP-0482</t>
  </si>
  <si>
    <t>Doniyor Ismoilov</t>
  </si>
  <si>
    <t>EMP-0483</t>
  </si>
  <si>
    <t>EMP-0484</t>
  </si>
  <si>
    <t>EMP-0485</t>
  </si>
  <si>
    <t>Ulugbek Abdullayev</t>
  </si>
  <si>
    <t>EMP-0486</t>
  </si>
  <si>
    <t>Timur Saidov</t>
  </si>
  <si>
    <t>EMP-0487</t>
  </si>
  <si>
    <t>EMP-0488</t>
  </si>
  <si>
    <t>EMP-0489</t>
  </si>
  <si>
    <t>EMP-0490</t>
  </si>
  <si>
    <t>EMP-0491</t>
  </si>
  <si>
    <t>EMP-0492</t>
  </si>
  <si>
    <t>Dilnoza Saidova</t>
  </si>
  <si>
    <t>EMP-0493</t>
  </si>
  <si>
    <t>EMP-0494</t>
  </si>
  <si>
    <t>EMP-0495</t>
  </si>
  <si>
    <t>EMP-0496</t>
  </si>
  <si>
    <t>EMP-0497</t>
  </si>
  <si>
    <t>EMP-0498</t>
  </si>
  <si>
    <t>EMP-0499</t>
  </si>
  <si>
    <t>EMP-0500</t>
  </si>
  <si>
    <t>EMP-0501</t>
  </si>
  <si>
    <t>Otabek Abdullayev</t>
  </si>
  <si>
    <t>EMP-0502</t>
  </si>
  <si>
    <t>EMP-0503</t>
  </si>
  <si>
    <t>EMP-0504</t>
  </si>
  <si>
    <t>EMP-0505</t>
  </si>
  <si>
    <t>Mohira Ismoilova</t>
  </si>
  <si>
    <t>EMP-0506</t>
  </si>
  <si>
    <t>EMP-0507</t>
  </si>
  <si>
    <t>EMP-0508</t>
  </si>
  <si>
    <t>Sevara Rahimova</t>
  </si>
  <si>
    <t>EMP-0509</t>
  </si>
  <si>
    <t>EMP-0510</t>
  </si>
  <si>
    <t>EMP-0511</t>
  </si>
  <si>
    <t>EMP-0512</t>
  </si>
  <si>
    <t>EMP-0513</t>
  </si>
  <si>
    <t>EMP-0514</t>
  </si>
  <si>
    <t>EMP-0515</t>
  </si>
  <si>
    <t>EMP-0516</t>
  </si>
  <si>
    <t>Zilola Rahimova</t>
  </si>
  <si>
    <t>EMP-0517</t>
  </si>
  <si>
    <t>Malika Qodirova</t>
  </si>
  <si>
    <t>EMP-0518</t>
  </si>
  <si>
    <t>Islom Umarov</t>
  </si>
  <si>
    <t>EMP-0519</t>
  </si>
  <si>
    <t>Jahongir Saidov</t>
  </si>
  <si>
    <t>EMP-0520</t>
  </si>
  <si>
    <t>Madina Yusupova</t>
  </si>
  <si>
    <t>EMP-0521</t>
  </si>
  <si>
    <t>EMP-0522</t>
  </si>
  <si>
    <t>Sherzod Ismoilov</t>
  </si>
  <si>
    <t>EMP-0523</t>
  </si>
  <si>
    <t>EMP-0524</t>
  </si>
  <si>
    <t>Ulugbek Karimov</t>
  </si>
  <si>
    <t>EMP-0525</t>
  </si>
  <si>
    <t>Aziz Karimov</t>
  </si>
  <si>
    <t>EMP-0526</t>
  </si>
  <si>
    <t>EMP-0527</t>
  </si>
  <si>
    <t>EMP-0528</t>
  </si>
  <si>
    <t>EMP-0529</t>
  </si>
  <si>
    <t>Ulugbek Qodirov</t>
  </si>
  <si>
    <t>EMP-0530</t>
  </si>
  <si>
    <t>EMP-0531</t>
  </si>
  <si>
    <t>Gulnora Mirzayeva</t>
  </si>
  <si>
    <t>EMP-0532</t>
  </si>
  <si>
    <t>EMP-0533</t>
  </si>
  <si>
    <t>Jahongir Sobirov</t>
  </si>
  <si>
    <t>EMP-0534</t>
  </si>
  <si>
    <t>EMP-0535</t>
  </si>
  <si>
    <t>EMP-0536</t>
  </si>
  <si>
    <t>EMP-0537</t>
  </si>
  <si>
    <t>EMP-0538</t>
  </si>
  <si>
    <t>EMP-0539</t>
  </si>
  <si>
    <t>EMP-0540</t>
  </si>
  <si>
    <t>EMP-0541</t>
  </si>
  <si>
    <t>Nigora Abdullayeva</t>
  </si>
  <si>
    <t>EMP-0542</t>
  </si>
  <si>
    <t>EMP-0543</t>
  </si>
  <si>
    <t>EMP-0544</t>
  </si>
  <si>
    <t>Jasur Rahimov</t>
  </si>
  <si>
    <t>EMP-0545</t>
  </si>
  <si>
    <t>EMP-0546</t>
  </si>
  <si>
    <t>Bobur Umarov</t>
  </si>
  <si>
    <t>EMP-0547</t>
  </si>
  <si>
    <t>Shaxzod Saidov</t>
  </si>
  <si>
    <t>EMP-0548</t>
  </si>
  <si>
    <t>Madina Nazarova</t>
  </si>
  <si>
    <t>EMP-0549</t>
  </si>
  <si>
    <t>EMP-0550</t>
  </si>
  <si>
    <t>EMP-0551</t>
  </si>
  <si>
    <t>EMP-0552</t>
  </si>
  <si>
    <t>EMP-0553</t>
  </si>
  <si>
    <t>EMP-0554</t>
  </si>
  <si>
    <t>EMP-0555</t>
  </si>
  <si>
    <t>EMP-0556</t>
  </si>
  <si>
    <t>Islom Yusupov</t>
  </si>
  <si>
    <t>EMP-0557</t>
  </si>
  <si>
    <t>Nodira Yusupova</t>
  </si>
  <si>
    <t>EMP-0558</t>
  </si>
  <si>
    <t>EMP-0559</t>
  </si>
  <si>
    <t>EMP-0560</t>
  </si>
  <si>
    <t>EMP-0561</t>
  </si>
  <si>
    <t>EMP-0562</t>
  </si>
  <si>
    <t>Timur Rahimov</t>
  </si>
  <si>
    <t>EMP-0563</t>
  </si>
  <si>
    <t>EMP-0564</t>
  </si>
  <si>
    <t>EMP-0565</t>
  </si>
  <si>
    <t>Kamola Ergasheva</t>
  </si>
  <si>
    <t>EMP-0566</t>
  </si>
  <si>
    <t>Ulugbek Normatov</t>
  </si>
  <si>
    <t>EMP-0567</t>
  </si>
  <si>
    <t>EMP-0568</t>
  </si>
  <si>
    <t>EMP-0569</t>
  </si>
  <si>
    <t>EMP-0570</t>
  </si>
  <si>
    <t>EMP-0571</t>
  </si>
  <si>
    <t>EMP-0572</t>
  </si>
  <si>
    <t>EMP-0573</t>
  </si>
  <si>
    <t>EMP-0574</t>
  </si>
  <si>
    <t>EMP-0575</t>
  </si>
  <si>
    <t>EMP-0576</t>
  </si>
  <si>
    <t>logistika</t>
  </si>
  <si>
    <t>EMP-0577</t>
  </si>
  <si>
    <t>EMP-0578</t>
  </si>
  <si>
    <t>EMP-0579</t>
  </si>
  <si>
    <t>EMP-0580</t>
  </si>
  <si>
    <t>EMP-0581</t>
  </si>
  <si>
    <t>EMP-0582</t>
  </si>
  <si>
    <t>Malika Abdullayeva</t>
  </si>
  <si>
    <t>EMP-0583</t>
  </si>
  <si>
    <t>Shahlo Yusupova</t>
  </si>
  <si>
    <t xml:space="preserve">IT </t>
  </si>
  <si>
    <t>EMP-0584</t>
  </si>
  <si>
    <t>Gulnora Nazarova</t>
  </si>
  <si>
    <t>EMP-0585</t>
  </si>
  <si>
    <t>EMP-0586</t>
  </si>
  <si>
    <t>EMP-0587</t>
  </si>
  <si>
    <t>Islom Abdullayev</t>
  </si>
  <si>
    <t>EMP-0588</t>
  </si>
  <si>
    <t>Feruza Yusupova</t>
  </si>
  <si>
    <t>EMP-0589</t>
  </si>
  <si>
    <t>EMP-0590</t>
  </si>
  <si>
    <t>Dilnoza Yusupova</t>
  </si>
  <si>
    <t>EMP-0591</t>
  </si>
  <si>
    <t>EMP-0592</t>
  </si>
  <si>
    <t>Akmal Tursunov</t>
  </si>
  <si>
    <t>EMP-0593</t>
  </si>
  <si>
    <t>EMP-0594</t>
  </si>
  <si>
    <t>EMP-0595</t>
  </si>
  <si>
    <t>EMP-0596</t>
  </si>
  <si>
    <t>EMP-0597</t>
  </si>
  <si>
    <t>EMP-0598</t>
  </si>
  <si>
    <t>EMP-0599</t>
  </si>
  <si>
    <t>EMP-0600</t>
  </si>
  <si>
    <t>EMP-0601</t>
  </si>
  <si>
    <t>Sevara Umarova</t>
  </si>
  <si>
    <t>EMP-0602</t>
  </si>
  <si>
    <t>EMP-0603</t>
  </si>
  <si>
    <t>EMP-0604</t>
  </si>
  <si>
    <t>EMP-0605</t>
  </si>
  <si>
    <t>EMP-0606</t>
  </si>
  <si>
    <t>SOTUV</t>
  </si>
  <si>
    <t>EMP-0607</t>
  </si>
  <si>
    <t>EMP-0608</t>
  </si>
  <si>
    <t>EMP-0609</t>
  </si>
  <si>
    <t>EMP-0610</t>
  </si>
  <si>
    <t>EMP-0611</t>
  </si>
  <si>
    <t>EMP-0612</t>
  </si>
  <si>
    <t>EMP-0613</t>
  </si>
  <si>
    <t>EMP-0614</t>
  </si>
  <si>
    <t>EMP-0615</t>
  </si>
  <si>
    <t>Nigora Umarova</t>
  </si>
  <si>
    <t>EMP-0616</t>
  </si>
  <si>
    <t>Nigora Yusupova</t>
  </si>
  <si>
    <t>EMP-0617</t>
  </si>
  <si>
    <t>EMP-0618</t>
  </si>
  <si>
    <t>Gulnora Saidova</t>
  </si>
  <si>
    <t>EMP-0619</t>
  </si>
  <si>
    <t>Malika Ergasheva</t>
  </si>
  <si>
    <t>EMP-0620</t>
  </si>
  <si>
    <t>EMP-0621</t>
  </si>
  <si>
    <t>EMP-0622</t>
  </si>
  <si>
    <t>EMP-0623</t>
  </si>
  <si>
    <t>EMP-0624</t>
  </si>
  <si>
    <t>EMP-0625</t>
  </si>
  <si>
    <t>EMP-0626</t>
  </si>
  <si>
    <t>EMP-0627</t>
  </si>
  <si>
    <t>EMP-0628</t>
  </si>
  <si>
    <t>EMP-0629</t>
  </si>
  <si>
    <t>EMP-0630</t>
  </si>
  <si>
    <t>EMP-0631</t>
  </si>
  <si>
    <t>EMP-0632</t>
  </si>
  <si>
    <t>Akmal Mirzayev</t>
  </si>
  <si>
    <t>EMP-0633</t>
  </si>
  <si>
    <t>EMP-0634</t>
  </si>
  <si>
    <t>EMP-0635</t>
  </si>
  <si>
    <t>EMP-0636</t>
  </si>
  <si>
    <t>EMP-0637</t>
  </si>
  <si>
    <t>Mohira Abdullayeva</t>
  </si>
  <si>
    <t>EMP-0638</t>
  </si>
  <si>
    <t>EMP-0639</t>
  </si>
  <si>
    <t>EMP-0640</t>
  </si>
  <si>
    <t>Nigora Tursunova</t>
  </si>
  <si>
    <t>EMP-0641</t>
  </si>
  <si>
    <t>Feruza Abdullayeva</t>
  </si>
  <si>
    <t>EMP-0642</t>
  </si>
  <si>
    <t>EMP-0643</t>
  </si>
  <si>
    <t>EMP-0644</t>
  </si>
  <si>
    <t>EMP-0645</t>
  </si>
  <si>
    <t>Dilfuza Yusupova</t>
  </si>
  <si>
    <t>EMP-0646</t>
  </si>
  <si>
    <t>EMP-0647</t>
  </si>
  <si>
    <t>EMP-0648</t>
  </si>
  <si>
    <t>Shaxzod Rahimov</t>
  </si>
  <si>
    <t>EMP-0649</t>
  </si>
  <si>
    <t>EMP-0650</t>
  </si>
  <si>
    <t>EMP-0651</t>
  </si>
  <si>
    <t>EMP-0652</t>
  </si>
  <si>
    <t>Akmal Karimov</t>
  </si>
  <si>
    <t>EMP-0653</t>
  </si>
  <si>
    <t>EMP-0654</t>
  </si>
  <si>
    <t>Madina Hasanova</t>
  </si>
  <si>
    <t>EMP-0655</t>
  </si>
  <si>
    <t>Dilnoza Normatova</t>
  </si>
  <si>
    <t>EMP-0656</t>
  </si>
  <si>
    <t>EMP-0657</t>
  </si>
  <si>
    <t>EMP-0658</t>
  </si>
  <si>
    <t>EMP-0659</t>
  </si>
  <si>
    <t>Aziza Normatova</t>
  </si>
  <si>
    <t>EMP-0660</t>
  </si>
  <si>
    <t>EMP-0661</t>
  </si>
  <si>
    <t>EMP-0662</t>
  </si>
  <si>
    <t>EMP-0663</t>
  </si>
  <si>
    <t>EMP-0664</t>
  </si>
  <si>
    <t>EMP-0665</t>
  </si>
  <si>
    <t>EMP-0666</t>
  </si>
  <si>
    <t>Gulnora Tursunova</t>
  </si>
  <si>
    <t>EMP-0667</t>
  </si>
  <si>
    <t>EMP-0668</t>
  </si>
  <si>
    <t>EMP-0669</t>
  </si>
  <si>
    <t>EMP-0670</t>
  </si>
  <si>
    <t>EMP-0671</t>
  </si>
  <si>
    <t>EMP-0672</t>
  </si>
  <si>
    <t>EMP-0673</t>
  </si>
  <si>
    <t>EMP-0674</t>
  </si>
  <si>
    <t>Madina Mirzayeva</t>
  </si>
  <si>
    <t>EMP-0675</t>
  </si>
  <si>
    <t>EMP-0676</t>
  </si>
  <si>
    <t>EMP-0677</t>
  </si>
  <si>
    <t>EMP-0678</t>
  </si>
  <si>
    <t>EMP-0679</t>
  </si>
  <si>
    <t>EMP-0680</t>
  </si>
  <si>
    <t>Sherzod Tursunov</t>
  </si>
  <si>
    <t>EMP-0681</t>
  </si>
  <si>
    <t>EMP-0682</t>
  </si>
  <si>
    <t>Kamola Qodirova</t>
  </si>
  <si>
    <t>EMP-0683</t>
  </si>
  <si>
    <t>Mohira Umarova</t>
  </si>
  <si>
    <t>EMP-0684</t>
  </si>
  <si>
    <t>EMP-0685</t>
  </si>
  <si>
    <t>EMP-0686</t>
  </si>
  <si>
    <t>EMP-0687</t>
  </si>
  <si>
    <t>EMP-0688</t>
  </si>
  <si>
    <t>EMP-0689</t>
  </si>
  <si>
    <t>Dilfuza Tursunova</t>
  </si>
  <si>
    <t>EMP-0690</t>
  </si>
  <si>
    <t>EMP-0691</t>
  </si>
  <si>
    <t>EMP-0692</t>
  </si>
  <si>
    <t>EMP-0693</t>
  </si>
  <si>
    <t>EMP-0694</t>
  </si>
  <si>
    <t>EMP-0695</t>
  </si>
  <si>
    <t>EMP-0696</t>
  </si>
  <si>
    <t>EMP-0697</t>
  </si>
  <si>
    <t>Shahlo Nazarova</t>
  </si>
  <si>
    <t>EMP-0698</t>
  </si>
  <si>
    <t>EMP-0699</t>
  </si>
  <si>
    <t>EMP-0700</t>
  </si>
  <si>
    <t>EMP-0701</t>
  </si>
  <si>
    <t>EMP-0702</t>
  </si>
  <si>
    <t>EMP-0703</t>
  </si>
  <si>
    <t>EMP-0704</t>
  </si>
  <si>
    <t>EMP-0705</t>
  </si>
  <si>
    <t>Sardor Abdullayev</t>
  </si>
  <si>
    <t>EMP-0706</t>
  </si>
  <si>
    <t>EMP-0707</t>
  </si>
  <si>
    <t>EMP-0708</t>
  </si>
  <si>
    <t>EMP-0709</t>
  </si>
  <si>
    <t>EMP-0710</t>
  </si>
  <si>
    <t>EMP-0711</t>
  </si>
  <si>
    <t>EMP-0712</t>
  </si>
  <si>
    <t>EMP-0713</t>
  </si>
  <si>
    <t>EMP-0714</t>
  </si>
  <si>
    <t>Feruza Ergasheva</t>
  </si>
  <si>
    <t>EMP-0715</t>
  </si>
  <si>
    <t>EMP-0716</t>
  </si>
  <si>
    <t>EMP-0717</t>
  </si>
  <si>
    <t>EMP-0718</t>
  </si>
  <si>
    <t>Doniyor Hasanov</t>
  </si>
  <si>
    <t>EMP-0719</t>
  </si>
  <si>
    <t>Ulugbek Sobirov</t>
  </si>
  <si>
    <t>EMP-0720</t>
  </si>
  <si>
    <t>EMP-0721</t>
  </si>
  <si>
    <t>EMP-0722</t>
  </si>
  <si>
    <t>EMP-0723</t>
  </si>
  <si>
    <t>EMP-0724</t>
  </si>
  <si>
    <t>EMP-0725</t>
  </si>
  <si>
    <t>Timur Abdullayev</t>
  </si>
  <si>
    <t>EMP-0726</t>
  </si>
  <si>
    <t>EMP-0727</t>
  </si>
  <si>
    <t>EMP-0728</t>
  </si>
  <si>
    <t>EMP-0729</t>
  </si>
  <si>
    <t>EMP-0730</t>
  </si>
  <si>
    <t>EMP-0731</t>
  </si>
  <si>
    <t>EMP-0732</t>
  </si>
  <si>
    <t>EMP-0733</t>
  </si>
  <si>
    <t>EMP-0734</t>
  </si>
  <si>
    <t>EMP-0735</t>
  </si>
  <si>
    <t>EMP-0736</t>
  </si>
  <si>
    <t>EMP-0737</t>
  </si>
  <si>
    <t>EMP-0738</t>
  </si>
  <si>
    <t>EMP-0739</t>
  </si>
  <si>
    <t>EMP-0740</t>
  </si>
  <si>
    <t>EMP-0741</t>
  </si>
  <si>
    <t>Aziz Hasanov</t>
  </si>
  <si>
    <t>EMP-0742</t>
  </si>
  <si>
    <t>EMP-0743</t>
  </si>
  <si>
    <t>EMP-0744</t>
  </si>
  <si>
    <t>EMP-0745</t>
  </si>
  <si>
    <t>EMP-0746</t>
  </si>
  <si>
    <t>EMP-0747</t>
  </si>
  <si>
    <t>EMP-0748</t>
  </si>
  <si>
    <t>EMP-0749</t>
  </si>
  <si>
    <t>EMP-0750</t>
  </si>
  <si>
    <t>EMP-0751</t>
  </si>
  <si>
    <t>EMP-0752</t>
  </si>
  <si>
    <t>EMP-0753</t>
  </si>
  <si>
    <t>EMP-0754</t>
  </si>
  <si>
    <t>EMP-0755</t>
  </si>
  <si>
    <t>Aziz Qodirov</t>
  </si>
  <si>
    <t>EMP-0756</t>
  </si>
  <si>
    <t>Dilnoza Mirzayeva</t>
  </si>
  <si>
    <t>EMP-0757</t>
  </si>
  <si>
    <t>EMP-0758</t>
  </si>
  <si>
    <t>Aziza Rahimova</t>
  </si>
  <si>
    <t>EMP-0759</t>
  </si>
  <si>
    <t>Dilnoza Qodirova</t>
  </si>
  <si>
    <t>EMP-0760</t>
  </si>
  <si>
    <t>EMP-0761</t>
  </si>
  <si>
    <t>EMP-0762</t>
  </si>
  <si>
    <t>Bobur Mirzayev</t>
  </si>
  <si>
    <t>EMP-0763</t>
  </si>
  <si>
    <t>EMP-0764</t>
  </si>
  <si>
    <t>MOLIYA</t>
  </si>
  <si>
    <t>EMP-0765</t>
  </si>
  <si>
    <t>Akmal Sobirov</t>
  </si>
  <si>
    <t>EMP-0766</t>
  </si>
  <si>
    <t>EMP-0767</t>
  </si>
  <si>
    <t>EMP-0768</t>
  </si>
  <si>
    <t>moliya</t>
  </si>
  <si>
    <t>EMP-0769</t>
  </si>
  <si>
    <t>EMP-0770</t>
  </si>
  <si>
    <t>EMP-0771</t>
  </si>
  <si>
    <t>EMP-0772</t>
  </si>
  <si>
    <t>EMP-0773</t>
  </si>
  <si>
    <t>EMP-0774</t>
  </si>
  <si>
    <t>Sevara Saidova</t>
  </si>
  <si>
    <t>EMP-0775</t>
  </si>
  <si>
    <t>EMP-0776</t>
  </si>
  <si>
    <t>EMP-0777</t>
  </si>
  <si>
    <t>Otabek Nazarov</t>
  </si>
  <si>
    <t>EMP-0778</t>
  </si>
  <si>
    <t>Dilshod Hasanov</t>
  </si>
  <si>
    <t>EMP-0779</t>
  </si>
  <si>
    <t>EMP-0780</t>
  </si>
  <si>
    <t>EMP-0781</t>
  </si>
  <si>
    <t>EMP-0782</t>
  </si>
  <si>
    <t>Sherzod Karimov</t>
  </si>
  <si>
    <t>EMP-0783</t>
  </si>
  <si>
    <t>EMP-0784</t>
  </si>
  <si>
    <t>EMP-0785</t>
  </si>
  <si>
    <t>EMP-0786</t>
  </si>
  <si>
    <t>EMP-0787</t>
  </si>
  <si>
    <t>EMP-0788</t>
  </si>
  <si>
    <t>EMP-0789</t>
  </si>
  <si>
    <t>EMP-0790</t>
  </si>
  <si>
    <t>EMP-0791</t>
  </si>
  <si>
    <t>Zilola Umarova</t>
  </si>
  <si>
    <t>EMP-0792</t>
  </si>
  <si>
    <t>EMP-0793</t>
  </si>
  <si>
    <t>Otabek Hasanov</t>
  </si>
  <si>
    <t>EMP-0794</t>
  </si>
  <si>
    <t>EMP-0795</t>
  </si>
  <si>
    <t>Bobur Abdullayev</t>
  </si>
  <si>
    <t>EMP-0796</t>
  </si>
  <si>
    <t>EMP-0797</t>
  </si>
  <si>
    <t>EMP-0798</t>
  </si>
  <si>
    <t>EMP-0799</t>
  </si>
  <si>
    <t>EMP-0800</t>
  </si>
  <si>
    <t>Bo'lim rahbari</t>
  </si>
  <si>
    <t>Xodimlar_soni_reja</t>
  </si>
  <si>
    <t>Shahlo Ismoilova</t>
  </si>
  <si>
    <t>Ustun</t>
  </si>
  <si>
    <t>Tavsif</t>
  </si>
  <si>
    <t>Tur</t>
  </si>
  <si>
    <t>Xodimning noyob raqami</t>
  </si>
  <si>
    <t>Matn</t>
  </si>
  <si>
    <t>To'liq ism</t>
  </si>
  <si>
    <t>Erkak / Ayol</t>
  </si>
  <si>
    <t>Tug'ilgan sana</t>
  </si>
  <si>
    <t>Sana</t>
  </si>
  <si>
    <t>Ishga qabul qilingan sana</t>
  </si>
  <si>
    <t>Ishlagan bo'limi</t>
  </si>
  <si>
    <t>Lavozim nomi</t>
  </si>
  <si>
    <t>Junior / Middle / Senior</t>
  </si>
  <si>
    <t>Ishlagan shahri</t>
  </si>
  <si>
    <t>Oylik maosh, so'm</t>
  </si>
  <si>
    <t>Son</t>
  </si>
  <si>
    <t>Rahbar bahosi, 5 — eng yaxshi</t>
  </si>
  <si>
    <t>Butun son</t>
  </si>
  <si>
    <t>Xodim so'rovnomasi, 5 — to'liq mamnun</t>
  </si>
  <si>
    <t>Oyiga ortiqcha ishlagan soatlar</t>
  </si>
  <si>
    <t>Ofis / Gibrid / Masofaviy</t>
  </si>
  <si>
    <t>O'rta maxsus / Bakalavr / Magistr</t>
  </si>
  <si>
    <t>Ha — ketgan, Yo'q — ishlayapti</t>
  </si>
  <si>
    <t>Ketgan sana (faqat ketganlar uchun)</t>
  </si>
  <si>
    <t>Ketish sababi (faqat ketganlar uchun)</t>
  </si>
  <si>
    <t>MIJOZLAR XIZMATI</t>
  </si>
  <si>
    <t>Yosh</t>
  </si>
  <si>
    <t>Staj_yil</t>
  </si>
  <si>
    <t>Bo'lim_rahbari</t>
  </si>
  <si>
    <t>Ishdan_ketganlar</t>
  </si>
  <si>
    <t>Row Labels</t>
  </si>
  <si>
    <t>Grand Total</t>
  </si>
  <si>
    <t>Average of Ishdan_ketganlar</t>
  </si>
  <si>
    <t>Ishdan ketish foizi</t>
  </si>
  <si>
    <t>Count of Xodim_ID</t>
  </si>
  <si>
    <t>Bo'lim bo'yicha ketishlar</t>
  </si>
  <si>
    <t>staj_guruhi</t>
  </si>
  <si>
    <t>1 yildan kam</t>
  </si>
  <si>
    <t>1-3 yil</t>
  </si>
  <si>
    <t>3 yildan ko'p</t>
  </si>
  <si>
    <t>ishdan ketish sababi</t>
  </si>
  <si>
    <t>Average of Oylik (so'm)</t>
  </si>
  <si>
    <t>oyliklar bo'yicha taqqoslash</t>
  </si>
  <si>
    <t>mamnunlik bahosi</t>
  </si>
  <si>
    <t>staj guruhi bo'yicha</t>
  </si>
  <si>
    <t>Ketganlar soni</t>
  </si>
  <si>
    <t>O'rtacha oylik (so'm)</t>
  </si>
  <si>
    <t>(All)</t>
  </si>
  <si>
    <t xml:space="preserve">Jami xodim </t>
  </si>
  <si>
    <t>Ketgan</t>
  </si>
  <si>
    <t>Ishlayotgan</t>
  </si>
  <si>
    <t>Ketish foizi</t>
  </si>
  <si>
    <t xml:space="preserve">NAVBAHOR GROUP - Xodimlar almashinuvi </t>
  </si>
  <si>
    <t>Holat: 30.09.2026 | 800 xodim, 7 bo’lim</t>
  </si>
  <si>
    <t>Ishdan_ketganlar1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</si>
</sst>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7" x14ac:knownFonts="1">
    <font>
      <sz val="11"/>
      <color theme="1"/>
      <name val="Calibri"/>
      <family val="2"/>
      <scheme val="minor"/>
    </font>
    <font>
      <sz val="10"/>
      <name val="Arial"/>
    </font>
    <font>
      <b/>
      <sz val="10"/>
      <color rgb="FFFFFFFF"/>
      <name val="Arial"/>
    </font>
    <font>
      <sz val="14"/>
      <color theme="1"/>
      <name val="Calibri"/>
      <family val="2"/>
      <scheme val="minor"/>
    </font>
    <font>
      <sz val="18"/>
      <color theme="0"/>
      <name val="Calibri"/>
      <family val="2"/>
      <scheme val="minor"/>
    </font>
    <font>
      <sz val="11"/>
      <color theme="0"/>
      <name val="Calibri"/>
      <family val="2"/>
      <scheme val="minor"/>
    </font>
    <font>
      <sz val="20"/>
      <color theme="1"/>
      <name val="Calibri"/>
      <family val="2"/>
      <scheme val="minor"/>
    </font>
  </fonts>
  <fills count="6">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3">
    <border>
      <left/>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s>
  <cellStyleXfs count="1">
    <xf numFmtId="0" fontId="0" fillId="0" borderId="0"/>
  </cellStyleXfs>
  <cellXfs count="22">
    <xf numFmtId="0" fontId="0" fillId="0" borderId="0" xfId="0"/>
    <xf numFmtId="0" fontId="2" fillId="2" borderId="0" xfId="0" applyFont="1" applyFill="1" applyAlignment="1">
      <alignment horizontal="center" vertical="center" wrapText="1"/>
    </xf>
    <xf numFmtId="0" fontId="1" fillId="0" borderId="0" xfId="0" applyFont="1"/>
    <xf numFmtId="164" fontId="1" fillId="0" borderId="0" xfId="0" applyNumberFormat="1" applyFont="1"/>
    <xf numFmtId="3" fontId="1" fillId="0" borderId="0" xfId="0" applyNumberFormat="1" applyFon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3" fontId="0" fillId="0" borderId="0" xfId="0" applyNumberFormat="1"/>
    <xf numFmtId="0" fontId="4" fillId="3" borderId="0" xfId="0" applyFont="1" applyFill="1" applyAlignment="1">
      <alignment horizontal="center"/>
    </xf>
    <xf numFmtId="0" fontId="5" fillId="3" borderId="0" xfId="0" applyFont="1" applyFill="1" applyAlignment="1">
      <alignment horizontal="center"/>
    </xf>
    <xf numFmtId="0" fontId="0" fillId="4" borderId="0" xfId="0" applyFill="1"/>
    <xf numFmtId="9" fontId="0" fillId="0" borderId="0" xfId="0" applyNumberFormat="1"/>
    <xf numFmtId="0" fontId="3" fillId="5" borderId="1" xfId="0" applyFont="1" applyFill="1" applyBorder="1" applyAlignment="1">
      <alignment horizontal="center" vertical="center"/>
    </xf>
    <xf numFmtId="0" fontId="6" fillId="5" borderId="2" xfId="0" applyFont="1" applyFill="1" applyBorder="1" applyAlignment="1">
      <alignment horizontal="center" vertical="center"/>
    </xf>
    <xf numFmtId="165" fontId="6" fillId="5" borderId="2" xfId="0" applyNumberFormat="1" applyFont="1" applyFill="1" applyBorder="1" applyAlignment="1">
      <alignment horizontal="center" vertical="center"/>
    </xf>
    <xf numFmtId="3" fontId="6" fillId="5" borderId="2" xfId="0" applyNumberFormat="1" applyFont="1" applyFill="1" applyBorder="1" applyAlignment="1">
      <alignment horizontal="center" vertical="center"/>
    </xf>
    <xf numFmtId="0" fontId="5" fillId="3" borderId="0" xfId="0" applyFont="1" applyFill="1" applyAlignment="1">
      <alignment horizontal="center"/>
    </xf>
    <xf numFmtId="0" fontId="0" fillId="4" borderId="0" xfId="0" applyFill="1" applyBorder="1"/>
  </cellXfs>
  <cellStyles count="1">
    <cellStyle name="Normal" xfId="0" builtinId="0"/>
  </cellStyles>
  <dxfs count="42">
    <dxf>
      <numFmt numFmtId="1" formatCode="0"/>
    </dxf>
    <dxf>
      <numFmt numFmtId="19" formatCode="dd/mm/yyyy"/>
    </dxf>
    <dxf>
      <numFmt numFmtId="19" formatCode="dd/mm/yyyy"/>
    </dxf>
    <dxf>
      <numFmt numFmtId="19" formatCode="dd/mm/yyyy"/>
    </dxf>
    <dxf>
      <numFmt numFmtId="13" formatCode="0%"/>
    </dxf>
    <dxf>
      <numFmt numFmtId="3" formatCode="#,##0"/>
    </dxf>
    <dxf>
      <numFmt numFmtId="1" formatCode="0"/>
    </dxf>
    <dxf>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yyyy"/>
    </dxf>
    <dxf>
      <font>
        <b val="0"/>
        <i val="0"/>
        <strike val="0"/>
        <condense val="0"/>
        <extend val="0"/>
        <outline val="0"/>
        <shadow val="0"/>
        <u val="none"/>
        <vertAlign val="baseline"/>
        <sz val="10"/>
        <color auto="1"/>
        <name val="Arial"/>
        <scheme val="none"/>
      </font>
      <numFmt numFmtId="164"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4E78"/>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[NavbahorGroup_2026.xlsx]Pivots!PivotTable2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Bo'limlar</a:t>
            </a:r>
            <a:r>
              <a:rPr lang="en-US" baseline="0"/>
              <a:t> bo'yicha ishdan ketishi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Pivots!$A$17:$A$24</c:f>
              <c:strCache>
                <c:ptCount val="7"/>
                <c:pt idx="0">
                  <c:v>MIJOZLAR XIZMATI</c:v>
                </c:pt>
                <c:pt idx="1">
                  <c:v>SOTUV</c:v>
                </c:pt>
                <c:pt idx="2">
                  <c:v>MOLIYA</c:v>
                </c:pt>
                <c:pt idx="3">
                  <c:v>IT</c:v>
                </c:pt>
                <c:pt idx="4">
                  <c:v>LOGISTIKA</c:v>
                </c:pt>
                <c:pt idx="5">
                  <c:v>MARKETING</c:v>
                </c:pt>
                <c:pt idx="6">
                  <c:v>HR</c:v>
                </c:pt>
              </c:strCache>
            </c:strRef>
          </c:cat>
          <c:val>
            <c:numRef>
              <c:f>Pivots!$B$17:$B$24</c:f>
              <c:numCache>
                <c:formatCode>0.0%</c:formatCode>
                <c:ptCount val="7"/>
                <c:pt idx="0">
                  <c:v>0.23232323232323232</c:v>
                </c:pt>
                <c:pt idx="1">
                  <c:v>0.1891891891891892</c:v>
                </c:pt>
                <c:pt idx="2">
                  <c:v>0.17391304347826086</c:v>
                </c:pt>
                <c:pt idx="3">
                  <c:v>0.16393442622950818</c:v>
                </c:pt>
                <c:pt idx="4">
                  <c:v>0.16363636363636364</c:v>
                </c:pt>
                <c:pt idx="5">
                  <c:v>0.10843373493975904</c:v>
                </c:pt>
                <c:pt idx="6">
                  <c:v>9.0909090909090912E-2</c:v>
                </c:pt>
              </c:numCache>
            </c:numRef>
          </c:val>
          <c:extLst>
            <c:ext xmlns:c16="http://schemas.microsoft.com/office/drawing/2014/chart" uri="{C3380CC4-5D6E-409C-BE32-E72D297353CC}">
              <c16:uniqueId val="{00000000-AB2B-4677-87D9-B778288160ED}"/>
            </c:ext>
          </c:extLst>
        </c:ser>
        <c:dLbls>
          <c:dLblPos val="outEnd"/>
          <c:showLegendKey val="0"/>
          <c:showVal val="1"/>
          <c:showCatName val="0"/>
          <c:showSerName val="0"/>
          <c:showPercent val="0"/>
          <c:showBubbleSize val="0"/>
        </c:dLbls>
        <c:gapWidth val="219"/>
        <c:overlap val="-27"/>
        <c:axId val="1261162736"/>
        <c:axId val="1261167536"/>
      </c:barChart>
      <c:catAx>
        <c:axId val="12611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1167536"/>
        <c:crosses val="autoZero"/>
        <c:auto val="1"/>
        <c:lblAlgn val="ctr"/>
        <c:lblOffset val="100"/>
        <c:noMultiLvlLbl val="0"/>
      </c:catAx>
      <c:valAx>
        <c:axId val="126116753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116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[NavbahorGroup_2026.xlsx]Pivots!PivotTable4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Ishdan ketish sabablari (ketgan xodimlar soni)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Pivots!$A$39:$A$46</c:f>
              <c:strCache>
                <c:ptCount val="7"/>
                <c:pt idx="0">
                  <c:v>Shaxsiy sabab</c:v>
                </c:pt>
                <c:pt idx="1">
                  <c:v>Boshqa kompaniyaga o'tdi</c:v>
                </c:pt>
                <c:pt idx="2">
                  <c:v>Boshqa shaharga ko'chdi</c:v>
                </c:pt>
                <c:pt idx="3">
                  <c:v>Ish yuklamasi ko'p</c:v>
                </c:pt>
                <c:pt idx="4">
                  <c:v>Maosh past</c:v>
                </c:pt>
                <c:pt idx="5">
                  <c:v>Rahbar bilan muammo</c:v>
                </c:pt>
                <c:pt idx="6">
                  <c:v>Karyera o'sishi yo'q</c:v>
                </c:pt>
              </c:strCache>
            </c:strRef>
          </c:cat>
          <c:val>
            <c:numRef>
              <c:f>Pivots!$B$39:$B$46</c:f>
              <c:numCache>
                <c:formatCode>General</c:formatCode>
                <c:ptCount val="7"/>
                <c:pt idx="0">
                  <c:v>10</c:v>
                </c:pt>
                <c:pt idx="1">
                  <c:v>11</c:v>
                </c:pt>
                <c:pt idx="2">
                  <c:v>14</c:v>
                </c:pt>
                <c:pt idx="3">
                  <c:v>22</c:v>
                </c:pt>
                <c:pt idx="4">
                  <c:v>27</c:v>
                </c:pt>
                <c:pt idx="5">
                  <c:v>29</c:v>
                </c:pt>
                <c:pt idx="6">
                  <c:v>30</c:v>
                </c:pt>
              </c:numCache>
            </c:numRef>
          </c:val>
          <c:extLst>
            <c:ext xmlns:c16="http://schemas.microsoft.com/office/drawing/2014/chart" uri="{C3380CC4-5D6E-409C-BE32-E72D297353CC}">
              <c16:uniqueId val="{00000000-D6E3-4FCB-A00C-2B4A0141A21F}"/>
            </c:ext>
          </c:extLst>
        </c:ser>
        <c:dLbls>
          <c:dLblPos val="ctr"/>
          <c:showLegendKey val="0"/>
          <c:showVal val="1"/>
          <c:showCatName val="0"/>
          <c:showSerName val="0"/>
          <c:showPercent val="0"/>
          <c:showBubbleSize val="0"/>
        </c:dLbls>
        <c:gapWidth val="150"/>
        <c:overlap val="100"/>
        <c:axId val="459755680"/>
        <c:axId val="459756160"/>
      </c:barChart>
      <c:catAx>
        <c:axId val="4597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59756160"/>
        <c:crosses val="autoZero"/>
        <c:auto val="1"/>
        <c:lblAlgn val="ctr"/>
        <c:lblOffset val="100"/>
        <c:noMultiLvlLbl val="0"/>
      </c:catAx>
      <c:valAx>
        <c:axId val="45975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5975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[NavbahorGroup_2026.xlsx]Pivots!PivotTable3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Staj bo’yicha ketish foizi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Pivots!$A$30:$A$33</c:f>
              <c:strCache>
                <c:ptCount val="3"/>
                <c:pt idx="0">
                  <c:v>1 yildan kam</c:v>
                </c:pt>
                <c:pt idx="1">
                  <c:v>1-3 yil</c:v>
                </c:pt>
                <c:pt idx="2">
                  <c:v>3 yildan ko'p</c:v>
                </c:pt>
              </c:strCache>
            </c:strRef>
          </c:cat>
          <c:val>
            <c:numRef>
              <c:f>Pivots!$B$30:$B$33</c:f>
              <c:numCache>
                <c:formatCode>0%</c:formatCode>
                <c:ptCount val="3"/>
                <c:pt idx="0">
                  <c:v>0.24875621890547264</c:v>
                </c:pt>
                <c:pt idx="1">
                  <c:v>0.18316831683168316</c:v>
                </c:pt>
                <c:pt idx="2">
                  <c:v>0.14105793450881612</c:v>
                </c:pt>
              </c:numCache>
            </c:numRef>
          </c:val>
          <c:extLst>
            <c:ext xmlns:c16="http://schemas.microsoft.com/office/drawing/2014/chart" uri="{C3380CC4-5D6E-409C-BE32-E72D297353CC}">
              <c16:uniqueId val="{00000000-28EB-4CDE-8C85-D2A26F9AFB04}"/>
            </c:ext>
          </c:extLst>
        </c:ser>
        <c:dLbls>
          <c:dLblPos val="outEnd"/>
          <c:showLegendKey val="0"/>
          <c:showVal val="1"/>
          <c:showCatName val="0"/>
          <c:showSerName val="0"/>
          <c:showPercent val="0"/>
          <c:showBubbleSize val="0"/>
        </c:dLbls>
        <c:gapWidth val="219"/>
        <c:overlap val="-27"/>
        <c:axId val="1176825216"/>
        <c:axId val="1258020944"/>
      </c:barChart>
      <c:catAx>
        <c:axId val="117682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58020944"/>
        <c:crosses val="autoZero"/>
        <c:auto val="1"/>
        <c:lblAlgn val="ctr"/>
        <c:lblOffset val="100"/>
        <c:noMultiLvlLbl val="0"/>
      </c:catAx>
      <c:valAx>
        <c:axId val="1258020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7682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[NavbahorGroup_2026.xlsx]Pivots!PivotTable5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O’rtacha oylik: ketgan va qolgan xodimlar (so’m)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Pivots!$A$52:$A$54</c:f>
              <c:strCache>
                <c:ptCount val="2"/>
                <c:pt idx="0">
                  <c:v>Ketgan</c:v>
                </c:pt>
                <c:pt idx="1">
                  <c:v>Ishlayotgan</c:v>
                </c:pt>
              </c:strCache>
            </c:strRef>
          </c:cat>
          <c:val>
            <c:numRef>
              <c:f>Pivots!$B$52:$B$54</c:f>
              <c:numCache>
                <c:formatCode>#,##0</c:formatCode>
                <c:ptCount val="2"/>
                <c:pt idx="0">
                  <c:v>6158661.9718309855</c:v>
                </c:pt>
                <c:pt idx="1">
                  <c:v>7387240.8536585364</c:v>
                </c:pt>
              </c:numCache>
            </c:numRef>
          </c:val>
          <c:extLst>
            <c:ext xmlns:c16="http://schemas.microsoft.com/office/drawing/2014/chart" uri="{C3380CC4-5D6E-409C-BE32-E72D297353CC}">
              <c16:uniqueId val="{00000000-3452-483D-952B-784241176FFF}"/>
            </c:ext>
          </c:extLst>
        </c:ser>
        <c:dLbls>
          <c:dLblPos val="ctr"/>
          <c:showLegendKey val="0"/>
          <c:showVal val="1"/>
          <c:showCatName val="0"/>
          <c:showSerName val="0"/>
          <c:showPercent val="0"/>
          <c:showBubbleSize val="0"/>
        </c:dLbls>
        <c:gapWidth val="150"/>
        <c:overlap val="100"/>
        <c:axId val="1165404192"/>
        <c:axId val="540686384"/>
      </c:barChart>
      <c:catAx>
        <c:axId val="116540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40686384"/>
        <c:crosses val="autoZero"/>
        <c:auto val="1"/>
        <c:lblAlgn val="ctr"/>
        <c:lblOffset val="100"/>
        <c:noMultiLvlLbl val="0"/>
      </c:catAx>
      <c:valAx>
        <c:axId val="540686384"/>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6540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6</xdr:col>
      <xdr:colOff>304800</xdr:colOff>
      <xdr:row>23</xdr:row>
      <xdr:rowOff>0</xdr:rowOff>
    </xdr:to>
    <xdr:graphicFrame macro="">
      <xdr:nvGraphicFramePr>
        <xdr:cNvPr id="2" name="Chart 1">
          <a:extLst>
            <a:ext uri="{FF2B5EF4-FFF2-40B4-BE49-F238E27FC236}">
              <a16:creationId xmlns:a16="http://schemas.microsoft.com/office/drawing/2014/main" id="{D244039C-D047-4D7E-A82E-80E425E52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315687</xdr:colOff>
      <xdr:row>8</xdr:row>
      <xdr:rowOff>0</xdr:rowOff>
    </xdr:from>
    <xdr:to>
      <xdr:col>12</xdr:col>
      <xdr:colOff>3268</xdr:colOff>
      <xdr:row>23</xdr:row>
      <xdr:rowOff>0</xdr:rowOff>
    </xdr:to>
    <xdr:graphicFrame macro="">
      <xdr:nvGraphicFramePr>
        <xdr:cNvPr id="3" name="Chart 2">
          <a:extLst>
            <a:ext uri="{FF2B5EF4-FFF2-40B4-BE49-F238E27FC236}">
              <a16:creationId xmlns:a16="http://schemas.microsoft.com/office/drawing/2014/main" id="{8C2D5296-EF05-4384-93B5-F124DE2ED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598714</xdr:colOff>
      <xdr:row>23</xdr:row>
      <xdr:rowOff>21772</xdr:rowOff>
    </xdr:from>
    <xdr:to>
      <xdr:col>6</xdr:col>
      <xdr:colOff>304800</xdr:colOff>
      <xdr:row>38</xdr:row>
      <xdr:rowOff>21772</xdr:rowOff>
    </xdr:to>
    <xdr:graphicFrame macro="">
      <xdr:nvGraphicFramePr>
        <xdr:cNvPr id="4" name="Chart 3">
          <a:extLst>
            <a:ext uri="{FF2B5EF4-FFF2-40B4-BE49-F238E27FC236}">
              <a16:creationId xmlns:a16="http://schemas.microsoft.com/office/drawing/2014/main" id="{5DDDEE9E-197E-4A21-9B55-1121E0A70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304800</xdr:colOff>
      <xdr:row>23</xdr:row>
      <xdr:rowOff>21770</xdr:rowOff>
    </xdr:from>
    <xdr:to>
      <xdr:col>12</xdr:col>
      <xdr:colOff>10886</xdr:colOff>
      <xdr:row>38</xdr:row>
      <xdr:rowOff>10885</xdr:rowOff>
    </xdr:to>
    <xdr:graphicFrame macro="">
      <xdr:nvGraphicFramePr>
        <xdr:cNvPr id="5" name="Chart 4">
          <a:extLst>
            <a:ext uri="{FF2B5EF4-FFF2-40B4-BE49-F238E27FC236}">
              <a16:creationId xmlns:a16="http://schemas.microsoft.com/office/drawing/2014/main" id="{3380B1A7-4742-482B-AE8C-EEDC5349E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152396</xdr:colOff>
      <xdr:row>0</xdr:row>
      <xdr:rowOff>0</xdr:rowOff>
    </xdr:from>
    <xdr:to>
      <xdr:col>19</xdr:col>
      <xdr:colOff>152399</xdr:colOff>
      <xdr:row>5</xdr:row>
      <xdr:rowOff>152400</xdr:rowOff>
    </xdr:to>
    <mc:AlternateContent xmlns:mc="http://schemas.openxmlformats.org/markup-compatibility/2006">
      <mc:Choice xmlns:a14="http://schemas.microsoft.com/office/drawing/2010/main" Requires="a14">
        <xdr:graphicFrame macro="">
          <xdr:nvGraphicFramePr>
            <xdr:cNvPr id="6" name="Bo'lim">
              <a:extLst>
                <a:ext uri="{FF2B5EF4-FFF2-40B4-BE49-F238E27FC236}">
                  <a16:creationId xmlns:a16="http://schemas.microsoft.com/office/drawing/2014/main" id="{2C46AA6D-13ED-4688-BA3E-65064FAA0303}"/>
                </a:ext>
              </a:extLst>
            </xdr:cNvPr>
            <xdr:cNvGraphicFramePr/>
          </xdr:nvGraphicFramePr>
          <xdr:xfrm>
            <a:off x="0" y="0"/>
            <a:ext cx="0" cy="0"/>
          </xdr:xfrm>
          <a:graphic>
            <a:graphicData uri="http://schemas.microsoft.com/office/drawing/2010/slicer">
              <sle:slicer xmlns:sle="http://schemas.microsoft.com/office/drawing/2010/slicer" name="Bo'lim"/>
            </a:graphicData>
          </a:graphic>
        </xdr:graphicFrame>
      </mc:Choice>
      <mc:Fallback>
        <xdr:sp macro="" textlink="">
          <xdr:nvSpPr>
            <xdr:cNvPr id="0" name=""/>
            <xdr:cNvSpPr>
              <a:spLocks noTextEdit="1"/>
            </xdr:cNvSpPr>
          </xdr:nvSpPr>
          <xdr:spPr>
            <a:xfrm>
              <a:off x="11190510" y="0"/>
              <a:ext cx="4267203" cy="112122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144778</xdr:colOff>
      <xdr:row>5</xdr:row>
      <xdr:rowOff>195942</xdr:rowOff>
    </xdr:from>
    <xdr:to>
      <xdr:col>19</xdr:col>
      <xdr:colOff>163286</xdr:colOff>
      <xdr:row>8</xdr:row>
      <xdr:rowOff>108857</xdr:rowOff>
    </xdr:to>
    <mc:AlternateContent xmlns:mc="http://schemas.openxmlformats.org/markup-compatibility/2006">
      <mc:Choice xmlns:a14="http://schemas.microsoft.com/office/drawing/2010/main" Requires="a14">
        <xdr:graphicFrame macro="">
          <xdr:nvGraphicFramePr>
            <xdr:cNvPr id="7" name="Ish_formati">
              <a:extLst>
                <a:ext uri="{FF2B5EF4-FFF2-40B4-BE49-F238E27FC236}">
                  <a16:creationId xmlns:a16="http://schemas.microsoft.com/office/drawing/2014/main" id="{5C4A20E3-5818-4A08-AF0E-CFBDFC2B4BE8}"/>
                </a:ext>
              </a:extLst>
            </xdr:cNvPr>
            <xdr:cNvGraphicFramePr/>
          </xdr:nvGraphicFramePr>
          <xdr:xfrm>
            <a:off x="0" y="0"/>
            <a:ext cx="0" cy="0"/>
          </xdr:xfrm>
          <a:graphic>
            <a:graphicData uri="http://schemas.microsoft.com/office/drawing/2010/slicer">
              <sle:slicer xmlns:sle="http://schemas.microsoft.com/office/drawing/2010/slicer" name="Ish_formati"/>
            </a:graphicData>
          </a:graphic>
        </xdr:graphicFrame>
      </mc:Choice>
      <mc:Fallback>
        <xdr:sp macro="" textlink="">
          <xdr:nvSpPr>
            <xdr:cNvPr id="0" name=""/>
            <xdr:cNvSpPr>
              <a:spLocks noTextEdit="1"/>
            </xdr:cNvSpPr>
          </xdr:nvSpPr>
          <xdr:spPr>
            <a:xfrm>
              <a:off x="11182892" y="1164771"/>
              <a:ext cx="4285708" cy="6096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141515</xdr:colOff>
      <xdr:row>9</xdr:row>
      <xdr:rowOff>10885</xdr:rowOff>
    </xdr:from>
    <xdr:to>
      <xdr:col>19</xdr:col>
      <xdr:colOff>185056</xdr:colOff>
      <xdr:row>38</xdr:row>
      <xdr:rowOff>-1</xdr:rowOff>
    </xdr:to>
    <xdr:sp macro="" textlink="">
      <xdr:nvSpPr>
        <xdr:cNvPr id="8" name="TextBox 7">
          <a:extLst>
            <a:ext uri="{FF2B5EF4-FFF2-40B4-BE49-F238E27FC236}">
              <a16:creationId xmlns:a16="http://schemas.microsoft.com/office/drawing/2014/main" id="{E5CF7624-8F9B-F9B5-B88C-5A30DC63A04C}"/>
            </a:ext>
          </a:extLst>
        </xdr:cNvPr>
        <xdr:cNvSpPr txBox="1"/>
      </xdr:nvSpPr>
      <xdr:spPr>
        <a:xfrm>
          <a:off x="11179629" y="1861456"/>
          <a:ext cx="4310741" cy="5355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b="1"/>
            <a:t>                 </a:t>
          </a:r>
          <a:r>
            <a:rPr lang="en-US" sz="1400" b="1"/>
            <a:t>  </a:t>
          </a:r>
          <a:r>
            <a:rPr lang="ru-RU" sz="1400" b="1">
              <a:solidFill>
                <a:schemeClr val="tx2">
                  <a:lumMod val="50000"/>
                </a:schemeClr>
              </a:solidFill>
            </a:rPr>
            <a:t>Asosiy xulosalar (butun davr bo’yicha</a:t>
          </a:r>
          <a:r>
            <a:rPr lang="ru-RU" sz="1400" b="1"/>
            <a:t>)</a:t>
          </a:r>
          <a:endParaRPr lang="ru-RU" sz="1400"/>
        </a:p>
        <a:p>
          <a:pPr lvl="0" algn="l" rtl="0"/>
          <a:r>
            <a:rPr lang="en-US" sz="1100" b="1">
              <a:solidFill>
                <a:schemeClr val="tx2">
                  <a:lumMod val="50000"/>
                </a:schemeClr>
              </a:solidFill>
            </a:rPr>
            <a:t>1.</a:t>
          </a:r>
          <a:r>
            <a:rPr lang="ru-RU" sz="1100" b="1">
              <a:solidFill>
                <a:schemeClr val="tx2">
                  <a:lumMod val="50000"/>
                </a:schemeClr>
              </a:solidFill>
            </a:rPr>
            <a:t>Mijozlar xizmatida</a:t>
          </a:r>
          <a:r>
            <a:rPr lang="ru-RU" sz="1100">
              <a:solidFill>
                <a:schemeClr val="tx2">
                  <a:lumMod val="50000"/>
                </a:schemeClr>
              </a:solidFill>
            </a:rPr>
            <a:t> ketish foizi eng yuqori: 23,2%, kompaniya o’rtachasidan (17,9%) taxminan 5 punkt ko’p. HR (9,1%) va Marketingda (10,8%) eng past.</a:t>
          </a:r>
        </a:p>
        <a:p>
          <a:pPr lvl="0" algn="l" rtl="0"/>
          <a:r>
            <a:rPr lang="en-US" sz="1100" b="1">
              <a:solidFill>
                <a:schemeClr val="tx2">
                  <a:lumMod val="50000"/>
                </a:schemeClr>
              </a:solidFill>
            </a:rPr>
            <a:t>2.</a:t>
          </a:r>
          <a:r>
            <a:rPr lang="ru-RU" sz="1100" b="1">
              <a:solidFill>
                <a:schemeClr val="tx2">
                  <a:lumMod val="50000"/>
                </a:schemeClr>
              </a:solidFill>
            </a:rPr>
            <a:t>Yangi xodimlar</a:t>
          </a:r>
          <a:r>
            <a:rPr lang="ru-RU" sz="1100">
              <a:solidFill>
                <a:schemeClr val="tx2">
                  <a:lumMod val="50000"/>
                </a:schemeClr>
              </a:solidFill>
            </a:rPr>
            <a:t> ko’proq ketadi: birinchi yilda 25%, 3 yildan ko’p ishlaganlarda 14%.</a:t>
          </a:r>
        </a:p>
        <a:p>
          <a:pPr lvl="0" algn="l" rtl="0"/>
          <a:r>
            <a:rPr lang="en-US" sz="1100" b="1">
              <a:solidFill>
                <a:schemeClr val="tx2">
                  <a:lumMod val="50000"/>
                </a:schemeClr>
              </a:solidFill>
            </a:rPr>
            <a:t>3.</a:t>
          </a:r>
          <a:r>
            <a:rPr lang="ru-RU" sz="1100" b="1">
              <a:solidFill>
                <a:schemeClr val="tx2">
                  <a:lumMod val="50000"/>
                </a:schemeClr>
              </a:solidFill>
            </a:rPr>
            <a:t>Asosiy sabablar:</a:t>
          </a:r>
          <a:r>
            <a:rPr lang="ru-RU" sz="1100">
              <a:solidFill>
                <a:schemeClr val="tx2">
                  <a:lumMod val="50000"/>
                </a:schemeClr>
              </a:solidFill>
            </a:rPr>
            <a:t> karyera o’sishi yo’qligi (30), rahbar bilan muammo (29) va past maosh (27). Ular jami ketishlarning taxminan 60% ini tashkil qiladi.</a:t>
          </a:r>
        </a:p>
        <a:p>
          <a:pPr lvl="0" algn="l" rtl="0"/>
          <a:r>
            <a:rPr lang="en-US" sz="1100" b="1">
              <a:solidFill>
                <a:schemeClr val="tx2">
                  <a:lumMod val="50000"/>
                </a:schemeClr>
              </a:solidFill>
            </a:rPr>
            <a:t>4.</a:t>
          </a:r>
          <a:r>
            <a:rPr lang="ru-RU" sz="1100" b="1">
              <a:solidFill>
                <a:schemeClr val="tx2">
                  <a:lumMod val="50000"/>
                </a:schemeClr>
              </a:solidFill>
            </a:rPr>
            <a:t>Ketganlarning o’rtacha oyligi</a:t>
          </a:r>
          <a:r>
            <a:rPr lang="ru-RU" sz="1100">
              <a:solidFill>
                <a:schemeClr val="tx2">
                  <a:lumMod val="50000"/>
                </a:schemeClr>
              </a:solidFill>
            </a:rPr>
            <a:t> qolganlarnikidan taxminan 15% past (~6,4 va ~7,6 mln so’m).</a:t>
          </a:r>
        </a:p>
        <a:p>
          <a:pPr algn="l" rtl="0"/>
          <a:endParaRPr lang="en-US" b="1"/>
        </a:p>
        <a:p>
          <a:pPr algn="l" rtl="0"/>
          <a:r>
            <a:rPr lang="ru-RU" sz="1200" b="1">
              <a:solidFill>
                <a:schemeClr val="tx2">
                  <a:lumMod val="50000"/>
                </a:schemeClr>
              </a:solidFill>
            </a:rPr>
            <a:t>Tavsiyalar</a:t>
          </a:r>
          <a:endParaRPr lang="ru-RU" sz="1200">
            <a:solidFill>
              <a:schemeClr val="tx2">
                <a:lumMod val="50000"/>
              </a:schemeClr>
            </a:solidFill>
          </a:endParaRPr>
        </a:p>
        <a:p>
          <a:pPr lvl="0" algn="l" rtl="0"/>
          <a:r>
            <a:rPr lang="en-US" sz="1200">
              <a:solidFill>
                <a:schemeClr val="tx2">
                  <a:lumMod val="50000"/>
                </a:schemeClr>
              </a:solidFill>
            </a:rPr>
            <a:t>1.</a:t>
          </a:r>
          <a:r>
            <a:rPr lang="ru-RU" sz="1200">
              <a:solidFill>
                <a:schemeClr val="tx2">
                  <a:lumMod val="50000"/>
                </a:schemeClr>
              </a:solidFill>
            </a:rPr>
            <a:t>Mijozlar xizmatida maosh, ish yuklamasi va karyera yo’lini ko’rib chiqish.</a:t>
          </a:r>
        </a:p>
        <a:p>
          <a:pPr lvl="0" algn="l" rtl="0"/>
          <a:r>
            <a:rPr lang="en-US" sz="1200">
              <a:solidFill>
                <a:schemeClr val="tx2">
                  <a:lumMod val="50000"/>
                </a:schemeClr>
              </a:solidFill>
            </a:rPr>
            <a:t>2.</a:t>
          </a:r>
          <a:r>
            <a:rPr lang="ru-RU" sz="1200">
              <a:solidFill>
                <a:schemeClr val="tx2">
                  <a:lumMod val="50000"/>
                </a:schemeClr>
              </a:solidFill>
            </a:rPr>
            <a:t>Birinchi yil uchun adaptatsiya dasturi va mentor tizimini joriy qilish.</a:t>
          </a:r>
        </a:p>
        <a:p>
          <a:pPr lvl="0" algn="l" rtl="0"/>
          <a:r>
            <a:rPr lang="en-US" sz="1200">
              <a:solidFill>
                <a:schemeClr val="tx2">
                  <a:lumMod val="50000"/>
                </a:schemeClr>
              </a:solidFill>
            </a:rPr>
            <a:t>3.</a:t>
          </a:r>
          <a:r>
            <a:rPr lang="ru-RU" sz="1200">
              <a:solidFill>
                <a:schemeClr val="tx2">
                  <a:lumMod val="50000"/>
                </a:schemeClr>
              </a:solidFill>
            </a:rPr>
            <a:t>Rahbarlar uchun trening va xodimlar bilan muntazam birma-bir uchrashuvlar o’tkazish.</a:t>
          </a:r>
        </a:p>
        <a:p>
          <a:pPr lvl="0" algn="l" rtl="0"/>
          <a:r>
            <a:rPr lang="en-US" sz="1200">
              <a:solidFill>
                <a:schemeClr val="tx2">
                  <a:lumMod val="50000"/>
                </a:schemeClr>
              </a:solidFill>
            </a:rPr>
            <a:t>4.</a:t>
          </a:r>
          <a:r>
            <a:rPr lang="ru-RU" sz="1200">
              <a:solidFill>
                <a:schemeClr val="tx2">
                  <a:lumMod val="50000"/>
                </a:schemeClr>
              </a:solidFill>
            </a:rPr>
            <a:t>Past oylikli xodimlarning maoshini bozor darajasi bilan solishtirish.</a:t>
          </a:r>
        </a:p>
        <a:p>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dir Karimov" refreshedDate="46317.630832986113" createdVersion="8" refreshedVersion="8" minRefreshableVersion="3" recordCount="800" xr:uid="{445C5148-DB75-4A7F-B333-6818FDEB9BC1}">
  <cacheSource type="worksheet">
    <worksheetSource name="Table1_1"/>
  </cacheSource>
  <cacheFields count="23">
    <cacheField name="Xodim_ID" numFmtId="0">
      <sharedItems/>
    </cacheField>
    <cacheField name="Ism_familiya" numFmtId="0">
      <sharedItems/>
    </cacheField>
    <cacheField name="Jins" numFmtId="0">
      <sharedItems/>
    </cacheField>
    <cacheField name="Tug'ilgan_sana" numFmtId="14">
      <sharedItems containsSemiMixedTypes="0" containsNonDate="0" containsDate="1" containsString="0" minDate="1970-08-02T00:00:00" maxDate="2006-12-24T00:00:00"/>
    </cacheField>
    <cacheField name="Ishga_kirgan_sana" numFmtId="14">
      <sharedItems containsSemiMixedTypes="0" containsNonDate="0" containsDate="1" containsString="0" minDate="2015-04-10T00:00:00" maxDate="2026-10-04T00:00:00"/>
    </cacheField>
    <cacheField name="Bo'lim" numFmtId="0">
      <sharedItems count="7">
        <s v="IT"/>
        <s v="MARKETING"/>
        <s v="SOTUV"/>
        <s v="MOLIYA"/>
        <s v="HR"/>
        <s v="LOGISTIKA"/>
        <s v="MIJOZLAR XIZMATI"/>
      </sharedItems>
    </cacheField>
    <cacheField name="Lavozim" numFmtId="0">
      <sharedItems/>
    </cacheField>
    <cacheField name="Daraja" numFmtId="0">
      <sharedItems/>
    </cacheField>
    <cacheField name="Shahar" numFmtId="0">
      <sharedItems/>
    </cacheField>
    <cacheField name="Oylik (so'm)" numFmtId="0">
      <sharedItems containsString="0" containsBlank="1" containsNumber="1" containsInteger="1" minValue="2410000" maxValue="21690000"/>
    </cacheField>
    <cacheField name="Samaradorlik_bahosi (1-5)" numFmtId="0">
      <sharedItems containsString="0" containsBlank="1" containsNumber="1" containsInteger="1" minValue="1" maxValue="5"/>
    </cacheField>
    <cacheField name="Mamnunlik_bahosi (1-5)" numFmtId="0">
      <sharedItems containsSemiMixedTypes="0" containsString="0" containsNumber="1" containsInteger="1" minValue="1" maxValue="5" count="5">
        <n v="4"/>
        <n v="2"/>
        <n v="5"/>
        <n v="3"/>
        <n v="1"/>
      </sharedItems>
    </cacheField>
    <cacheField name="Qo'shimcha_ish_soati (oyiga)" numFmtId="0">
      <sharedItems containsSemiMixedTypes="0" containsString="0" containsNumber="1" containsInteger="1" minValue="0" maxValue="46"/>
    </cacheField>
    <cacheField name="Ish_formati" numFmtId="0">
      <sharedItems count="3">
        <s v="Ofis"/>
        <s v="Masofaviy"/>
        <s v="Gibrid"/>
      </sharedItems>
    </cacheField>
    <cacheField name="Ta'lim" numFmtId="0">
      <sharedItems containsBlank="1"/>
    </cacheField>
    <cacheField name="Ishdan_ketgan" numFmtId="0">
      <sharedItems count="2">
        <s v="Yo'q"/>
        <s v="Ha"/>
      </sharedItems>
    </cacheField>
    <cacheField name="Ketgan_sana" numFmtId="14">
      <sharedItems containsNonDate="0" containsDate="1" containsString="0" containsBlank="1" minDate="2025-01-09T00:00:00" maxDate="2026-09-30T00:00:00"/>
    </cacheField>
    <cacheField name="Ketish_sababi" numFmtId="0">
      <sharedItems containsBlank="1" count="8">
        <m/>
        <s v="Maosh past"/>
        <s v="Boshqa shaharga ko'chdi"/>
        <s v="Ish yuklamasi ko'p"/>
        <s v="Rahbar bilan muammo"/>
        <s v="Shaxsiy sabab"/>
        <s v="Boshqa kompaniyaga o'tdi"/>
        <s v="Karyera o'sishi yo'q"/>
      </sharedItems>
    </cacheField>
    <cacheField name="Yosh" numFmtId="0">
      <sharedItems containsSemiMixedTypes="0" containsString="0" containsNumber="1" containsInteger="1" minValue="19" maxValue="56"/>
    </cacheField>
    <cacheField name="Staj_yil" numFmtId="1">
      <sharedItems containsSemiMixedTypes="0" containsString="0" containsNumber="1" minValue="-8.2135523613963042E-3" maxValue="11.474332648870636"/>
    </cacheField>
    <cacheField name="Bo'lim_rahbari" numFmtId="0">
      <sharedItems/>
    </cacheField>
    <cacheField name="Ishdan_ketganlar" numFmtId="0">
      <sharedItems containsSemiMixedTypes="0" containsString="0" containsNumber="1" containsInteger="1" minValue="0" maxValue="1"/>
    </cacheField>
    <cacheField name="staj_guruhi" numFmtId="0">
      <sharedItems count="3">
        <s v="3 yildan ko'p"/>
        <s v="1-3 yil"/>
        <s v="1 yildan kam"/>
      </sharedItems>
    </cacheField>
  </cacheFields>
  <extLst>
    <ext xmlns:x14="http://schemas.microsoft.com/office/spreadsheetml/2009/9/main" uri="{725AE2AE-9491-48be-B2B4-4EB974FC3084}">
      <x14:pivotCacheDefinition pivotCacheId="1426493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EMP-0539"/>
    <s v="Gulnora Mirzayeva"/>
    <s v="Ayol"/>
    <d v="2001-06-11T00:00:00"/>
    <d v="2022-08-09T00:00:00"/>
    <x v="0"/>
    <s v="Tizim administratori"/>
    <s v="Senior"/>
    <s v="Samarqand"/>
    <n v="21690000"/>
    <n v="4"/>
    <x v="0"/>
    <n v="0"/>
    <x v="0"/>
    <s v="O'rta maxsus"/>
    <x v="0"/>
    <m/>
    <x v="0"/>
    <n v="25"/>
    <n v="4.1423682409308693"/>
    <s v="Jasur Yusupov"/>
    <n v="0"/>
    <x v="0"/>
  </r>
  <r>
    <s v="EMP-0791"/>
    <s v="Zilola Umarova"/>
    <s v="Ayol"/>
    <d v="1989-03-07T00:00:00"/>
    <d v="2018-08-23T00:00:00"/>
    <x v="0"/>
    <s v="Dasturchi"/>
    <s v="Senior"/>
    <s v="Farg'ona"/>
    <n v="21490000"/>
    <n v="2"/>
    <x v="1"/>
    <n v="5"/>
    <x v="0"/>
    <s v="Bakalavr"/>
    <x v="0"/>
    <m/>
    <x v="0"/>
    <n v="37"/>
    <n v="8.1040383299110204"/>
    <s v="Jasur Yusupov"/>
    <n v="0"/>
    <x v="0"/>
  </r>
  <r>
    <s v="EMP-0269"/>
    <s v="Gulnora Karimova"/>
    <s v="Ayol"/>
    <d v="1986-04-07T00:00:00"/>
    <d v="2024-01-30T00:00:00"/>
    <x v="0"/>
    <s v="Tizim administratori"/>
    <s v="Senior"/>
    <s v="Toshkent"/>
    <n v="21250000"/>
    <n v="4"/>
    <x v="0"/>
    <n v="1"/>
    <x v="0"/>
    <s v="O'rta maxsus"/>
    <x v="0"/>
    <m/>
    <x v="0"/>
    <n v="40"/>
    <n v="2.6666666666666665"/>
    <s v="Jasur Yusupov"/>
    <n v="0"/>
    <x v="1"/>
  </r>
  <r>
    <s v="EMP-0533"/>
    <s v="Jahongir Sobirov"/>
    <s v="Erkak"/>
    <d v="1992-08-13T00:00:00"/>
    <d v="2020-01-05T00:00:00"/>
    <x v="0"/>
    <s v="QA muhandisi"/>
    <s v="Senior"/>
    <s v="Buxoro"/>
    <n v="20780000"/>
    <n v="3"/>
    <x v="2"/>
    <n v="0"/>
    <x v="0"/>
    <s v="O'rta maxsus"/>
    <x v="0"/>
    <m/>
    <x v="0"/>
    <n v="34"/>
    <n v="6.7351129363449695"/>
    <s v="Jasur Yusupov"/>
    <n v="0"/>
    <x v="0"/>
  </r>
  <r>
    <s v="EMP-0486"/>
    <s v="Timur Saidov"/>
    <s v="Erkak"/>
    <d v="1988-05-22T00:00:00"/>
    <d v="2025-11-18T00:00:00"/>
    <x v="0"/>
    <s v="Tizim administratori"/>
    <s v="Senior"/>
    <s v="Qarshi"/>
    <n v="20380000"/>
    <n v="2"/>
    <x v="0"/>
    <n v="10"/>
    <x v="1"/>
    <s v="Magistr"/>
    <x v="0"/>
    <m/>
    <x v="0"/>
    <n v="38"/>
    <n v="0.86516084873374399"/>
    <s v="Jasur Yusupov"/>
    <n v="0"/>
    <x v="2"/>
  </r>
  <r>
    <s v="EMP-0226"/>
    <s v="Islom Mirzayev"/>
    <s v="Erkak"/>
    <d v="2001-04-01T00:00:00"/>
    <d v="2025-05-13T00:00:00"/>
    <x v="0"/>
    <s v="QA muhandisi"/>
    <s v="Senior"/>
    <s v="Toshkent"/>
    <n v="20230000"/>
    <n v="1"/>
    <x v="1"/>
    <n v="22"/>
    <x v="1"/>
    <s v="O'rta maxsus"/>
    <x v="0"/>
    <m/>
    <x v="0"/>
    <n v="25"/>
    <n v="1.3826146475017111"/>
    <s v="Jasur Yusupov"/>
    <n v="0"/>
    <x v="1"/>
  </r>
  <r>
    <s v="EMP-0538"/>
    <s v="Bobur Yusupov"/>
    <s v="Erkak"/>
    <d v="2003-02-28T00:00:00"/>
    <d v="2026-02-11T00:00:00"/>
    <x v="0"/>
    <s v="Dasturchi"/>
    <s v="Senior"/>
    <s v="Toshkent"/>
    <n v="19350000"/>
    <n v="4"/>
    <x v="3"/>
    <n v="21"/>
    <x v="2"/>
    <s v="Bakalavr"/>
    <x v="0"/>
    <m/>
    <x v="0"/>
    <n v="23"/>
    <n v="0.63244353182751545"/>
    <s v="Jasur Yusupov"/>
    <n v="0"/>
    <x v="2"/>
  </r>
  <r>
    <s v="EMP-0110"/>
    <s v="Doniyor Karimov"/>
    <s v="Erkak"/>
    <d v="1989-05-06T00:00:00"/>
    <d v="2019-09-06T00:00:00"/>
    <x v="0"/>
    <s v="Dasturchi"/>
    <s v="Senior"/>
    <s v="Toshkent"/>
    <n v="18800000"/>
    <n v="2"/>
    <x v="1"/>
    <n v="0"/>
    <x v="2"/>
    <s v="O'rta maxsus"/>
    <x v="0"/>
    <m/>
    <x v="0"/>
    <n v="37"/>
    <n v="7.0663928815879533"/>
    <s v="Jasur Yusupov"/>
    <n v="0"/>
    <x v="0"/>
  </r>
  <r>
    <s v="EMP-0450"/>
    <s v="Islom Saidov"/>
    <s v="Erkak"/>
    <d v="1998-12-08T00:00:00"/>
    <d v="2022-09-25T00:00:00"/>
    <x v="0"/>
    <s v="Tizim administratori"/>
    <s v="Senior"/>
    <s v="Andijon"/>
    <n v="18530000"/>
    <n v="3"/>
    <x v="3"/>
    <n v="25"/>
    <x v="0"/>
    <s v="Bakalavr"/>
    <x v="0"/>
    <m/>
    <x v="0"/>
    <n v="27"/>
    <n v="4.0136892539356603"/>
    <s v="Jasur Yusupov"/>
    <n v="0"/>
    <x v="0"/>
  </r>
  <r>
    <s v="EMP-0317"/>
    <s v="Ulugbek Yusupov"/>
    <s v="Erkak"/>
    <d v="2006-06-08T00:00:00"/>
    <d v="2026-07-06T00:00:00"/>
    <x v="0"/>
    <s v="Dasturchi"/>
    <s v="Senior"/>
    <s v="Toshkent"/>
    <n v="18460000"/>
    <n v="3"/>
    <x v="3"/>
    <n v="24"/>
    <x v="0"/>
    <s v="Magistr"/>
    <x v="0"/>
    <m/>
    <x v="0"/>
    <n v="20"/>
    <n v="0.23545516769336072"/>
    <s v="Jasur Yusupov"/>
    <n v="0"/>
    <x v="2"/>
  </r>
  <r>
    <s v="EMP-0354"/>
    <s v="Sevara Mirzayeva"/>
    <s v="Ayol"/>
    <d v="1986-02-08T00:00:00"/>
    <d v="2018-10-16T00:00:00"/>
    <x v="0"/>
    <s v="Tizim administratori"/>
    <s v="Senior"/>
    <s v="Samarqand"/>
    <n v="17770000"/>
    <n v="4"/>
    <x v="2"/>
    <n v="26"/>
    <x v="0"/>
    <s v="Bakalavr"/>
    <x v="0"/>
    <m/>
    <x v="0"/>
    <n v="40"/>
    <n v="7.956194387405886"/>
    <s v="Jasur Yusupov"/>
    <n v="0"/>
    <x v="0"/>
  </r>
  <r>
    <s v="EMP-0234"/>
    <s v="Rustam Tursunov"/>
    <s v="Erkak"/>
    <d v="1993-12-09T00:00:00"/>
    <d v="2019-02-12T00:00:00"/>
    <x v="0"/>
    <s v="Dasturchi"/>
    <s v="Senior"/>
    <s v="Toshkent"/>
    <n v="17680000"/>
    <n v="4"/>
    <x v="0"/>
    <n v="0"/>
    <x v="2"/>
    <s v="Bakalavr"/>
    <x v="0"/>
    <m/>
    <x v="0"/>
    <n v="32"/>
    <n v="7.6303901437371664"/>
    <s v="Jasur Yusupov"/>
    <n v="0"/>
    <x v="0"/>
  </r>
  <r>
    <s v="EMP-0566"/>
    <s v="Ulugbek Normatov"/>
    <s v="Erkak"/>
    <d v="1989-08-16T00:00:00"/>
    <d v="2016-03-29T00:00:00"/>
    <x v="0"/>
    <s v="Dasturchi"/>
    <s v="Senior"/>
    <s v="Samarqand"/>
    <n v="17400000"/>
    <n v="3"/>
    <x v="2"/>
    <n v="25"/>
    <x v="1"/>
    <s v="Bakalavr"/>
    <x v="0"/>
    <m/>
    <x v="0"/>
    <n v="37"/>
    <n v="10.505133470225873"/>
    <s v="Jasur Yusupov"/>
    <n v="0"/>
    <x v="0"/>
  </r>
  <r>
    <s v="EMP-0307"/>
    <s v="Madina Normatova"/>
    <s v="Ayol"/>
    <d v="1999-06-17T00:00:00"/>
    <d v="2024-04-08T00:00:00"/>
    <x v="0"/>
    <s v="QA muhandisi"/>
    <s v="Senior"/>
    <s v="Toshkent"/>
    <n v="17150000"/>
    <n v="3"/>
    <x v="3"/>
    <n v="4"/>
    <x v="2"/>
    <s v="Bakalavr"/>
    <x v="0"/>
    <m/>
    <x v="0"/>
    <n v="27"/>
    <n v="2.4777549623545516"/>
    <s v="Jasur Yusupov"/>
    <n v="0"/>
    <x v="1"/>
  </r>
  <r>
    <s v="EMP-0146"/>
    <s v="Bobur Normatov"/>
    <s v="Erkak"/>
    <d v="1995-10-11T00:00:00"/>
    <d v="2021-04-07T00:00:00"/>
    <x v="0"/>
    <s v="QA muhandisi"/>
    <s v="Senior"/>
    <s v="Toshkent"/>
    <n v="17100000"/>
    <n v="4"/>
    <x v="3"/>
    <n v="3"/>
    <x v="2"/>
    <s v="Bakalavr"/>
    <x v="0"/>
    <m/>
    <x v="0"/>
    <n v="30"/>
    <n v="5.4811772758384665"/>
    <s v="Jasur Yusupov"/>
    <n v="0"/>
    <x v="0"/>
  </r>
  <r>
    <s v="EMP-0577"/>
    <s v="Nodira Ergasheva"/>
    <s v="Ayol"/>
    <d v="1989-08-04T00:00:00"/>
    <d v="2024-09-02T00:00:00"/>
    <x v="0"/>
    <s v="QA muhandisi"/>
    <s v="Senior"/>
    <s v="Toshkent"/>
    <n v="17040000"/>
    <n v="4"/>
    <x v="1"/>
    <n v="16"/>
    <x v="0"/>
    <s v="O'rta maxsus"/>
    <x v="0"/>
    <m/>
    <x v="0"/>
    <n v="37"/>
    <n v="2.0752908966461328"/>
    <s v="Jasur Yusupov"/>
    <n v="0"/>
    <x v="1"/>
  </r>
  <r>
    <s v="EMP-0481"/>
    <s v="Feruza Hasanova"/>
    <s v="Ayol"/>
    <d v="1993-09-20T00:00:00"/>
    <d v="2025-11-01T00:00:00"/>
    <x v="0"/>
    <s v="Dasturchi"/>
    <s v="Senior"/>
    <s v="Farg'ona"/>
    <n v="16560000"/>
    <n v="4"/>
    <x v="2"/>
    <n v="0"/>
    <x v="1"/>
    <s v="O'rta maxsus"/>
    <x v="0"/>
    <m/>
    <x v="0"/>
    <n v="33"/>
    <n v="0.9117043121149897"/>
    <s v="Jasur Yusupov"/>
    <n v="0"/>
    <x v="2"/>
  </r>
  <r>
    <s v="EMP-0701"/>
    <s v="Gulnora Saidova"/>
    <s v="Ayol"/>
    <d v="2001-08-16T00:00:00"/>
    <d v="2026-08-16T00:00:00"/>
    <x v="1"/>
    <s v="Marketolog"/>
    <s v="Senior"/>
    <s v="Toshkent"/>
    <n v="16440000"/>
    <n v="4"/>
    <x v="3"/>
    <n v="18"/>
    <x v="0"/>
    <s v="Bakalavr"/>
    <x v="0"/>
    <m/>
    <x v="0"/>
    <n v="25"/>
    <n v="0.12320328542094455"/>
    <s v="Dilnoza Rahimova"/>
    <n v="0"/>
    <x v="2"/>
  </r>
  <r>
    <s v="EMP-0033"/>
    <s v="Shaxzod Nazarov"/>
    <s v="Erkak"/>
    <d v="1996-06-01T00:00:00"/>
    <d v="2019-04-12T00:00:00"/>
    <x v="1"/>
    <s v="SMM mutaxassisi"/>
    <s v="Senior"/>
    <s v="Toshkent"/>
    <n v="16340000"/>
    <n v="4"/>
    <x v="2"/>
    <n v="15"/>
    <x v="0"/>
    <m/>
    <x v="0"/>
    <m/>
    <x v="0"/>
    <n v="30"/>
    <n v="7.4688569472963726"/>
    <s v="Dilnoza Rahimova"/>
    <n v="0"/>
    <x v="0"/>
  </r>
  <r>
    <s v="EMP-0487"/>
    <s v="Sevara Nazarova"/>
    <s v="Ayol"/>
    <d v="1991-11-25T00:00:00"/>
    <d v="2023-05-07T00:00:00"/>
    <x v="2"/>
    <s v="Savdo vakili"/>
    <s v="Senior"/>
    <s v="Toshkent"/>
    <n v="15750000"/>
    <n v="3"/>
    <x v="1"/>
    <n v="9"/>
    <x v="2"/>
    <s v="Magistr"/>
    <x v="0"/>
    <m/>
    <x v="0"/>
    <n v="34"/>
    <n v="3.40041067761807"/>
    <s v="Aziz Karimov"/>
    <n v="0"/>
    <x v="0"/>
  </r>
  <r>
    <s v="EMP-0770"/>
    <s v="Dilfuza Mirzayeva"/>
    <s v="Ayol"/>
    <d v="1996-12-15T00:00:00"/>
    <d v="2026-06-18T00:00:00"/>
    <x v="2"/>
    <s v="Sotuv menejeri"/>
    <s v="Senior"/>
    <s v="Samarqand"/>
    <n v="15700000"/>
    <n v="4"/>
    <x v="3"/>
    <n v="4"/>
    <x v="0"/>
    <s v="Bakalavr"/>
    <x v="0"/>
    <m/>
    <x v="0"/>
    <n v="29"/>
    <n v="0.28473648186173856"/>
    <s v="Aziz Karimov"/>
    <n v="0"/>
    <x v="2"/>
  </r>
  <r>
    <s v="EMP-0047"/>
    <s v="Sherzod Ergashev"/>
    <s v="Erkak"/>
    <d v="1995-05-10T00:00:00"/>
    <d v="2023-12-15T00:00:00"/>
    <x v="2"/>
    <s v="Hudud menejeri"/>
    <s v="Senior"/>
    <s v="Andijon"/>
    <n v="15660000"/>
    <n v="1"/>
    <x v="1"/>
    <n v="10"/>
    <x v="2"/>
    <s v="Bakalavr"/>
    <x v="0"/>
    <m/>
    <x v="0"/>
    <n v="31"/>
    <n v="2.7926078028747434"/>
    <s v="Aziz Karimov"/>
    <n v="0"/>
    <x v="1"/>
  </r>
  <r>
    <s v="EMP-0219"/>
    <s v="Kamola Tursunova"/>
    <s v="Ayol"/>
    <d v="1986-03-14T00:00:00"/>
    <d v="2023-09-26T00:00:00"/>
    <x v="0"/>
    <s v="QA muhandisi"/>
    <s v="Senior"/>
    <s v="Toshkent"/>
    <n v="15600000"/>
    <m/>
    <x v="1"/>
    <n v="16"/>
    <x v="0"/>
    <s v="Magistr"/>
    <x v="0"/>
    <m/>
    <x v="0"/>
    <n v="40"/>
    <n v="3.0116358658453115"/>
    <s v="Jasur Yusupov"/>
    <n v="0"/>
    <x v="0"/>
  </r>
  <r>
    <s v="EMP-0452"/>
    <s v="Malika Sobirova"/>
    <s v="Ayol"/>
    <d v="1984-12-15T00:00:00"/>
    <d v="2024-01-21T00:00:00"/>
    <x v="3"/>
    <s v="Moliyaviy tahlilchi"/>
    <s v="Senior"/>
    <s v="Toshkent"/>
    <n v="15460000"/>
    <n v="3"/>
    <x v="3"/>
    <n v="24"/>
    <x v="0"/>
    <s v="Bakalavr"/>
    <x v="0"/>
    <m/>
    <x v="0"/>
    <n v="41"/>
    <n v="2.6913073237508556"/>
    <s v="Madina Abdullayeva"/>
    <n v="0"/>
    <x v="1"/>
  </r>
  <r>
    <s v="EMP-0215"/>
    <s v="Dilnoza Ergasheva"/>
    <s v="Ayol"/>
    <d v="1978-07-10T00:00:00"/>
    <d v="2021-07-28T00:00:00"/>
    <x v="2"/>
    <s v="Hudud menejeri"/>
    <s v="Senior"/>
    <s v="Toshkent"/>
    <n v="15380000"/>
    <n v="4"/>
    <x v="0"/>
    <n v="16"/>
    <x v="2"/>
    <s v="O'rta maxsus"/>
    <x v="0"/>
    <m/>
    <x v="0"/>
    <n v="48"/>
    <n v="5.1745379876796713"/>
    <s v="Aziz Karimov"/>
    <n v="0"/>
    <x v="0"/>
  </r>
  <r>
    <s v="EMP-0190"/>
    <s v="Shaxzod Abdullayev"/>
    <s v="Erkak"/>
    <d v="1996-08-22T00:00:00"/>
    <d v="2019-08-16T00:00:00"/>
    <x v="0"/>
    <s v="Dasturchi"/>
    <s v="Senior"/>
    <s v="Andijon"/>
    <n v="15350000"/>
    <n v="3"/>
    <x v="0"/>
    <n v="5"/>
    <x v="1"/>
    <s v="Bakalavr"/>
    <x v="0"/>
    <m/>
    <x v="0"/>
    <n v="30"/>
    <n v="7.1238877481177276"/>
    <s v="Jasur Yusupov"/>
    <n v="0"/>
    <x v="0"/>
  </r>
  <r>
    <s v="EMP-0397"/>
    <s v="Ulugbek Saidov"/>
    <s v="Erkak"/>
    <d v="1993-02-17T00:00:00"/>
    <d v="2026-02-06T00:00:00"/>
    <x v="1"/>
    <s v="SMM mutaxassisi"/>
    <s v="Senior"/>
    <s v="Toshkent"/>
    <n v="15320000"/>
    <n v="3"/>
    <x v="0"/>
    <n v="21"/>
    <x v="2"/>
    <s v="O'rta maxsus"/>
    <x v="0"/>
    <m/>
    <x v="0"/>
    <n v="33"/>
    <n v="0.6461327857631759"/>
    <s v="Dilnoza Rahimova"/>
    <n v="0"/>
    <x v="2"/>
  </r>
  <r>
    <s v="EMP-0094"/>
    <s v="Sevara Ergasheva"/>
    <s v="Ayol"/>
    <d v="1987-01-22T00:00:00"/>
    <d v="2024-02-01T00:00:00"/>
    <x v="0"/>
    <s v="QA muhandisi"/>
    <s v="Senior"/>
    <s v="Namangan"/>
    <n v="15300000"/>
    <n v="4"/>
    <x v="3"/>
    <n v="6"/>
    <x v="0"/>
    <s v="Bakalavr"/>
    <x v="0"/>
    <m/>
    <x v="0"/>
    <n v="39"/>
    <n v="2.6611909650924024"/>
    <s v="Jasur Yusupov"/>
    <n v="0"/>
    <x v="1"/>
  </r>
  <r>
    <s v="EMP-0342"/>
    <s v="Nigora Qodirova"/>
    <s v="Ayol"/>
    <d v="1991-11-24T00:00:00"/>
    <d v="2025-06-15T00:00:00"/>
    <x v="2"/>
    <s v="Hudud menejeri"/>
    <s v="Senior"/>
    <s v="Qarshi"/>
    <n v="15280000"/>
    <n v="3"/>
    <x v="0"/>
    <n v="19"/>
    <x v="0"/>
    <s v="Magistr"/>
    <x v="0"/>
    <m/>
    <x v="0"/>
    <n v="34"/>
    <n v="1.2922655715263518"/>
    <s v="Aziz Karimov"/>
    <n v="0"/>
    <x v="1"/>
  </r>
  <r>
    <s v="EMP-0480"/>
    <s v="Otabek Tursunov"/>
    <s v="Erkak"/>
    <d v="1984-08-07T00:00:00"/>
    <d v="2021-05-10T00:00:00"/>
    <x v="2"/>
    <s v="Savdo vakili"/>
    <s v="Senior"/>
    <s v="Andijon"/>
    <n v="15280000"/>
    <n v="4"/>
    <x v="3"/>
    <n v="11"/>
    <x v="2"/>
    <s v="Bakalavr"/>
    <x v="0"/>
    <m/>
    <x v="0"/>
    <n v="42"/>
    <n v="5.3908281998631074"/>
    <s v="Aziz Karimov"/>
    <n v="0"/>
    <x v="0"/>
  </r>
  <r>
    <s v="EMP-0160"/>
    <s v="Zilola Karimova"/>
    <s v="Ayol"/>
    <d v="1996-08-17T00:00:00"/>
    <d v="2026-08-23T00:00:00"/>
    <x v="0"/>
    <s v="Dasturchi"/>
    <s v="Senior"/>
    <s v="Toshkent"/>
    <n v="15270000"/>
    <n v="3"/>
    <x v="2"/>
    <n v="0"/>
    <x v="2"/>
    <m/>
    <x v="0"/>
    <m/>
    <x v="0"/>
    <n v="30"/>
    <n v="0.10403832991101986"/>
    <s v="Jasur Yusupov"/>
    <n v="0"/>
    <x v="2"/>
  </r>
  <r>
    <s v="EMP-0199"/>
    <s v="Ulugbek Ergashev"/>
    <s v="Erkak"/>
    <d v="1970-08-02T00:00:00"/>
    <d v="2024-10-28T00:00:00"/>
    <x v="3"/>
    <s v="Moliyaviy tahlilchi"/>
    <s v="Senior"/>
    <s v="Toshkent"/>
    <n v="15200000"/>
    <n v="3"/>
    <x v="0"/>
    <n v="6"/>
    <x v="2"/>
    <s v="Bakalavr"/>
    <x v="0"/>
    <m/>
    <x v="0"/>
    <n v="56"/>
    <n v="1.9219712525667352"/>
    <s v="Madina Abdullayeva"/>
    <n v="0"/>
    <x v="1"/>
  </r>
  <r>
    <s v="EMP-0613"/>
    <s v="Jasur Umarov"/>
    <s v="Erkak"/>
    <d v="1990-03-02T00:00:00"/>
    <d v="2024-07-26T00:00:00"/>
    <x v="2"/>
    <s v="Hudud menejeri"/>
    <s v="Senior"/>
    <s v="Andijon"/>
    <n v="15150000"/>
    <n v="5"/>
    <x v="0"/>
    <n v="20"/>
    <x v="0"/>
    <s v="Bakalavr"/>
    <x v="0"/>
    <m/>
    <x v="0"/>
    <n v="36"/>
    <n v="2.1793292265571527"/>
    <s v="Aziz Karimov"/>
    <n v="0"/>
    <x v="1"/>
  </r>
  <r>
    <s v="EMP-0540"/>
    <s v="Kamola Abdullayeva"/>
    <s v="Ayol"/>
    <d v="1993-04-16T00:00:00"/>
    <d v="2026-05-10T00:00:00"/>
    <x v="2"/>
    <s v="Savdo vakili"/>
    <s v="Senior"/>
    <s v="Buxoro"/>
    <n v="15080000"/>
    <n v="5"/>
    <x v="3"/>
    <n v="33"/>
    <x v="2"/>
    <s v="Bakalavr"/>
    <x v="0"/>
    <m/>
    <x v="0"/>
    <n v="33"/>
    <n v="0.39151266255989048"/>
    <s v="Aziz Karimov"/>
    <n v="0"/>
    <x v="2"/>
  </r>
  <r>
    <s v="EMP-0455"/>
    <s v="Malika Rahimova"/>
    <s v="Ayol"/>
    <d v="1997-08-25T00:00:00"/>
    <d v="2025-11-30T00:00:00"/>
    <x v="1"/>
    <s v="SMM mutaxassisi"/>
    <s v="Senior"/>
    <s v="Toshkent"/>
    <n v="15040000"/>
    <n v="4"/>
    <x v="1"/>
    <n v="10"/>
    <x v="2"/>
    <s v="Magistr"/>
    <x v="0"/>
    <m/>
    <x v="0"/>
    <n v="29"/>
    <n v="0.83230663928815884"/>
    <s v="Dilnoza Rahimova"/>
    <n v="0"/>
    <x v="2"/>
  </r>
  <r>
    <s v="EMP-0653"/>
    <s v="Madina Abdullayeva"/>
    <s v="Ayol"/>
    <d v="1994-06-18T00:00:00"/>
    <d v="2024-08-10T00:00:00"/>
    <x v="1"/>
    <s v="Kontent menejer"/>
    <s v="Senior"/>
    <s v="Buxoro"/>
    <n v="15030000"/>
    <n v="3"/>
    <x v="3"/>
    <n v="38"/>
    <x v="0"/>
    <s v="Bakalavr"/>
    <x v="0"/>
    <m/>
    <x v="0"/>
    <n v="32"/>
    <n v="2.1382614647501712"/>
    <s v="Dilnoza Rahimova"/>
    <n v="0"/>
    <x v="1"/>
  </r>
  <r>
    <s v="EMP-0249"/>
    <s v="Sevara Ismoilova"/>
    <s v="Ayol"/>
    <d v="1989-05-21T00:00:00"/>
    <d v="2020-03-02T00:00:00"/>
    <x v="2"/>
    <s v="Savdo vakili"/>
    <s v="Senior"/>
    <s v="Farg'ona"/>
    <n v="14930000"/>
    <n v="4"/>
    <x v="4"/>
    <n v="35"/>
    <x v="0"/>
    <s v="O'rta maxsus"/>
    <x v="0"/>
    <m/>
    <x v="0"/>
    <n v="37"/>
    <n v="6.579055441478439"/>
    <s v="Aziz Karimov"/>
    <n v="0"/>
    <x v="0"/>
  </r>
  <r>
    <s v="EMP-0595"/>
    <s v="Aziza Tursunova"/>
    <s v="Ayol"/>
    <d v="2001-03-20T00:00:00"/>
    <d v="2024-06-11T00:00:00"/>
    <x v="3"/>
    <s v="Kassir"/>
    <s v="Senior"/>
    <s v="Samarqand"/>
    <n v="14850000"/>
    <n v="5"/>
    <x v="3"/>
    <n v="8"/>
    <x v="2"/>
    <s v="Bakalavr"/>
    <x v="0"/>
    <m/>
    <x v="0"/>
    <n v="25"/>
    <n v="2.3025325119780971"/>
    <s v="Madina Abdullayeva"/>
    <n v="0"/>
    <x v="1"/>
  </r>
  <r>
    <s v="EMP-0787"/>
    <s v="Gulnora Rahimova"/>
    <s v="Ayol"/>
    <d v="2001-05-07T00:00:00"/>
    <d v="2024-09-23T00:00:00"/>
    <x v="2"/>
    <s v="Sotuv menejeri"/>
    <s v="Senior"/>
    <s v="Toshkent"/>
    <n v="14850000"/>
    <n v="4"/>
    <x v="3"/>
    <n v="25"/>
    <x v="0"/>
    <s v="Bakalavr"/>
    <x v="0"/>
    <m/>
    <x v="0"/>
    <n v="25"/>
    <n v="2.0177960301163584"/>
    <s v="Aziz Karimov"/>
    <n v="0"/>
    <x v="1"/>
  </r>
  <r>
    <s v="EMP-0244"/>
    <s v="Akmal Qodirov"/>
    <s v="Erkak"/>
    <d v="1980-05-24T00:00:00"/>
    <d v="2021-10-01T00:00:00"/>
    <x v="1"/>
    <s v="Marketolog"/>
    <s v="Senior"/>
    <s v="Samarqand"/>
    <n v="14780000"/>
    <n v="1"/>
    <x v="2"/>
    <n v="9"/>
    <x v="0"/>
    <s v="Magistr"/>
    <x v="0"/>
    <m/>
    <x v="0"/>
    <n v="46"/>
    <n v="4.9965776865160851"/>
    <s v="Dilnoza Rahimova"/>
    <n v="0"/>
    <x v="0"/>
  </r>
  <r>
    <s v="EMP-0001"/>
    <s v="Nodira Ismoilova"/>
    <s v="Ayol"/>
    <d v="1995-09-04T00:00:00"/>
    <d v="2020-01-12T00:00:00"/>
    <x v="0"/>
    <s v="Dasturchi"/>
    <s v="Senior"/>
    <s v="Toshkent"/>
    <n v="14720000"/>
    <n v="3"/>
    <x v="1"/>
    <n v="8"/>
    <x v="2"/>
    <s v="Bakalavr"/>
    <x v="1"/>
    <d v="2026-08-03T00:00:00"/>
    <x v="1"/>
    <n v="31"/>
    <n v="6.5571526351813825"/>
    <s v="Jasur Yusupov"/>
    <n v="1"/>
    <x v="0"/>
  </r>
  <r>
    <s v="EMP-0742"/>
    <s v="Otabek Mirzayev"/>
    <s v="Erkak"/>
    <d v="1993-10-13T00:00:00"/>
    <d v="2026-03-20T00:00:00"/>
    <x v="4"/>
    <s v="Rekruter"/>
    <s v="Senior"/>
    <s v="Samarqand"/>
    <n v="14600000"/>
    <n v="1"/>
    <x v="0"/>
    <n v="12"/>
    <x v="1"/>
    <s v="Bakalavr"/>
    <x v="0"/>
    <m/>
    <x v="0"/>
    <n v="32"/>
    <n v="0.53114305270362761"/>
    <s v="Nodira Tursunova"/>
    <n v="0"/>
    <x v="2"/>
  </r>
  <r>
    <s v="EMP-0366"/>
    <s v="Jasur Ergashev"/>
    <s v="Erkak"/>
    <d v="1984-12-03T00:00:00"/>
    <d v="2020-09-07T00:00:00"/>
    <x v="0"/>
    <s v="QA muhandisi"/>
    <s v="Senior"/>
    <s v="Farg'ona"/>
    <n v="14560000"/>
    <n v="4"/>
    <x v="0"/>
    <n v="17"/>
    <x v="0"/>
    <s v="Bakalavr"/>
    <x v="1"/>
    <d v="2026-05-14T00:00:00"/>
    <x v="1"/>
    <n v="41"/>
    <n v="5.6810403832991101"/>
    <s v="Jasur Yusupov"/>
    <n v="1"/>
    <x v="0"/>
  </r>
  <r>
    <s v="EMP-0367"/>
    <s v="Zilola Qodirova"/>
    <s v="Ayol"/>
    <d v="1988-08-06T00:00:00"/>
    <d v="2025-12-15T00:00:00"/>
    <x v="2"/>
    <s v="Savdo vakili"/>
    <s v="Senior"/>
    <s v="Buxoro"/>
    <n v="14550000"/>
    <n v="2"/>
    <x v="0"/>
    <n v="17"/>
    <x v="2"/>
    <m/>
    <x v="1"/>
    <d v="2026-05-01T00:00:00"/>
    <x v="2"/>
    <n v="38"/>
    <n v="0.3750855578370979"/>
    <s v="Aziz Karimov"/>
    <n v="1"/>
    <x v="2"/>
  </r>
  <r>
    <s v="EMP-0066"/>
    <s v="Sevara Hasanova"/>
    <s v="Ayol"/>
    <d v="2002-09-24T00:00:00"/>
    <d v="2023-04-28T00:00:00"/>
    <x v="3"/>
    <s v="Buxgalter"/>
    <s v="Senior"/>
    <s v="Toshkent"/>
    <n v="14510000"/>
    <n v="3"/>
    <x v="1"/>
    <n v="5"/>
    <x v="0"/>
    <s v="Bakalavr"/>
    <x v="0"/>
    <m/>
    <x v="0"/>
    <n v="24"/>
    <n v="3.4250513347022586"/>
    <s v="Madina Abdullayeva"/>
    <n v="0"/>
    <x v="0"/>
  </r>
  <r>
    <s v="EMP-0551"/>
    <s v="Jahongir Karimov"/>
    <s v="Erkak"/>
    <d v="1996-11-12T00:00:00"/>
    <d v="2025-09-10T00:00:00"/>
    <x v="2"/>
    <s v="Sotuv menejeri"/>
    <s v="Senior"/>
    <s v="Toshkent"/>
    <n v="14490000"/>
    <n v="3"/>
    <x v="3"/>
    <n v="17"/>
    <x v="1"/>
    <s v="Magistr"/>
    <x v="0"/>
    <m/>
    <x v="0"/>
    <n v="29"/>
    <n v="1.054072553045859"/>
    <s v="Aziz Karimov"/>
    <n v="0"/>
    <x v="1"/>
  </r>
  <r>
    <s v="EMP-0200"/>
    <s v="Sevara Yusupova"/>
    <s v="Ayol"/>
    <d v="1991-12-16T00:00:00"/>
    <d v="2025-12-25T00:00:00"/>
    <x v="2"/>
    <s v="Hudud menejeri"/>
    <s v="Senior"/>
    <s v="Buxoro"/>
    <n v="14470000"/>
    <n v="4"/>
    <x v="0"/>
    <n v="10"/>
    <x v="0"/>
    <s v="Magistr"/>
    <x v="0"/>
    <m/>
    <x v="0"/>
    <n v="34"/>
    <n v="0.76386036960985626"/>
    <s v="Aziz Karimov"/>
    <n v="0"/>
    <x v="2"/>
  </r>
  <r>
    <s v="EMP-0495"/>
    <s v="Nodira Karimova"/>
    <s v="Ayol"/>
    <d v="1984-09-08T00:00:00"/>
    <d v="2023-11-14T00:00:00"/>
    <x v="2"/>
    <s v="Savdo vakili"/>
    <s v="Senior"/>
    <s v="Andijon"/>
    <n v="14420000"/>
    <n v="4"/>
    <x v="0"/>
    <n v="11"/>
    <x v="2"/>
    <s v="O'rta maxsus"/>
    <x v="0"/>
    <m/>
    <x v="0"/>
    <n v="42"/>
    <n v="2.8774811772758384"/>
    <s v="Aziz Karimov"/>
    <n v="0"/>
    <x v="1"/>
  </r>
  <r>
    <s v="EMP-0388"/>
    <s v="Doniyor Mirzayev"/>
    <s v="Erkak"/>
    <d v="1992-12-17T00:00:00"/>
    <d v="2020-12-20T00:00:00"/>
    <x v="1"/>
    <s v="Kontent menejer"/>
    <s v="Senior"/>
    <s v="Toshkent"/>
    <n v="14320000"/>
    <n v="2"/>
    <x v="3"/>
    <n v="6"/>
    <x v="2"/>
    <s v="O'rta maxsus"/>
    <x v="0"/>
    <m/>
    <x v="0"/>
    <n v="33"/>
    <n v="5.7768651608487334"/>
    <s v="Dilnoza Rahimova"/>
    <n v="0"/>
    <x v="0"/>
  </r>
  <r>
    <s v="EMP-0654"/>
    <s v="Madina Hasanova"/>
    <s v="Ayol"/>
    <d v="1992-12-18T00:00:00"/>
    <d v="2016-09-09T00:00:00"/>
    <x v="2"/>
    <s v="Hudud menejeri"/>
    <s v="Senior"/>
    <s v="Farg'ona"/>
    <n v="14290000"/>
    <n v="3"/>
    <x v="3"/>
    <n v="12"/>
    <x v="2"/>
    <s v="Bakalavr"/>
    <x v="0"/>
    <m/>
    <x v="0"/>
    <n v="33"/>
    <n v="10.056125941136209"/>
    <s v="Aziz Karimov"/>
    <n v="0"/>
    <x v="0"/>
  </r>
  <r>
    <s v="EMP-0753"/>
    <s v="Aziza Ergasheva"/>
    <s v="Ayol"/>
    <d v="2002-01-09T00:00:00"/>
    <d v="2025-06-09T00:00:00"/>
    <x v="5"/>
    <s v="Ombor mudiri"/>
    <s v="Senior"/>
    <s v="Buxoro"/>
    <n v="14180000"/>
    <n v="4"/>
    <x v="4"/>
    <n v="31"/>
    <x v="2"/>
    <s v="Bakalavr"/>
    <x v="0"/>
    <m/>
    <x v="0"/>
    <n v="24"/>
    <n v="1.3086926762491444"/>
    <s v="Sardor Nazarov"/>
    <n v="0"/>
    <x v="1"/>
  </r>
  <r>
    <s v="EMP-0399"/>
    <s v="Kamola Normatova"/>
    <s v="Ayol"/>
    <d v="1988-12-17T00:00:00"/>
    <d v="2021-03-31T00:00:00"/>
    <x v="2"/>
    <s v="Savdo vakili"/>
    <s v="Senior"/>
    <s v="Toshkent"/>
    <n v="14160000"/>
    <n v="3"/>
    <x v="2"/>
    <n v="22"/>
    <x v="2"/>
    <s v="Magistr"/>
    <x v="0"/>
    <m/>
    <x v="0"/>
    <n v="37"/>
    <n v="5.5003422313483918"/>
    <s v="Aziz Karimov"/>
    <n v="0"/>
    <x v="0"/>
  </r>
  <r>
    <s v="EMP-0457"/>
    <s v="Jasur Nazarov"/>
    <s v="Erkak"/>
    <d v="2004-03-05T00:00:00"/>
    <d v="2026-05-02T00:00:00"/>
    <x v="5"/>
    <s v="Ombor mudiri"/>
    <s v="Senior"/>
    <s v="Farg'ona"/>
    <n v="14120000"/>
    <n v="4"/>
    <x v="3"/>
    <n v="15"/>
    <x v="2"/>
    <s v="O'rta maxsus"/>
    <x v="0"/>
    <m/>
    <x v="0"/>
    <n v="22"/>
    <n v="0.4134154688569473"/>
    <s v="Sardor Nazarov"/>
    <n v="0"/>
    <x v="2"/>
  </r>
  <r>
    <s v="EMP-0130"/>
    <s v="Aziz Rahimov"/>
    <s v="Erkak"/>
    <d v="1978-08-27T00:00:00"/>
    <d v="2017-03-15T00:00:00"/>
    <x v="0"/>
    <s v="Tizim administratori"/>
    <s v="Senior"/>
    <s v="Toshkent"/>
    <n v="14100000"/>
    <n v="4"/>
    <x v="3"/>
    <n v="23"/>
    <x v="2"/>
    <m/>
    <x v="0"/>
    <m/>
    <x v="0"/>
    <n v="48"/>
    <n v="9.5441478439425058"/>
    <s v="Jasur Yusupov"/>
    <n v="0"/>
    <x v="0"/>
  </r>
  <r>
    <s v="EMP-0264"/>
    <s v="Nodira Ergasheva"/>
    <s v="Ayol"/>
    <d v="1994-04-22T00:00:00"/>
    <d v="2023-05-15T00:00:00"/>
    <x v="0"/>
    <s v="Dasturchi"/>
    <s v="Senior"/>
    <s v="Toshkent"/>
    <n v="14090000"/>
    <n v="4"/>
    <x v="0"/>
    <n v="2"/>
    <x v="1"/>
    <s v="Bakalavr"/>
    <x v="0"/>
    <m/>
    <x v="0"/>
    <n v="32"/>
    <n v="3.378507871321013"/>
    <s v="Jasur Yusupov"/>
    <n v="0"/>
    <x v="0"/>
  </r>
  <r>
    <s v="EMP-0600"/>
    <s v="Zilola Qodirova"/>
    <s v="Ayol"/>
    <d v="1994-10-28T00:00:00"/>
    <d v="2025-03-23T00:00:00"/>
    <x v="1"/>
    <s v="Marketolog"/>
    <s v="Senior"/>
    <s v="Qarshi"/>
    <n v="14090000"/>
    <n v="3"/>
    <x v="4"/>
    <n v="21"/>
    <x v="0"/>
    <s v="Magistr"/>
    <x v="0"/>
    <m/>
    <x v="0"/>
    <n v="31"/>
    <n v="1.5222450376454484"/>
    <s v="Dilnoza Rahimova"/>
    <n v="0"/>
    <x v="1"/>
  </r>
  <r>
    <s v="EMP-0164"/>
    <s v="Nodira Karimova"/>
    <s v="Ayol"/>
    <d v="1985-02-21T00:00:00"/>
    <d v="2021-09-22T00:00:00"/>
    <x v="5"/>
    <s v="Ombor mudiri"/>
    <s v="Senior"/>
    <s v="Toshkent"/>
    <n v="14080000"/>
    <n v="5"/>
    <x v="4"/>
    <n v="5"/>
    <x v="2"/>
    <s v="Bakalavr"/>
    <x v="0"/>
    <m/>
    <x v="0"/>
    <n v="41"/>
    <n v="5.0212183436002737"/>
    <s v="Sardor Nazarov"/>
    <n v="0"/>
    <x v="0"/>
  </r>
  <r>
    <s v="EMP-0346"/>
    <s v="Sardor Ergashev"/>
    <s v="Erkak"/>
    <d v="1981-11-21T00:00:00"/>
    <d v="2025-04-18T00:00:00"/>
    <x v="1"/>
    <s v="SMM mutaxassisi"/>
    <s v="Senior"/>
    <s v="Toshkent"/>
    <n v="14070000"/>
    <n v="3"/>
    <x v="2"/>
    <n v="10"/>
    <x v="0"/>
    <s v="Bakalavr"/>
    <x v="0"/>
    <m/>
    <x v="0"/>
    <n v="44"/>
    <n v="1.4510609171800137"/>
    <s v="Dilnoza Rahimova"/>
    <n v="0"/>
    <x v="1"/>
  </r>
  <r>
    <s v="EMP-0764"/>
    <s v="Feruza Mirzayeva"/>
    <s v="Ayol"/>
    <d v="1988-06-24T00:00:00"/>
    <d v="2026-01-03T00:00:00"/>
    <x v="3"/>
    <s v="Moliyaviy tahlilchi"/>
    <s v="Senior"/>
    <s v="Toshkent"/>
    <n v="14010000"/>
    <n v="3"/>
    <x v="0"/>
    <n v="0"/>
    <x v="0"/>
    <s v="O'rta maxsus"/>
    <x v="0"/>
    <m/>
    <x v="0"/>
    <n v="38"/>
    <n v="0.73921971252566732"/>
    <s v="Madina Abdullayeva"/>
    <n v="0"/>
    <x v="2"/>
  </r>
  <r>
    <s v="EMP-0552"/>
    <s v="Bobur Ergashev"/>
    <s v="Erkak"/>
    <d v="1996-08-22T00:00:00"/>
    <d v="2026-08-27T00:00:00"/>
    <x v="2"/>
    <s v="Sotuv menejeri"/>
    <s v="Senior"/>
    <s v="Toshkent"/>
    <n v="13940000"/>
    <n v="5"/>
    <x v="0"/>
    <n v="13"/>
    <x v="2"/>
    <s v="Bakalavr"/>
    <x v="0"/>
    <m/>
    <x v="0"/>
    <n v="30"/>
    <n v="9.3086926762491445E-2"/>
    <s v="Aziz Karimov"/>
    <n v="0"/>
    <x v="2"/>
  </r>
  <r>
    <s v="EMP-0133"/>
    <s v="Nodira Karimova"/>
    <s v="Ayol"/>
    <d v="1988-09-12T00:00:00"/>
    <d v="2021-01-22T00:00:00"/>
    <x v="2"/>
    <s v="Hudud menejeri"/>
    <s v="Senior"/>
    <s v="Toshkent"/>
    <n v="13910000"/>
    <n v="5"/>
    <x v="3"/>
    <n v="15"/>
    <x v="2"/>
    <s v="Bakalavr"/>
    <x v="0"/>
    <m/>
    <x v="0"/>
    <n v="38"/>
    <n v="5.6865160848733742"/>
    <s v="Aziz Karimov"/>
    <n v="0"/>
    <x v="0"/>
  </r>
  <r>
    <s v="EMP-0419"/>
    <s v="Islom Normatov"/>
    <s v="Erkak"/>
    <d v="1992-02-09T00:00:00"/>
    <d v="2022-12-25T00:00:00"/>
    <x v="2"/>
    <s v="Sotuv menejeri"/>
    <s v="Senior"/>
    <s v="Toshkent"/>
    <n v="13770000"/>
    <n v="5"/>
    <x v="3"/>
    <n v="11"/>
    <x v="0"/>
    <s v="Magistr"/>
    <x v="0"/>
    <m/>
    <x v="0"/>
    <n v="34"/>
    <n v="3.7645448323066395"/>
    <s v="Aziz Karimov"/>
    <n v="0"/>
    <x v="0"/>
  </r>
  <r>
    <s v="EMP-0231"/>
    <s v="Sardor Umarov"/>
    <s v="Erkak"/>
    <d v="1991-12-01T00:00:00"/>
    <d v="2022-01-14T00:00:00"/>
    <x v="5"/>
    <s v="Logist"/>
    <s v="Senior"/>
    <s v="Farg'ona"/>
    <n v="13740000"/>
    <n v="3"/>
    <x v="2"/>
    <n v="19"/>
    <x v="0"/>
    <s v="Bakalavr"/>
    <x v="0"/>
    <m/>
    <x v="0"/>
    <n v="34"/>
    <n v="4.7091033538672145"/>
    <s v="Sardor Nazarov"/>
    <n v="0"/>
    <x v="0"/>
  </r>
  <r>
    <s v="EMP-0090"/>
    <s v="Akmal Ismoilov"/>
    <s v="Erkak"/>
    <d v="1996-01-27T00:00:00"/>
    <d v="2022-03-19T00:00:00"/>
    <x v="1"/>
    <s v="SMM mutaxassisi"/>
    <s v="Senior"/>
    <s v="Farg'ona"/>
    <n v="13670000"/>
    <n v="3"/>
    <x v="3"/>
    <n v="18"/>
    <x v="1"/>
    <s v="Bakalavr"/>
    <x v="0"/>
    <m/>
    <x v="0"/>
    <n v="30"/>
    <n v="4.5338809034907595"/>
    <s v="Dilnoza Rahimova"/>
    <n v="0"/>
    <x v="0"/>
  </r>
  <r>
    <s v="EMP-0560"/>
    <s v="Behruz Yusupov"/>
    <s v="Erkak"/>
    <d v="1990-06-22T00:00:00"/>
    <d v="2026-06-04T00:00:00"/>
    <x v="3"/>
    <s v="Buxgalter"/>
    <s v="Senior"/>
    <s v="Samarqand"/>
    <n v="13630000"/>
    <n v="5"/>
    <x v="0"/>
    <n v="15"/>
    <x v="0"/>
    <s v="Bakalavr"/>
    <x v="0"/>
    <m/>
    <x v="0"/>
    <n v="36"/>
    <n v="0.32306639288158795"/>
    <s v="Madina Abdullayeva"/>
    <n v="0"/>
    <x v="2"/>
  </r>
  <r>
    <s v="EMP-0405"/>
    <s v="Jahongir Nazarov"/>
    <s v="Erkak"/>
    <d v="1988-01-01T00:00:00"/>
    <d v="2025-02-09T00:00:00"/>
    <x v="3"/>
    <s v="Moliyaviy tahlilchi"/>
    <s v="Senior"/>
    <s v="Toshkent"/>
    <n v="13570000"/>
    <n v="4"/>
    <x v="0"/>
    <n v="13"/>
    <x v="2"/>
    <s v="Bakalavr"/>
    <x v="0"/>
    <m/>
    <x v="0"/>
    <n v="38"/>
    <n v="1.6372347707049966"/>
    <s v="Madina Abdullayeva"/>
    <n v="0"/>
    <x v="1"/>
  </r>
  <r>
    <s v="EMP-0271"/>
    <s v="Zilola Saidova"/>
    <s v="Ayol"/>
    <d v="1994-09-25T00:00:00"/>
    <d v="2023-08-17T00:00:00"/>
    <x v="3"/>
    <s v="Kassir"/>
    <s v="Senior"/>
    <s v="Toshkent"/>
    <n v="13490000"/>
    <n v="4"/>
    <x v="2"/>
    <n v="5"/>
    <x v="0"/>
    <s v="Bakalavr"/>
    <x v="1"/>
    <d v="2026-07-19T00:00:00"/>
    <x v="3"/>
    <n v="32"/>
    <n v="2.9212867898699519"/>
    <s v="Madina Abdullayeva"/>
    <n v="1"/>
    <x v="1"/>
  </r>
  <r>
    <s v="EMP-0406"/>
    <s v="Gulnora Karimova"/>
    <s v="Ayol"/>
    <d v="1980-06-06T00:00:00"/>
    <d v="2025-08-09T00:00:00"/>
    <x v="5"/>
    <s v="Haydovchi-ekspeditor"/>
    <s v="Senior"/>
    <s v="Samarqand"/>
    <n v="13410000"/>
    <n v="3"/>
    <x v="1"/>
    <n v="29"/>
    <x v="0"/>
    <s v="Bakalavr"/>
    <x v="0"/>
    <m/>
    <x v="0"/>
    <n v="46"/>
    <n v="1.1416837782340863"/>
    <s v="Sardor Nazarov"/>
    <n v="0"/>
    <x v="1"/>
  </r>
  <r>
    <s v="EMP-0238"/>
    <s v="Kamola Rahimova"/>
    <s v="Ayol"/>
    <d v="1998-02-10T00:00:00"/>
    <d v="2022-09-13T00:00:00"/>
    <x v="2"/>
    <s v="Sotuv menejeri"/>
    <s v="Senior"/>
    <s v="Buxoro"/>
    <n v="13250000"/>
    <m/>
    <x v="3"/>
    <n v="12"/>
    <x v="0"/>
    <s v="Magistr"/>
    <x v="0"/>
    <m/>
    <x v="0"/>
    <n v="28"/>
    <n v="4.046543463381246"/>
    <s v="Aziz Karimov"/>
    <n v="0"/>
    <x v="0"/>
  </r>
  <r>
    <s v="EMP-0079"/>
    <s v="Dilnoza Ergasheva"/>
    <s v="Ayol"/>
    <d v="1993-12-19T00:00:00"/>
    <d v="2024-02-26T00:00:00"/>
    <x v="4"/>
    <s v="Rekruter"/>
    <s v="Senior"/>
    <s v="Toshkent"/>
    <n v="13220000"/>
    <n v="5"/>
    <x v="0"/>
    <n v="31"/>
    <x v="2"/>
    <s v="O'rta maxsus"/>
    <x v="0"/>
    <m/>
    <x v="0"/>
    <n v="32"/>
    <n v="2.5927446954140998"/>
    <s v="Nodira Tursunova"/>
    <n v="0"/>
    <x v="1"/>
  </r>
  <r>
    <s v="EMP-0233"/>
    <s v="Jasur Sobirov"/>
    <s v="Erkak"/>
    <d v="1989-06-12T00:00:00"/>
    <d v="2018-11-25T00:00:00"/>
    <x v="2"/>
    <s v="Sotuv menejeri"/>
    <s v="Senior"/>
    <s v="Andijon"/>
    <n v="13190000"/>
    <n v="4"/>
    <x v="3"/>
    <n v="9"/>
    <x v="1"/>
    <s v="Bakalavr"/>
    <x v="0"/>
    <m/>
    <x v="0"/>
    <n v="37"/>
    <n v="7.8466803559206024"/>
    <s v="Aziz Karimov"/>
    <n v="0"/>
    <x v="0"/>
  </r>
  <r>
    <s v="EMP-0351"/>
    <s v="Islom Ergashev"/>
    <s v="Erkak"/>
    <d v="2001-01-04T00:00:00"/>
    <d v="2026-08-14T00:00:00"/>
    <x v="5"/>
    <s v="Ombor mudiri"/>
    <s v="Senior"/>
    <s v="Toshkent"/>
    <n v="13100000"/>
    <n v="2"/>
    <x v="2"/>
    <n v="26"/>
    <x v="2"/>
    <s v="Bakalavr"/>
    <x v="0"/>
    <m/>
    <x v="0"/>
    <n v="25"/>
    <n v="0.12867898699520877"/>
    <s v="Sardor Nazarov"/>
    <n v="0"/>
    <x v="2"/>
  </r>
  <r>
    <s v="EMP-0453"/>
    <s v="Akmal Qodirov"/>
    <s v="Erkak"/>
    <d v="1990-10-24T00:00:00"/>
    <d v="2023-01-30T00:00:00"/>
    <x v="5"/>
    <s v="Ombor mudiri"/>
    <s v="Senior"/>
    <s v="Andijon"/>
    <n v="13090000"/>
    <n v="4"/>
    <x v="3"/>
    <n v="6"/>
    <x v="0"/>
    <s v="Bakalavr"/>
    <x v="0"/>
    <m/>
    <x v="0"/>
    <n v="35"/>
    <n v="3.6659822039698837"/>
    <s v="Sardor Nazarov"/>
    <n v="0"/>
    <x v="0"/>
  </r>
  <r>
    <s v="EMP-0644"/>
    <s v="Ulugbek Rahimov"/>
    <s v="Erkak"/>
    <d v="1989-02-03T00:00:00"/>
    <d v="2020-11-25T00:00:00"/>
    <x v="5"/>
    <s v="Logist"/>
    <s v="Senior"/>
    <s v="Namangan"/>
    <n v="13040000"/>
    <n v="3"/>
    <x v="0"/>
    <n v="5"/>
    <x v="0"/>
    <s v="Bakalavr"/>
    <x v="0"/>
    <m/>
    <x v="0"/>
    <n v="37"/>
    <n v="5.8453114305270359"/>
    <s v="Sardor Nazarov"/>
    <n v="0"/>
    <x v="0"/>
  </r>
  <r>
    <s v="EMP-0667"/>
    <s v="Aziz Sobirov"/>
    <s v="Erkak"/>
    <d v="2004-09-13T00:00:00"/>
    <d v="2026-03-12T00:00:00"/>
    <x v="5"/>
    <s v="Logist"/>
    <s v="Senior"/>
    <s v="Toshkent"/>
    <n v="12900000"/>
    <n v="3"/>
    <x v="0"/>
    <n v="3"/>
    <x v="2"/>
    <s v="Bakalavr"/>
    <x v="0"/>
    <m/>
    <x v="0"/>
    <n v="22"/>
    <n v="0.55304585900068448"/>
    <s v="Sardor Nazarov"/>
    <n v="0"/>
    <x v="2"/>
  </r>
  <r>
    <s v="EMP-0009"/>
    <s v="Behruz Mirzayev"/>
    <s v="Erkak"/>
    <d v="1979-10-13T00:00:00"/>
    <d v="2023-08-09T00:00:00"/>
    <x v="2"/>
    <s v="Savdo vakili"/>
    <s v="Senior"/>
    <s v="Toshkent"/>
    <n v="12840000"/>
    <m/>
    <x v="3"/>
    <n v="22"/>
    <x v="0"/>
    <s v="Bakalavr"/>
    <x v="0"/>
    <m/>
    <x v="0"/>
    <n v="46"/>
    <n v="3.1430527036276521"/>
    <s v="Aziz Karimov"/>
    <n v="0"/>
    <x v="0"/>
  </r>
  <r>
    <s v="EMP-0285"/>
    <s v="Ulugbek Umarov"/>
    <s v="Erkak"/>
    <d v="1997-04-26T00:00:00"/>
    <d v="2026-08-12T00:00:00"/>
    <x v="5"/>
    <s v="Haydovchi-ekspeditor"/>
    <s v="Senior"/>
    <s v="Samarqand"/>
    <n v="12720000"/>
    <n v="3"/>
    <x v="0"/>
    <n v="21"/>
    <x v="2"/>
    <s v="Bakalavr"/>
    <x v="0"/>
    <m/>
    <x v="0"/>
    <n v="29"/>
    <n v="0.13415468856947296"/>
    <s v="Sardor Nazarov"/>
    <n v="0"/>
    <x v="2"/>
  </r>
  <r>
    <s v="EMP-0086"/>
    <s v="Aziz Abdullayev"/>
    <s v="Erkak"/>
    <d v="1984-05-20T00:00:00"/>
    <d v="2019-04-01T00:00:00"/>
    <x v="2"/>
    <s v="Sotuv menejeri"/>
    <s v="Senior"/>
    <s v="Toshkent"/>
    <n v="12710000"/>
    <n v="4"/>
    <x v="1"/>
    <n v="13"/>
    <x v="2"/>
    <s v="Magistr"/>
    <x v="1"/>
    <d v="2026-09-15T00:00:00"/>
    <x v="2"/>
    <n v="42"/>
    <n v="7.4579055441478443"/>
    <s v="Aziz Karimov"/>
    <n v="1"/>
    <x v="0"/>
  </r>
  <r>
    <s v="EMP-0182"/>
    <s v="Gulnora Hasanova"/>
    <s v="Ayol"/>
    <d v="1998-04-13T00:00:00"/>
    <d v="2021-05-20T00:00:00"/>
    <x v="6"/>
    <s v="Call-markaz operatori"/>
    <s v="Senior"/>
    <s v="Toshkent"/>
    <n v="12660000"/>
    <n v="4"/>
    <x v="3"/>
    <n v="17"/>
    <x v="0"/>
    <s v="Bakalavr"/>
    <x v="0"/>
    <m/>
    <x v="0"/>
    <n v="28"/>
    <n v="5.3634496919917867"/>
    <s v="Shahlo Ismoilova"/>
    <n v="0"/>
    <x v="0"/>
  </r>
  <r>
    <s v="EMP-0250"/>
    <s v="Zilola Hasanova"/>
    <s v="Ayol"/>
    <d v="1992-03-15T00:00:00"/>
    <d v="2017-09-24T00:00:00"/>
    <x v="6"/>
    <s v="Call-markaz operatori"/>
    <s v="Senior"/>
    <s v="Andijon"/>
    <n v="12660000"/>
    <n v="4"/>
    <x v="3"/>
    <n v="2"/>
    <x v="1"/>
    <s v="Bakalavr"/>
    <x v="0"/>
    <m/>
    <x v="0"/>
    <n v="34"/>
    <n v="9.0157426420260087"/>
    <s v="Shahlo Ismoilova"/>
    <n v="0"/>
    <x v="0"/>
  </r>
  <r>
    <s v="EMP-0638"/>
    <s v="Rustam Ismoilov"/>
    <s v="Erkak"/>
    <d v="1990-04-09T00:00:00"/>
    <d v="2017-11-03T00:00:00"/>
    <x v="3"/>
    <s v="Kassir"/>
    <s v="Senior"/>
    <s v="Toshkent"/>
    <n v="12660000"/>
    <n v="3"/>
    <x v="2"/>
    <n v="20"/>
    <x v="1"/>
    <s v="O'rta maxsus"/>
    <x v="1"/>
    <d v="2025-02-12T00:00:00"/>
    <x v="1"/>
    <n v="36"/>
    <n v="7.2772073921971252"/>
    <s v="Madina Abdullayeva"/>
    <n v="1"/>
    <x v="0"/>
  </r>
  <r>
    <s v="EMP-0793"/>
    <s v="Otabek Hasanov"/>
    <s v="Erkak"/>
    <d v="1991-07-14T00:00:00"/>
    <d v="2020-06-15T00:00:00"/>
    <x v="2"/>
    <s v="Hudud menejeri"/>
    <s v="Senior"/>
    <s v="Buxoro"/>
    <n v="12660000"/>
    <n v="2"/>
    <x v="3"/>
    <n v="14"/>
    <x v="0"/>
    <s v="Bakalavr"/>
    <x v="0"/>
    <m/>
    <x v="0"/>
    <n v="35"/>
    <n v="6.2915811088295692"/>
    <s v="Aziz Karimov"/>
    <n v="0"/>
    <x v="0"/>
  </r>
  <r>
    <s v="EMP-0573"/>
    <s v="Malika Mirzayeva"/>
    <s v="Ayol"/>
    <d v="1997-01-04T00:00:00"/>
    <d v="2023-02-17T00:00:00"/>
    <x v="2"/>
    <s v="Savdo vakili"/>
    <s v="Senior"/>
    <s v="Toshkent"/>
    <n v="12650000"/>
    <n v="1"/>
    <x v="1"/>
    <n v="2"/>
    <x v="0"/>
    <s v="Bakalavr"/>
    <x v="0"/>
    <m/>
    <x v="0"/>
    <n v="29"/>
    <n v="3.6167008898015056"/>
    <s v="Aziz Karimov"/>
    <n v="0"/>
    <x v="0"/>
  </r>
  <r>
    <s v="EMP-0135"/>
    <s v="Akmal Qodirov"/>
    <s v="Erkak"/>
    <d v="1999-08-22T00:00:00"/>
    <d v="2024-10-13T00:00:00"/>
    <x v="2"/>
    <s v="Hudud menejeri"/>
    <s v="Senior"/>
    <s v="Namangan"/>
    <n v="12640000"/>
    <n v="5"/>
    <x v="3"/>
    <n v="17"/>
    <x v="2"/>
    <s v="O'rta maxsus"/>
    <x v="0"/>
    <m/>
    <x v="0"/>
    <n v="27"/>
    <n v="1.9630390143737166"/>
    <s v="Aziz Karimov"/>
    <n v="0"/>
    <x v="1"/>
  </r>
  <r>
    <s v="EMP-0177"/>
    <s v="Shahlo Sobirova"/>
    <s v="Ayol"/>
    <d v="2001-07-12T00:00:00"/>
    <d v="2023-11-04T00:00:00"/>
    <x v="5"/>
    <s v="Ombor mudiri"/>
    <s v="Senior"/>
    <s v="Andijon"/>
    <n v="12560000"/>
    <n v="4"/>
    <x v="4"/>
    <n v="8"/>
    <x v="2"/>
    <s v="Bakalavr"/>
    <x v="0"/>
    <m/>
    <x v="0"/>
    <n v="25"/>
    <n v="2.9048596851471595"/>
    <s v="Sardor Nazarov"/>
    <n v="0"/>
    <x v="1"/>
  </r>
  <r>
    <s v="EMP-0665"/>
    <s v="Mohira Sobirova"/>
    <s v="Ayol"/>
    <d v="1993-09-13T00:00:00"/>
    <d v="2023-02-15T00:00:00"/>
    <x v="6"/>
    <s v="Mijozlar bilan ishlash mutaxassisi"/>
    <s v="Senior"/>
    <s v="Toshkent"/>
    <n v="12540000"/>
    <n v="1"/>
    <x v="0"/>
    <n v="27"/>
    <x v="2"/>
    <s v="Magistr"/>
    <x v="0"/>
    <m/>
    <x v="0"/>
    <n v="33"/>
    <n v="3.6221765913757702"/>
    <s v="Shahlo Ismoilova"/>
    <n v="0"/>
    <x v="0"/>
  </r>
  <r>
    <s v="EMP-0260"/>
    <s v="Timur Ismoilov"/>
    <s v="Erkak"/>
    <d v="1999-11-17T00:00:00"/>
    <d v="2026-05-29T00:00:00"/>
    <x v="2"/>
    <s v="Savdo vakili"/>
    <s v="Senior"/>
    <s v="Namangan"/>
    <n v="12510000"/>
    <n v="4"/>
    <x v="3"/>
    <n v="17"/>
    <x v="2"/>
    <s v="O'rta maxsus"/>
    <x v="1"/>
    <d v="2026-09-24T00:00:00"/>
    <x v="1"/>
    <n v="26"/>
    <n v="0.32306639288158795"/>
    <s v="Aziz Karimov"/>
    <n v="1"/>
    <x v="2"/>
  </r>
  <r>
    <s v="EMP-0341"/>
    <s v="Dilnoza Umarova"/>
    <s v="Ayol"/>
    <d v="1987-07-22T00:00:00"/>
    <d v="2023-04-02T00:00:00"/>
    <x v="0"/>
    <s v="Tizim administratori"/>
    <s v="Middle"/>
    <s v="Toshkent"/>
    <n v="12480000"/>
    <n v="3"/>
    <x v="0"/>
    <n v="35"/>
    <x v="0"/>
    <s v="O'rta maxsus"/>
    <x v="0"/>
    <m/>
    <x v="0"/>
    <n v="39"/>
    <n v="3.4962354551676933"/>
    <s v="Jasur Yusupov"/>
    <n v="0"/>
    <x v="0"/>
  </r>
  <r>
    <s v="EMP-0175"/>
    <s v="Gulnora Ismoilova"/>
    <s v="Ayol"/>
    <d v="1997-03-13T00:00:00"/>
    <d v="2026-01-26T00:00:00"/>
    <x v="5"/>
    <s v="Ombor mudiri"/>
    <s v="Senior"/>
    <s v="Qarshi"/>
    <n v="12430000"/>
    <n v="3"/>
    <x v="3"/>
    <n v="25"/>
    <x v="2"/>
    <s v="Bakalavr"/>
    <x v="0"/>
    <m/>
    <x v="0"/>
    <n v="29"/>
    <n v="0.67624914442162898"/>
    <s v="Sardor Nazarov"/>
    <n v="0"/>
    <x v="2"/>
  </r>
  <r>
    <s v="EMP-0673"/>
    <s v="Ulugbek Rahimov"/>
    <s v="Erkak"/>
    <d v="1998-05-02T00:00:00"/>
    <d v="2024-07-19T00:00:00"/>
    <x v="1"/>
    <s v="Marketolog"/>
    <s v="Senior"/>
    <s v="Samarqand"/>
    <n v="12430000"/>
    <n v="3"/>
    <x v="3"/>
    <n v="13"/>
    <x v="0"/>
    <s v="Bakalavr"/>
    <x v="1"/>
    <d v="2025-06-10T00:00:00"/>
    <x v="1"/>
    <n v="28"/>
    <n v="0.892539356605065"/>
    <s v="Dilnoza Rahimova"/>
    <n v="1"/>
    <x v="2"/>
  </r>
  <r>
    <s v="EMP-0247"/>
    <s v="Dilshod Abdullayev"/>
    <s v="Erkak"/>
    <d v="1996-08-26T00:00:00"/>
    <d v="2025-10-18T00:00:00"/>
    <x v="0"/>
    <s v="QA muhandisi"/>
    <s v="Middle"/>
    <s v="Namangan"/>
    <n v="12390000"/>
    <n v="3"/>
    <x v="2"/>
    <n v="13"/>
    <x v="0"/>
    <s v="O'rta maxsus"/>
    <x v="1"/>
    <d v="2026-02-08T00:00:00"/>
    <x v="2"/>
    <n v="30"/>
    <n v="0.30937713894592744"/>
    <s v="Jasur Yusupov"/>
    <n v="1"/>
    <x v="2"/>
  </r>
  <r>
    <s v="EMP-0277"/>
    <s v="Aziza Sobirova"/>
    <s v="Ayol"/>
    <d v="1994-12-16T00:00:00"/>
    <d v="2024-03-29T00:00:00"/>
    <x v="0"/>
    <s v="QA muhandisi"/>
    <s v="Middle"/>
    <s v="Toshkent"/>
    <n v="12370000"/>
    <n v="4"/>
    <x v="1"/>
    <n v="11"/>
    <x v="2"/>
    <s v="Bakalavr"/>
    <x v="0"/>
    <m/>
    <x v="0"/>
    <n v="31"/>
    <n v="2.5051334702258727"/>
    <s v="Jasur Yusupov"/>
    <n v="0"/>
    <x v="1"/>
  </r>
  <r>
    <s v="EMP-0524"/>
    <s v="Ulugbek Karimov"/>
    <s v="Erkak"/>
    <d v="1995-10-10T00:00:00"/>
    <d v="2021-10-16T00:00:00"/>
    <x v="0"/>
    <s v="Dasturchi"/>
    <s v="Middle"/>
    <s v="Toshkent"/>
    <n v="12340000"/>
    <n v="5"/>
    <x v="1"/>
    <n v="21"/>
    <x v="0"/>
    <s v="Bakalavr"/>
    <x v="0"/>
    <m/>
    <x v="0"/>
    <n v="30"/>
    <n v="4.9555099247091032"/>
    <s v="Jasur Yusupov"/>
    <n v="0"/>
    <x v="0"/>
  </r>
  <r>
    <s v="EMP-0274"/>
    <s v="Sherzod Sobirov"/>
    <s v="Erkak"/>
    <d v="1985-01-16T00:00:00"/>
    <d v="2025-09-19T00:00:00"/>
    <x v="6"/>
    <s v="Mijozlar bilan ishlash mutaxassisi"/>
    <s v="Senior"/>
    <s v="Qarshi"/>
    <n v="12310000"/>
    <n v="4"/>
    <x v="3"/>
    <n v="5"/>
    <x v="0"/>
    <s v="Bakalavr"/>
    <x v="0"/>
    <m/>
    <x v="0"/>
    <n v="41"/>
    <n v="1.0294318959616702"/>
    <s v="Shahlo Ismoilova"/>
    <n v="0"/>
    <x v="1"/>
  </r>
  <r>
    <s v="EMP-0005"/>
    <s v="Sherzod Qodirov"/>
    <s v="Erkak"/>
    <d v="1994-12-23T00:00:00"/>
    <d v="2025-05-15T00:00:00"/>
    <x v="1"/>
    <s v="Kontent menejer"/>
    <s v="Senior"/>
    <s v="Toshkent"/>
    <n v="12290000"/>
    <n v="3"/>
    <x v="0"/>
    <n v="8"/>
    <x v="0"/>
    <s v="O'rta maxsus"/>
    <x v="0"/>
    <m/>
    <x v="0"/>
    <n v="31"/>
    <n v="1.377138945927447"/>
    <s v="Dilnoza Rahimova"/>
    <n v="0"/>
    <x v="1"/>
  </r>
  <r>
    <s v="EMP-0330"/>
    <s v="Doniyor Ergashev"/>
    <s v="Erkak"/>
    <d v="1995-04-07T00:00:00"/>
    <d v="2021-12-14T00:00:00"/>
    <x v="0"/>
    <s v="Tizim administratori"/>
    <s v="Middle"/>
    <s v="Samarqand"/>
    <n v="12260000"/>
    <n v="3"/>
    <x v="3"/>
    <n v="12"/>
    <x v="0"/>
    <s v="Bakalavr"/>
    <x v="0"/>
    <m/>
    <x v="0"/>
    <n v="31"/>
    <n v="4.7939767282683095"/>
    <s v="Jasur Yusupov"/>
    <n v="0"/>
    <x v="0"/>
  </r>
  <r>
    <s v="EMP-0212"/>
    <s v="Jasur Saidov"/>
    <s v="Erkak"/>
    <d v="1989-06-20T00:00:00"/>
    <d v="2025-11-05T00:00:00"/>
    <x v="6"/>
    <s v="Mijozlar bilan ishlash mutaxassisi"/>
    <s v="Senior"/>
    <s v="Namangan"/>
    <n v="12200000"/>
    <n v="2"/>
    <x v="0"/>
    <n v="6"/>
    <x v="2"/>
    <s v="O'rta maxsus"/>
    <x v="0"/>
    <m/>
    <x v="0"/>
    <n v="37"/>
    <n v="0.90075290896646132"/>
    <s v="Shahlo Ismoilova"/>
    <n v="0"/>
    <x v="2"/>
  </r>
  <r>
    <s v="EMP-0049"/>
    <s v="Jahongir Ismoilov"/>
    <s v="Erkak"/>
    <d v="1992-09-18T00:00:00"/>
    <d v="2026-07-30T00:00:00"/>
    <x v="1"/>
    <s v="SMM mutaxassisi"/>
    <s v="Senior"/>
    <s v="Toshkent"/>
    <n v="12170000"/>
    <n v="2"/>
    <x v="1"/>
    <n v="13"/>
    <x v="0"/>
    <s v="O'rta maxsus"/>
    <x v="0"/>
    <m/>
    <x v="0"/>
    <n v="34"/>
    <n v="0.16974674880219029"/>
    <s v="Dilnoza Rahimova"/>
    <n v="0"/>
    <x v="2"/>
  </r>
  <r>
    <s v="EMP-0594"/>
    <s v="Akmal Hasanov"/>
    <s v="Erkak"/>
    <d v="2000-01-04T00:00:00"/>
    <d v="2024-05-16T00:00:00"/>
    <x v="0"/>
    <s v="Dasturchi"/>
    <s v="Middle"/>
    <s v="Toshkent"/>
    <n v="12160000"/>
    <n v="3"/>
    <x v="3"/>
    <n v="4"/>
    <x v="2"/>
    <s v="Bakalavr"/>
    <x v="0"/>
    <m/>
    <x v="0"/>
    <n v="26"/>
    <n v="2.3737166324435317"/>
    <s v="Jasur Yusupov"/>
    <n v="0"/>
    <x v="1"/>
  </r>
  <r>
    <s v="EMP-0626"/>
    <s v="Feruza Hasanova"/>
    <s v="Ayol"/>
    <d v="2003-04-08T00:00:00"/>
    <d v="2025-08-09T00:00:00"/>
    <x v="2"/>
    <s v="Hudud menejeri"/>
    <s v="Senior"/>
    <s v="Toshkent"/>
    <n v="12160000"/>
    <n v="3"/>
    <x v="1"/>
    <n v="1"/>
    <x v="2"/>
    <s v="Bakalavr"/>
    <x v="0"/>
    <m/>
    <x v="0"/>
    <n v="23"/>
    <n v="1.1416837782340863"/>
    <s v="Aziz Karimov"/>
    <n v="0"/>
    <x v="1"/>
  </r>
  <r>
    <s v="EMP-0508"/>
    <s v="Sevara Rahimova"/>
    <s v="Ayol"/>
    <d v="1993-03-16T00:00:00"/>
    <d v="2025-12-07T00:00:00"/>
    <x v="0"/>
    <s v="Tizim administratori"/>
    <s v="Middle"/>
    <s v="Toshkent"/>
    <n v="12090000"/>
    <n v="4"/>
    <x v="3"/>
    <n v="24"/>
    <x v="0"/>
    <s v="Bakalavr"/>
    <x v="0"/>
    <m/>
    <x v="0"/>
    <n v="33"/>
    <n v="0.81314168377823404"/>
    <s v="Jasur Yusupov"/>
    <n v="0"/>
    <x v="2"/>
  </r>
  <r>
    <s v="EMP-0549"/>
    <s v="Gulnora Abdullayeva"/>
    <s v="Ayol"/>
    <d v="1982-07-01T00:00:00"/>
    <d v="2023-03-16T00:00:00"/>
    <x v="2"/>
    <s v="Savdo vakili"/>
    <s v="Senior"/>
    <s v="Farg'ona"/>
    <n v="12080000"/>
    <n v="4"/>
    <x v="4"/>
    <n v="21"/>
    <x v="0"/>
    <s v="O'rta maxsus"/>
    <x v="1"/>
    <d v="2025-06-08T00:00:00"/>
    <x v="4"/>
    <n v="44"/>
    <n v="2.2313483915126624"/>
    <s v="Aziz Karimov"/>
    <n v="1"/>
    <x v="1"/>
  </r>
  <r>
    <s v="EMP-0633"/>
    <s v="Sherzod Umarov"/>
    <s v="Erkak"/>
    <d v="2001-10-04T00:00:00"/>
    <d v="2025-01-14T00:00:00"/>
    <x v="0"/>
    <s v="QA muhandisi"/>
    <s v="Middle"/>
    <s v="Toshkent"/>
    <n v="12030000"/>
    <n v="3"/>
    <x v="2"/>
    <n v="0"/>
    <x v="0"/>
    <s v="Bakalavr"/>
    <x v="0"/>
    <m/>
    <x v="0"/>
    <n v="24"/>
    <n v="1.7084188911704312"/>
    <s v="Jasur Yusupov"/>
    <n v="0"/>
    <x v="1"/>
  </r>
  <r>
    <s v="EMP-0716"/>
    <s v="Behruz Nazarov"/>
    <s v="Erkak"/>
    <d v="1994-02-01T00:00:00"/>
    <d v="2024-07-11T00:00:00"/>
    <x v="1"/>
    <s v="SMM mutaxassisi"/>
    <s v="Senior"/>
    <s v="Toshkent"/>
    <n v="12000000"/>
    <n v="4"/>
    <x v="0"/>
    <n v="19"/>
    <x v="0"/>
    <s v="O'rta maxsus"/>
    <x v="0"/>
    <m/>
    <x v="0"/>
    <n v="32"/>
    <n v="2.2203969883641341"/>
    <s v="Dilnoza Rahimova"/>
    <n v="0"/>
    <x v="1"/>
  </r>
  <r>
    <s v="EMP-0183"/>
    <s v="Nigora Ismoilova"/>
    <s v="Ayol"/>
    <d v="2006-01-04T00:00:00"/>
    <d v="2026-07-15T00:00:00"/>
    <x v="4"/>
    <s v="Rekruter"/>
    <s v="Senior"/>
    <s v="Toshkent"/>
    <n v="11990000"/>
    <n v="5"/>
    <x v="1"/>
    <n v="12"/>
    <x v="0"/>
    <s v="Bakalavr"/>
    <x v="0"/>
    <m/>
    <x v="0"/>
    <n v="20"/>
    <n v="0.21081451060917181"/>
    <s v="Nodira Tursunova"/>
    <n v="0"/>
    <x v="2"/>
  </r>
  <r>
    <s v="EMP-0213"/>
    <s v="Bobur Normatov"/>
    <s v="Erkak"/>
    <d v="2005-12-27T00:00:00"/>
    <d v="2026-05-02T00:00:00"/>
    <x v="0"/>
    <s v="Tizim administratori"/>
    <s v="Middle"/>
    <s v="Namangan"/>
    <n v="11940000"/>
    <n v="4"/>
    <x v="1"/>
    <n v="22"/>
    <x v="2"/>
    <s v="Bakalavr"/>
    <x v="0"/>
    <m/>
    <x v="0"/>
    <n v="20"/>
    <n v="0.4134154688569473"/>
    <s v="Jasur Yusupov"/>
    <n v="0"/>
    <x v="2"/>
  </r>
  <r>
    <s v="EMP-0253"/>
    <s v="Nodira Sobirova"/>
    <s v="Ayol"/>
    <d v="1986-11-25T00:00:00"/>
    <d v="2023-07-19T00:00:00"/>
    <x v="4"/>
    <s v="HR menejer"/>
    <s v="Senior"/>
    <s v="Toshkent"/>
    <n v="11850000"/>
    <n v="4"/>
    <x v="4"/>
    <n v="16"/>
    <x v="2"/>
    <s v="O'rta maxsus"/>
    <x v="0"/>
    <m/>
    <x v="0"/>
    <n v="39"/>
    <n v="3.2005475701574264"/>
    <s v="Nodira Tursunova"/>
    <n v="0"/>
    <x v="0"/>
  </r>
  <r>
    <s v="EMP-0557"/>
    <s v="Nodira Yusupova"/>
    <s v="Ayol"/>
    <d v="1999-12-01T00:00:00"/>
    <d v="2024-07-07T00:00:00"/>
    <x v="0"/>
    <s v="QA muhandisi"/>
    <s v="Middle"/>
    <s v="Andijon"/>
    <n v="11820000"/>
    <n v="2"/>
    <x v="0"/>
    <n v="23"/>
    <x v="0"/>
    <s v="Bakalavr"/>
    <x v="0"/>
    <m/>
    <x v="0"/>
    <n v="26"/>
    <n v="2.2313483915126624"/>
    <s v="Jasur Yusupov"/>
    <n v="0"/>
    <x v="1"/>
  </r>
  <r>
    <s v="EMP-0222"/>
    <s v="Dilfuza Rahimova"/>
    <s v="Ayol"/>
    <d v="2001-06-25T00:00:00"/>
    <d v="2026-05-20T00:00:00"/>
    <x v="6"/>
    <s v="Mijozlar bilan ishlash mutaxassisi"/>
    <s v="Senior"/>
    <s v="Toshkent"/>
    <n v="11810000"/>
    <n v="3"/>
    <x v="0"/>
    <n v="30"/>
    <x v="2"/>
    <s v="Bakalavr"/>
    <x v="0"/>
    <m/>
    <x v="0"/>
    <n v="25"/>
    <n v="0.36413415468856947"/>
    <s v="Shahlo Ismoilova"/>
    <n v="0"/>
    <x v="2"/>
  </r>
  <r>
    <s v="EMP-0407"/>
    <s v="Zilola Ismoilova"/>
    <s v="Ayol"/>
    <d v="1996-06-11T00:00:00"/>
    <d v="2019-08-09T00:00:00"/>
    <x v="6"/>
    <s v="Mijozlar bilan ishlash mutaxassisi"/>
    <s v="Senior"/>
    <s v="Toshkent"/>
    <n v="11800000"/>
    <n v="1"/>
    <x v="0"/>
    <n v="10"/>
    <x v="0"/>
    <s v="O'rta maxsus"/>
    <x v="0"/>
    <m/>
    <x v="0"/>
    <n v="30"/>
    <n v="7.1430527036276521"/>
    <s v="Shahlo Ismoilova"/>
    <n v="0"/>
    <x v="0"/>
  </r>
  <r>
    <s v="EMP-0721"/>
    <s v="Gulnora Rahimova"/>
    <s v="Ayol"/>
    <d v="2001-11-25T00:00:00"/>
    <d v="2025-12-31T00:00:00"/>
    <x v="2"/>
    <s v="Hudud menejeri"/>
    <s v="Senior"/>
    <s v="Farg'ona"/>
    <n v="11790000"/>
    <n v="2"/>
    <x v="3"/>
    <n v="29"/>
    <x v="2"/>
    <s v="Bakalavr"/>
    <x v="0"/>
    <m/>
    <x v="0"/>
    <n v="24"/>
    <n v="0.74743326488706363"/>
    <s v="Aziz Karimov"/>
    <n v="0"/>
    <x v="2"/>
  </r>
  <r>
    <s v="EMP-0584"/>
    <s v="Gulnora Nazarova"/>
    <s v="Ayol"/>
    <d v="2000-04-15T00:00:00"/>
    <d v="2025-08-24T00:00:00"/>
    <x v="5"/>
    <s v="Haydovchi-ekspeditor"/>
    <s v="Senior"/>
    <s v="Qarshi"/>
    <n v="11770000"/>
    <n v="4"/>
    <x v="3"/>
    <n v="19"/>
    <x v="0"/>
    <s v="Bakalavr"/>
    <x v="0"/>
    <m/>
    <x v="0"/>
    <n v="26"/>
    <n v="1.1006160164271048"/>
    <s v="Sardor Nazarov"/>
    <n v="0"/>
    <x v="1"/>
  </r>
  <r>
    <s v="EMP-0530"/>
    <s v="Dilnoza Umarova"/>
    <s v="Ayol"/>
    <d v="1997-02-13T00:00:00"/>
    <d v="2023-12-06T00:00:00"/>
    <x v="6"/>
    <s v="Mijozlar bilan ishlash mutaxassisi"/>
    <s v="Senior"/>
    <s v="Toshkent"/>
    <n v="11630000"/>
    <n v="3"/>
    <x v="3"/>
    <n v="9"/>
    <x v="0"/>
    <s v="O'rta maxsus"/>
    <x v="0"/>
    <m/>
    <x v="0"/>
    <n v="29"/>
    <n v="2.817248459958932"/>
    <s v="Shahlo Ismoilova"/>
    <n v="0"/>
    <x v="1"/>
  </r>
  <r>
    <s v="EMP-0722"/>
    <s v="Feruza Tursunova"/>
    <s v="Ayol"/>
    <d v="1982-10-02T00:00:00"/>
    <d v="2026-08-22T00:00:00"/>
    <x v="6"/>
    <s v="Call-markaz operatori"/>
    <s v="Senior"/>
    <s v="Toshkent"/>
    <n v="11610000"/>
    <n v="3"/>
    <x v="0"/>
    <n v="8"/>
    <x v="0"/>
    <s v="Bakalavr"/>
    <x v="0"/>
    <m/>
    <x v="0"/>
    <n v="43"/>
    <n v="0.10677618069815195"/>
    <s v="Shahlo Ismoilova"/>
    <n v="0"/>
    <x v="2"/>
  </r>
  <r>
    <s v="EMP-0068"/>
    <s v="Nodira Abdullayeva"/>
    <s v="Ayol"/>
    <d v="1988-11-02T00:00:00"/>
    <d v="2026-04-05T00:00:00"/>
    <x v="2"/>
    <s v="Hudud menejeri"/>
    <s v="Senior"/>
    <s v="Samarqand"/>
    <n v="11580000"/>
    <n v="2"/>
    <x v="0"/>
    <n v="21"/>
    <x v="0"/>
    <s v="Bakalavr"/>
    <x v="0"/>
    <m/>
    <x v="0"/>
    <n v="37"/>
    <n v="0.48733744010951402"/>
    <s v="Aziz Karimov"/>
    <n v="0"/>
    <x v="2"/>
  </r>
  <r>
    <s v="EMP-0417"/>
    <s v="Jasur Hasanov"/>
    <s v="Erkak"/>
    <d v="1996-02-01T00:00:00"/>
    <d v="2025-07-31T00:00:00"/>
    <x v="6"/>
    <s v="Mijozlar bilan ishlash mutaxassisi"/>
    <s v="Senior"/>
    <s v="Andijon"/>
    <n v="11580000"/>
    <n v="3"/>
    <x v="0"/>
    <n v="25"/>
    <x v="1"/>
    <s v="O'rta maxsus"/>
    <x v="0"/>
    <m/>
    <x v="0"/>
    <n v="30"/>
    <n v="1.1663244353182751"/>
    <s v="Shahlo Ismoilova"/>
    <n v="0"/>
    <x v="1"/>
  </r>
  <r>
    <s v="EMP-0641"/>
    <s v="Feruza Abdullayeva"/>
    <s v="Ayol"/>
    <d v="1997-01-27T00:00:00"/>
    <d v="2024-08-21T00:00:00"/>
    <x v="1"/>
    <s v="SMM mutaxassisi"/>
    <s v="Senior"/>
    <s v="Toshkent"/>
    <n v="11520000"/>
    <n v="3"/>
    <x v="2"/>
    <n v="16"/>
    <x v="0"/>
    <s v="O'rta maxsus"/>
    <x v="0"/>
    <m/>
    <x v="0"/>
    <n v="29"/>
    <n v="2.108145106091718"/>
    <s v="Dilnoza Rahimova"/>
    <n v="0"/>
    <x v="1"/>
  </r>
  <r>
    <s v="EMP-0720"/>
    <s v="Madina Ismoilova"/>
    <s v="Ayol"/>
    <d v="1985-04-18T00:00:00"/>
    <d v="2025-12-23T00:00:00"/>
    <x v="6"/>
    <s v="Call-markaz operatori"/>
    <s v="Senior"/>
    <s v="Toshkent"/>
    <n v="11490000"/>
    <n v="3"/>
    <x v="0"/>
    <n v="24"/>
    <x v="0"/>
    <s v="Bakalavr"/>
    <x v="1"/>
    <d v="2026-06-08T00:00:00"/>
    <x v="2"/>
    <n v="41"/>
    <n v="0.45722108145106094"/>
    <s v="Shahlo Ismoilova"/>
    <n v="1"/>
    <x v="2"/>
  </r>
  <r>
    <s v="EMP-0312"/>
    <s v="Rustam Karimov"/>
    <s v="Erkak"/>
    <d v="2002-04-10T00:00:00"/>
    <d v="2026-06-02T00:00:00"/>
    <x v="2"/>
    <s v="Hudud menejeri"/>
    <s v="Senior"/>
    <s v="Samarqand"/>
    <n v="11400000"/>
    <n v="4"/>
    <x v="0"/>
    <n v="10"/>
    <x v="0"/>
    <s v="Magistr"/>
    <x v="0"/>
    <m/>
    <x v="0"/>
    <n v="24"/>
    <n v="0.32854209445585214"/>
    <s v="Aziz Karimov"/>
    <n v="0"/>
    <x v="2"/>
  </r>
  <r>
    <s v="EMP-0726"/>
    <s v="Nigora Karimova"/>
    <s v="Ayol"/>
    <d v="1993-02-05T00:00:00"/>
    <d v="2024-02-26T00:00:00"/>
    <x v="0"/>
    <s v="Dasturchi"/>
    <s v="Middle"/>
    <s v="Toshkent"/>
    <n v="11320000"/>
    <n v="4"/>
    <x v="1"/>
    <n v="14"/>
    <x v="0"/>
    <s v="O'rta maxsus"/>
    <x v="1"/>
    <d v="2025-06-10T00:00:00"/>
    <x v="4"/>
    <n v="33"/>
    <n v="1.2867898699520877"/>
    <s v="Jasur Yusupov"/>
    <n v="1"/>
    <x v="1"/>
  </r>
  <r>
    <s v="EMP-0776"/>
    <s v="Nodira Hasanova"/>
    <s v="Ayol"/>
    <d v="1995-08-10T00:00:00"/>
    <d v="2018-12-27T00:00:00"/>
    <x v="1"/>
    <s v="Kontent menejer"/>
    <s v="Senior"/>
    <s v="Qarshi"/>
    <n v="11320000"/>
    <n v="3"/>
    <x v="3"/>
    <n v="8"/>
    <x v="0"/>
    <s v="Bakalavr"/>
    <x v="0"/>
    <m/>
    <x v="0"/>
    <n v="31"/>
    <n v="7.7590691307323754"/>
    <s v="Dilnoza Rahimova"/>
    <n v="0"/>
    <x v="0"/>
  </r>
  <r>
    <s v="EMP-0691"/>
    <s v="Islom Normatov"/>
    <s v="Erkak"/>
    <d v="1999-01-27T00:00:00"/>
    <d v="2021-04-11T00:00:00"/>
    <x v="1"/>
    <s v="SMM mutaxassisi"/>
    <s v="Senior"/>
    <s v="Toshkent"/>
    <n v="11300000"/>
    <n v="3"/>
    <x v="3"/>
    <n v="13"/>
    <x v="0"/>
    <s v="Magistr"/>
    <x v="0"/>
    <m/>
    <x v="0"/>
    <n v="27"/>
    <n v="5.4702258726899382"/>
    <s v="Dilnoza Rahimova"/>
    <n v="0"/>
    <x v="0"/>
  </r>
  <r>
    <s v="EMP-0159"/>
    <s v="Rustam Normatov"/>
    <s v="Erkak"/>
    <d v="2002-02-12T00:00:00"/>
    <d v="2026-06-29T00:00:00"/>
    <x v="6"/>
    <s v="Call-markaz operatori"/>
    <s v="Senior"/>
    <s v="Toshkent"/>
    <n v="11270000"/>
    <n v="3"/>
    <x v="0"/>
    <n v="22"/>
    <x v="0"/>
    <s v="Bakalavr"/>
    <x v="0"/>
    <m/>
    <x v="0"/>
    <n v="24"/>
    <n v="0.25462012320328542"/>
    <s v="Shahlo Ismoilova"/>
    <n v="0"/>
    <x v="2"/>
  </r>
  <r>
    <s v="EMP-0410"/>
    <s v="Feruza Normatova"/>
    <s v="Ayol"/>
    <d v="1993-12-18T00:00:00"/>
    <d v="2024-08-28T00:00:00"/>
    <x v="6"/>
    <s v="Mijozlar bilan ishlash mutaxassisi"/>
    <s v="Senior"/>
    <s v="Toshkent"/>
    <n v="11210000"/>
    <n v="4"/>
    <x v="3"/>
    <n v="26"/>
    <x v="2"/>
    <s v="Magistr"/>
    <x v="0"/>
    <m/>
    <x v="0"/>
    <n v="32"/>
    <n v="2.0889801505817931"/>
    <s v="Shahlo Ismoilova"/>
    <n v="0"/>
    <x v="1"/>
  </r>
  <r>
    <s v="EMP-0467"/>
    <s v="Timur Umarov"/>
    <s v="Erkak"/>
    <d v="1997-01-10T00:00:00"/>
    <d v="2018-09-08T00:00:00"/>
    <x v="6"/>
    <s v="Mijozlar bilan ishlash mutaxassisi"/>
    <s v="Senior"/>
    <s v="Toshkent"/>
    <n v="11200000"/>
    <n v="4"/>
    <x v="1"/>
    <n v="2"/>
    <x v="1"/>
    <s v="Bakalavr"/>
    <x v="0"/>
    <m/>
    <x v="0"/>
    <n v="29"/>
    <n v="8.0602327173169055"/>
    <s v="Shahlo Ismoilova"/>
    <n v="0"/>
    <x v="0"/>
  </r>
  <r>
    <s v="EMP-0143"/>
    <s v="Ulugbek Hasanov"/>
    <s v="Erkak"/>
    <d v="1990-03-22T00:00:00"/>
    <d v="2025-07-02T00:00:00"/>
    <x v="5"/>
    <s v="Haydovchi-ekspeditor"/>
    <s v="Senior"/>
    <s v="Toshkent"/>
    <n v="11190000"/>
    <n v="3"/>
    <x v="0"/>
    <n v="0"/>
    <x v="0"/>
    <s v="Bakalavr"/>
    <x v="0"/>
    <m/>
    <x v="0"/>
    <n v="36"/>
    <n v="1.2457221081451062"/>
    <s v="Sardor Nazarov"/>
    <n v="0"/>
    <x v="1"/>
  </r>
  <r>
    <s v="EMP-0781"/>
    <s v="Islom Ismoilov"/>
    <s v="Erkak"/>
    <d v="1988-07-20T00:00:00"/>
    <d v="2021-07-21T00:00:00"/>
    <x v="6"/>
    <s v="Mijozlar bilan ishlash mutaxassisi"/>
    <s v="Senior"/>
    <s v="Toshkent"/>
    <n v="11190000"/>
    <n v="2"/>
    <x v="3"/>
    <n v="22"/>
    <x v="1"/>
    <s v="Bakalavr"/>
    <x v="0"/>
    <m/>
    <x v="0"/>
    <n v="38"/>
    <n v="5.1937029431895958"/>
    <s v="Shahlo Ismoilova"/>
    <n v="0"/>
    <x v="0"/>
  </r>
  <r>
    <s v="EMP-0623"/>
    <s v="Akmal Ergashev"/>
    <s v="Erkak"/>
    <d v="1991-10-13T00:00:00"/>
    <d v="2021-07-31T00:00:00"/>
    <x v="5"/>
    <s v="Ombor mudiri"/>
    <s v="Senior"/>
    <s v="Buxoro"/>
    <n v="11180000"/>
    <n v="5"/>
    <x v="0"/>
    <n v="25"/>
    <x v="1"/>
    <s v="Bakalavr"/>
    <x v="0"/>
    <m/>
    <x v="0"/>
    <n v="34"/>
    <n v="5.1663244353182751"/>
    <s v="Sardor Nazarov"/>
    <n v="0"/>
    <x v="0"/>
  </r>
  <r>
    <s v="EMP-0237"/>
    <s v="Rustam Normatov"/>
    <s v="Erkak"/>
    <d v="1997-10-01T00:00:00"/>
    <d v="2020-09-07T00:00:00"/>
    <x v="6"/>
    <s v="Call-markaz operatori"/>
    <s v="Senior"/>
    <s v="Farg'ona"/>
    <n v="11160000"/>
    <n v="4"/>
    <x v="0"/>
    <n v="21"/>
    <x v="0"/>
    <s v="O'rta maxsus"/>
    <x v="0"/>
    <m/>
    <x v="0"/>
    <n v="28"/>
    <n v="6.061601642710472"/>
    <s v="Shahlo Ismoilova"/>
    <n v="0"/>
    <x v="0"/>
  </r>
  <r>
    <s v="EMP-0583"/>
    <s v="Shahlo Yusupova"/>
    <s v="Ayol"/>
    <d v="1997-12-01T00:00:00"/>
    <d v="2023-07-18T00:00:00"/>
    <x v="0"/>
    <s v="Tizim administratori"/>
    <s v="Middle"/>
    <s v="Qarshi"/>
    <n v="11150000"/>
    <n v="2"/>
    <x v="1"/>
    <n v="21"/>
    <x v="2"/>
    <s v="Magistr"/>
    <x v="1"/>
    <d v="2026-04-04T00:00:00"/>
    <x v="4"/>
    <n v="28"/>
    <n v="2.7132101300479126"/>
    <s v="Jasur Yusupov"/>
    <n v="1"/>
    <x v="1"/>
  </r>
  <r>
    <s v="EMP-0314"/>
    <s v="Feruza Karimova"/>
    <s v="Ayol"/>
    <d v="1987-04-20T00:00:00"/>
    <d v="2023-02-18T00:00:00"/>
    <x v="5"/>
    <s v="Haydovchi-ekspeditor"/>
    <s v="Senior"/>
    <s v="Namangan"/>
    <n v="11090000"/>
    <n v="4"/>
    <x v="1"/>
    <n v="19"/>
    <x v="2"/>
    <s v="Magistr"/>
    <x v="0"/>
    <m/>
    <x v="0"/>
    <n v="39"/>
    <n v="3.6139630390143735"/>
    <s v="Sardor Nazarov"/>
    <n v="0"/>
    <x v="0"/>
  </r>
  <r>
    <s v="EMP-0525"/>
    <s v="Aziz Karimov"/>
    <s v="Erkak"/>
    <d v="1989-03-05T00:00:00"/>
    <d v="2024-06-23T00:00:00"/>
    <x v="0"/>
    <s v="Tizim administratori"/>
    <s v="Middle"/>
    <s v="Toshkent"/>
    <n v="11040000"/>
    <n v="2"/>
    <x v="0"/>
    <n v="17"/>
    <x v="1"/>
    <s v="O'rta maxsus"/>
    <x v="0"/>
    <m/>
    <x v="0"/>
    <n v="37"/>
    <n v="2.2696783025325118"/>
    <s v="Jasur Yusupov"/>
    <n v="0"/>
    <x v="1"/>
  </r>
  <r>
    <s v="EMP-0118"/>
    <s v="Kamola Karimova"/>
    <s v="Ayol"/>
    <d v="1988-01-02T00:00:00"/>
    <d v="2023-10-14T00:00:00"/>
    <x v="6"/>
    <s v="Mijozlar bilan ishlash mutaxassisi"/>
    <s v="Senior"/>
    <s v="Toshkent"/>
    <n v="11020000"/>
    <n v="4"/>
    <x v="4"/>
    <n v="1"/>
    <x v="0"/>
    <s v="Magistr"/>
    <x v="0"/>
    <m/>
    <x v="0"/>
    <n v="38"/>
    <n v="2.9623545516769334"/>
    <s v="Shahlo Ismoilova"/>
    <n v="0"/>
    <x v="1"/>
  </r>
  <r>
    <s v="EMP-0024"/>
    <s v="Shahlo Sobirova"/>
    <s v="Ayol"/>
    <d v="1985-03-13T00:00:00"/>
    <d v="2015-11-29T00:00:00"/>
    <x v="6"/>
    <s v="Call-markaz operatori"/>
    <s v="Senior"/>
    <s v="Namangan"/>
    <n v="11000000"/>
    <n v="5"/>
    <x v="3"/>
    <n v="1"/>
    <x v="0"/>
    <s v="Bakalavr"/>
    <x v="0"/>
    <m/>
    <x v="0"/>
    <n v="41"/>
    <n v="10.836413415468858"/>
    <s v="Shahlo Ismoilova"/>
    <n v="0"/>
    <x v="0"/>
  </r>
  <r>
    <s v="EMP-0464"/>
    <s v="Behruz Sobirov"/>
    <s v="Erkak"/>
    <d v="1998-07-01T00:00:00"/>
    <d v="2026-01-10T00:00:00"/>
    <x v="6"/>
    <s v="Call-markaz operatori"/>
    <s v="Senior"/>
    <s v="Toshkent"/>
    <n v="10960000"/>
    <n v="4"/>
    <x v="3"/>
    <n v="19"/>
    <x v="2"/>
    <s v="O'rta maxsus"/>
    <x v="0"/>
    <m/>
    <x v="0"/>
    <n v="28"/>
    <n v="0.72005475701574262"/>
    <s v="Shahlo Ismoilova"/>
    <n v="0"/>
    <x v="2"/>
  </r>
  <r>
    <s v="EMP-0437"/>
    <s v="Islom Karimov"/>
    <s v="Erkak"/>
    <d v="1986-09-12T00:00:00"/>
    <d v="2026-07-23T00:00:00"/>
    <x v="1"/>
    <s v="Marketolog"/>
    <s v="Senior"/>
    <s v="Namangan"/>
    <n v="10930000"/>
    <n v="3"/>
    <x v="3"/>
    <n v="24"/>
    <x v="0"/>
    <s v="O'rta maxsus"/>
    <x v="0"/>
    <m/>
    <x v="0"/>
    <n v="40"/>
    <n v="0.18891170431211499"/>
    <s v="Dilnoza Rahimova"/>
    <n v="0"/>
    <x v="2"/>
  </r>
  <r>
    <s v="EMP-0048"/>
    <s v="Aziza Qodirova"/>
    <s v="Ayol"/>
    <d v="1988-01-26T00:00:00"/>
    <d v="2024-12-28T00:00:00"/>
    <x v="6"/>
    <s v="Mijozlar bilan ishlash mutaxassisi"/>
    <s v="Senior"/>
    <s v="Samarqand"/>
    <n v="10910000"/>
    <n v="3"/>
    <x v="3"/>
    <n v="25"/>
    <x v="2"/>
    <s v="Bakalavr"/>
    <x v="0"/>
    <m/>
    <x v="0"/>
    <n v="38"/>
    <n v="1.754962354551677"/>
    <s v="Shahlo Ismoilova"/>
    <n v="0"/>
    <x v="1"/>
  </r>
  <r>
    <s v="EMP-0254"/>
    <s v="Jahongir Yusupov"/>
    <s v="Erkak"/>
    <d v="1995-04-01T00:00:00"/>
    <d v="2026-06-16T00:00:00"/>
    <x v="2"/>
    <s v="Sotuv menejeri"/>
    <s v="Senior"/>
    <s v="Namangan"/>
    <n v="10890000"/>
    <n v="3"/>
    <x v="3"/>
    <n v="32"/>
    <x v="0"/>
    <s v="Bakalavr"/>
    <x v="0"/>
    <m/>
    <x v="0"/>
    <n v="31"/>
    <n v="0.29021218343600275"/>
    <s v="Aziz Karimov"/>
    <n v="0"/>
    <x v="2"/>
  </r>
  <r>
    <s v="EMP-0296"/>
    <s v="Bobur Tursunov"/>
    <s v="Erkak"/>
    <d v="2003-06-22T00:00:00"/>
    <d v="2023-10-28T00:00:00"/>
    <x v="6"/>
    <s v="Mijozlar bilan ishlash mutaxassisi"/>
    <s v="Senior"/>
    <s v="Namangan"/>
    <n v="10860000"/>
    <n v="4"/>
    <x v="3"/>
    <n v="7"/>
    <x v="0"/>
    <s v="O'rta maxsus"/>
    <x v="0"/>
    <m/>
    <x v="0"/>
    <n v="23"/>
    <n v="2.924024640657084"/>
    <s v="Shahlo Ismoilova"/>
    <n v="0"/>
    <x v="1"/>
  </r>
  <r>
    <s v="EMP-0547"/>
    <s v="Shaxzod Saidov"/>
    <s v="Erkak"/>
    <d v="1988-05-25T00:00:00"/>
    <d v="2022-09-22T00:00:00"/>
    <x v="6"/>
    <s v="Mijozlar bilan ishlash mutaxassisi"/>
    <s v="Senior"/>
    <s v="Toshkent"/>
    <n v="10860000"/>
    <n v="4"/>
    <x v="3"/>
    <n v="27"/>
    <x v="2"/>
    <s v="Bakalavr"/>
    <x v="0"/>
    <m/>
    <x v="0"/>
    <n v="38"/>
    <n v="4.0219028062970565"/>
    <s v="Shahlo Ismoilova"/>
    <n v="0"/>
    <x v="0"/>
  </r>
  <r>
    <s v="EMP-0252"/>
    <s v="Islom Ergashev"/>
    <s v="Erkak"/>
    <d v="1983-03-13T00:00:00"/>
    <d v="2025-06-21T00:00:00"/>
    <x v="0"/>
    <s v="QA muhandisi"/>
    <s v="Middle"/>
    <s v="Andijon"/>
    <n v="10850000"/>
    <n v="4"/>
    <x v="0"/>
    <n v="13"/>
    <x v="1"/>
    <s v="Bakalavr"/>
    <x v="0"/>
    <m/>
    <x v="0"/>
    <n v="43"/>
    <n v="1.2758384668035592"/>
    <s v="Jasur Yusupov"/>
    <n v="0"/>
    <x v="1"/>
  </r>
  <r>
    <s v="EMP-0028"/>
    <s v="Jahongir Rahimov"/>
    <s v="Erkak"/>
    <d v="1990-06-04T00:00:00"/>
    <d v="2023-10-27T00:00:00"/>
    <x v="0"/>
    <s v="Tizim administratori"/>
    <s v="Middle"/>
    <s v="Andijon"/>
    <n v="10770000"/>
    <n v="4"/>
    <x v="3"/>
    <n v="13"/>
    <x v="0"/>
    <s v="Bakalavr"/>
    <x v="0"/>
    <m/>
    <x v="0"/>
    <n v="36"/>
    <n v="2.9267624914442161"/>
    <s v="Jasur Yusupov"/>
    <n v="0"/>
    <x v="1"/>
  </r>
  <r>
    <s v="EMP-0295"/>
    <s v="Rustam Hasanov"/>
    <s v="Erkak"/>
    <d v="2003-05-02T00:00:00"/>
    <d v="2024-12-25T00:00:00"/>
    <x v="6"/>
    <s v="Call-markaz operatori"/>
    <s v="Senior"/>
    <s v="Namangan"/>
    <n v="10730000"/>
    <n v="1"/>
    <x v="3"/>
    <n v="13"/>
    <x v="0"/>
    <s v="O'rta maxsus"/>
    <x v="1"/>
    <d v="2025-09-18T00:00:00"/>
    <x v="2"/>
    <n v="23"/>
    <n v="0.731006160164271"/>
    <s v="Shahlo Ismoilova"/>
    <n v="1"/>
    <x v="2"/>
  </r>
  <r>
    <s v="EMP-0379"/>
    <s v="Otabek Karimov"/>
    <s v="Erkak"/>
    <d v="2001-10-22T00:00:00"/>
    <d v="2024-08-24T00:00:00"/>
    <x v="6"/>
    <s v="Mijozlar bilan ishlash mutaxassisi"/>
    <s v="Senior"/>
    <s v="Toshkent"/>
    <n v="10710000"/>
    <n v="3"/>
    <x v="3"/>
    <n v="17"/>
    <x v="1"/>
    <s v="O'rta maxsus"/>
    <x v="0"/>
    <m/>
    <x v="0"/>
    <n v="24"/>
    <n v="2.0999315537303218"/>
    <s v="Shahlo Ismoilova"/>
    <n v="0"/>
    <x v="1"/>
  </r>
  <r>
    <s v="EMP-0501"/>
    <s v="Otabek Abdullayev"/>
    <s v="Erkak"/>
    <d v="1988-12-25T00:00:00"/>
    <d v="2026-08-29T00:00:00"/>
    <x v="5"/>
    <s v="Ombor mudiri"/>
    <s v="Senior"/>
    <s v="Buxoro"/>
    <n v="10640000"/>
    <n v="3"/>
    <x v="2"/>
    <n v="12"/>
    <x v="2"/>
    <s v="Bakalavr"/>
    <x v="0"/>
    <m/>
    <x v="0"/>
    <n v="37"/>
    <n v="8.761122518822724E-2"/>
    <s v="Sardor Nazarov"/>
    <n v="0"/>
    <x v="2"/>
  </r>
  <r>
    <s v="EMP-0336"/>
    <s v="Kamola Umarova"/>
    <s v="Ayol"/>
    <d v="1990-08-23T00:00:00"/>
    <d v="2018-02-01T00:00:00"/>
    <x v="5"/>
    <s v="Logist"/>
    <s v="Senior"/>
    <s v="Toshkent"/>
    <n v="10630000"/>
    <n v="4"/>
    <x v="4"/>
    <n v="6"/>
    <x v="0"/>
    <s v="O'rta maxsus"/>
    <x v="0"/>
    <m/>
    <x v="0"/>
    <n v="36"/>
    <n v="8.6598220396988363"/>
    <s v="Sardor Nazarov"/>
    <n v="0"/>
    <x v="0"/>
  </r>
  <r>
    <s v="EMP-0165"/>
    <s v="Nodira Rahimova"/>
    <s v="Ayol"/>
    <d v="1989-09-25T00:00:00"/>
    <d v="2021-12-18T00:00:00"/>
    <x v="6"/>
    <s v="Mijozlar bilan ishlash mutaxassisi"/>
    <s v="Senior"/>
    <s v="Toshkent"/>
    <n v="10590000"/>
    <n v="4"/>
    <x v="0"/>
    <n v="22"/>
    <x v="1"/>
    <s v="Bakalavr"/>
    <x v="0"/>
    <m/>
    <x v="0"/>
    <n v="37"/>
    <n v="4.7830253251197812"/>
    <s v="Shahlo Ismoilova"/>
    <n v="0"/>
    <x v="0"/>
  </r>
  <r>
    <s v="EMP-0286"/>
    <s v="Aziza Umarova"/>
    <s v="Ayol"/>
    <d v="1985-01-05T00:00:00"/>
    <d v="2026-01-01T00:00:00"/>
    <x v="0"/>
    <s v="Dasturchi"/>
    <s v="Middle"/>
    <s v="Toshkent"/>
    <n v="10570000"/>
    <n v="3"/>
    <x v="2"/>
    <n v="11"/>
    <x v="0"/>
    <s v="Bakalavr"/>
    <x v="0"/>
    <m/>
    <x v="0"/>
    <n v="41"/>
    <n v="0.74469541409993156"/>
    <s v="Jasur Yusupov"/>
    <n v="0"/>
    <x v="2"/>
  </r>
  <r>
    <s v="EMP-0576"/>
    <s v="Kamola Sobirova"/>
    <s v="Ayol"/>
    <d v="2000-01-28T00:00:00"/>
    <d v="2021-01-19T00:00:00"/>
    <x v="5"/>
    <s v="Logist"/>
    <s v="Senior"/>
    <s v="Toshkent"/>
    <n v="10560000"/>
    <n v="4"/>
    <x v="3"/>
    <n v="10"/>
    <x v="2"/>
    <s v="Bakalavr"/>
    <x v="0"/>
    <m/>
    <x v="0"/>
    <n v="26"/>
    <n v="5.6947296372347704"/>
    <s v="Sardor Nazarov"/>
    <n v="0"/>
    <x v="0"/>
  </r>
  <r>
    <s v="EMP-0521"/>
    <s v="Malika Hasanova"/>
    <s v="Ayol"/>
    <d v="1994-03-17T00:00:00"/>
    <d v="2020-04-25T00:00:00"/>
    <x v="5"/>
    <s v="Ombor mudiri"/>
    <s v="Senior"/>
    <s v="Toshkent"/>
    <n v="10540000"/>
    <n v="3"/>
    <x v="0"/>
    <n v="12"/>
    <x v="0"/>
    <s v="O'rta maxsus"/>
    <x v="0"/>
    <m/>
    <x v="0"/>
    <n v="32"/>
    <n v="6.4312114989733056"/>
    <s v="Sardor Nazarov"/>
    <n v="0"/>
    <x v="0"/>
  </r>
  <r>
    <s v="EMP-0178"/>
    <s v="Aziza Ergasheva"/>
    <s v="Ayol"/>
    <d v="1999-10-08T00:00:00"/>
    <d v="2024-06-20T00:00:00"/>
    <x v="6"/>
    <s v="Call-markaz operatori"/>
    <s v="Senior"/>
    <s v="Buxoro"/>
    <n v="10510000"/>
    <n v="3"/>
    <x v="0"/>
    <n v="25"/>
    <x v="2"/>
    <s v="O'rta maxsus"/>
    <x v="0"/>
    <m/>
    <x v="0"/>
    <n v="26"/>
    <n v="2.2778918548939084"/>
    <s v="Shahlo Ismoilova"/>
    <n v="0"/>
    <x v="1"/>
  </r>
  <r>
    <s v="EMP-0391"/>
    <s v="Kamola Abdullayeva"/>
    <s v="Ayol"/>
    <d v="1998-03-05T00:00:00"/>
    <d v="2025-09-14T00:00:00"/>
    <x v="6"/>
    <s v="Mijozlar bilan ishlash mutaxassisi"/>
    <s v="Senior"/>
    <s v="Samarqand"/>
    <n v="10460000"/>
    <n v="4"/>
    <x v="1"/>
    <n v="27"/>
    <x v="0"/>
    <s v="O'rta maxsus"/>
    <x v="0"/>
    <m/>
    <x v="0"/>
    <n v="28"/>
    <n v="1.0431211498973305"/>
    <s v="Shahlo Ismoilova"/>
    <n v="0"/>
    <x v="1"/>
  </r>
  <r>
    <s v="EMP-0402"/>
    <s v="Malika Saidova"/>
    <s v="Ayol"/>
    <d v="1994-01-12T00:00:00"/>
    <d v="2022-03-25T00:00:00"/>
    <x v="0"/>
    <s v="Dasturchi"/>
    <s v="Middle"/>
    <s v="Samarqand"/>
    <n v="10460000"/>
    <n v="4"/>
    <x v="3"/>
    <n v="0"/>
    <x v="1"/>
    <s v="O'rta maxsus"/>
    <x v="1"/>
    <d v="2026-05-17T00:00:00"/>
    <x v="4"/>
    <n v="32"/>
    <n v="4.1451060917180014"/>
    <s v="Jasur Yusupov"/>
    <n v="1"/>
    <x v="0"/>
  </r>
  <r>
    <s v="EMP-0343"/>
    <s v="Dilshod Yusupov"/>
    <s v="Erkak"/>
    <d v="1981-09-07T00:00:00"/>
    <d v="2018-08-22T00:00:00"/>
    <x v="0"/>
    <s v="Dasturchi"/>
    <s v="Middle"/>
    <s v="Toshkent"/>
    <n v="10400000"/>
    <n v="5"/>
    <x v="0"/>
    <n v="23"/>
    <x v="1"/>
    <s v="O'rta maxsus"/>
    <x v="0"/>
    <m/>
    <x v="0"/>
    <n v="45"/>
    <n v="8.1067761806981515"/>
    <s v="Jasur Yusupov"/>
    <n v="0"/>
    <x v="0"/>
  </r>
  <r>
    <s v="EMP-0010"/>
    <s v="Feruza Sobirova"/>
    <s v="Ayol"/>
    <d v="1997-04-17T00:00:00"/>
    <d v="2018-05-09T00:00:00"/>
    <x v="0"/>
    <s v="QA muhandisi"/>
    <s v="Middle"/>
    <s v="Toshkent"/>
    <n v="10290000"/>
    <n v="5"/>
    <x v="2"/>
    <n v="0"/>
    <x v="2"/>
    <s v="O'rta maxsus"/>
    <x v="0"/>
    <m/>
    <x v="0"/>
    <n v="29"/>
    <n v="8.3942505133470231"/>
    <s v="Jasur Yusupov"/>
    <n v="0"/>
    <x v="0"/>
  </r>
  <r>
    <s v="EMP-0788"/>
    <s v="Islom Nazarov"/>
    <s v="Erkak"/>
    <d v="1986-01-01T00:00:00"/>
    <d v="2026-06-21T00:00:00"/>
    <x v="0"/>
    <s v="Tizim administratori"/>
    <s v="Middle"/>
    <s v="Toshkent"/>
    <n v="10260000"/>
    <n v="3"/>
    <x v="2"/>
    <n v="9"/>
    <x v="2"/>
    <s v="O'rta maxsus"/>
    <x v="1"/>
    <d v="2026-08-25T00:00:00"/>
    <x v="5"/>
    <n v="40"/>
    <n v="0.17796030116358658"/>
    <s v="Jasur Yusupov"/>
    <n v="1"/>
    <x v="2"/>
  </r>
  <r>
    <s v="EMP-0217"/>
    <s v="Jasur Saidov"/>
    <s v="Erkak"/>
    <d v="1992-04-10T00:00:00"/>
    <d v="2022-12-22T00:00:00"/>
    <x v="5"/>
    <s v="Ombor mudiri"/>
    <s v="Senior"/>
    <s v="Samarqand"/>
    <n v="10240000"/>
    <n v="4"/>
    <x v="0"/>
    <n v="11"/>
    <x v="2"/>
    <s v="O'rta maxsus"/>
    <x v="0"/>
    <m/>
    <x v="0"/>
    <n v="34"/>
    <n v="3.7727583846680357"/>
    <s v="Sardor Nazarov"/>
    <n v="0"/>
    <x v="0"/>
  </r>
  <r>
    <s v="EMP-0168"/>
    <s v="Behruz Normatov"/>
    <s v="Erkak"/>
    <d v="1995-08-07T00:00:00"/>
    <d v="2021-11-14T00:00:00"/>
    <x v="5"/>
    <s v="Ombor mudiri"/>
    <s v="Senior"/>
    <s v="Toshkent"/>
    <n v="10150000"/>
    <n v="4"/>
    <x v="4"/>
    <n v="11"/>
    <x v="2"/>
    <s v="O'rta maxsus"/>
    <x v="1"/>
    <d v="2026-02-16T00:00:00"/>
    <x v="4"/>
    <n v="31"/>
    <n v="4.2573579739904179"/>
    <s v="Sardor Nazarov"/>
    <n v="1"/>
    <x v="0"/>
  </r>
  <r>
    <s v="EMP-0380"/>
    <s v="Nodira Qodirova"/>
    <s v="Ayol"/>
    <d v="2006-01-14T00:00:00"/>
    <d v="2026-08-29T00:00:00"/>
    <x v="0"/>
    <s v="Dasturchi"/>
    <s v="Middle"/>
    <s v="Toshkent"/>
    <n v="10140000"/>
    <n v="4"/>
    <x v="0"/>
    <n v="24"/>
    <x v="1"/>
    <s v="Bakalavr"/>
    <x v="0"/>
    <m/>
    <x v="0"/>
    <n v="20"/>
    <n v="8.761122518822724E-2"/>
    <s v="Jasur Yusupov"/>
    <n v="0"/>
    <x v="2"/>
  </r>
  <r>
    <s v="EMP-0612"/>
    <s v="Zilola Rahimova"/>
    <s v="Ayol"/>
    <d v="1996-07-25T00:00:00"/>
    <d v="2022-04-18T00:00:00"/>
    <x v="2"/>
    <s v="Sotuv menejeri"/>
    <s v="Senior"/>
    <s v="Toshkent"/>
    <n v="10140000"/>
    <n v="3"/>
    <x v="2"/>
    <n v="21"/>
    <x v="0"/>
    <s v="Bakalavr"/>
    <x v="0"/>
    <m/>
    <x v="0"/>
    <n v="30"/>
    <n v="4.4517453798767965"/>
    <s v="Aziz Karimov"/>
    <n v="0"/>
    <x v="0"/>
  </r>
  <r>
    <s v="EMP-0527"/>
    <s v="Sevara Nazarova"/>
    <s v="Ayol"/>
    <d v="1991-07-12T00:00:00"/>
    <d v="2022-01-02T00:00:00"/>
    <x v="6"/>
    <s v="Call-markaz operatori"/>
    <s v="Senior"/>
    <s v="Farg'ona"/>
    <n v="10120000"/>
    <n v="3"/>
    <x v="0"/>
    <n v="36"/>
    <x v="0"/>
    <s v="Magistr"/>
    <x v="1"/>
    <d v="2025-09-27T00:00:00"/>
    <x v="6"/>
    <n v="35"/>
    <n v="3.7344284736481863"/>
    <s v="Shahlo Ismoilova"/>
    <n v="1"/>
    <x v="0"/>
  </r>
  <r>
    <s v="EMP-0326"/>
    <s v="Akmal Hasanov"/>
    <s v="Erkak"/>
    <d v="1985-11-14T00:00:00"/>
    <d v="2024-07-10T00:00:00"/>
    <x v="6"/>
    <s v="Mijozlar bilan ishlash mutaxassisi"/>
    <s v="Senior"/>
    <s v="Toshkent"/>
    <n v="10100000"/>
    <n v="4"/>
    <x v="1"/>
    <n v="2"/>
    <x v="0"/>
    <s v="Bakalavr"/>
    <x v="1"/>
    <d v="2025-08-15T00:00:00"/>
    <x v="4"/>
    <n v="40"/>
    <n v="1.0978781656399725"/>
    <s v="Shahlo Ismoilova"/>
    <n v="1"/>
    <x v="1"/>
  </r>
  <r>
    <s v="EMP-0446"/>
    <s v="Feruza Saidova"/>
    <s v="Ayol"/>
    <d v="1996-01-17T00:00:00"/>
    <d v="2026-04-03T00:00:00"/>
    <x v="0"/>
    <s v="Dasturchi"/>
    <s v="Middle"/>
    <s v="Samarqand"/>
    <n v="10090000"/>
    <n v="1"/>
    <x v="3"/>
    <n v="2"/>
    <x v="0"/>
    <s v="Bakalavr"/>
    <x v="0"/>
    <m/>
    <x v="0"/>
    <n v="30"/>
    <n v="0.49281314168377821"/>
    <s v="Jasur Yusupov"/>
    <n v="0"/>
    <x v="2"/>
  </r>
  <r>
    <s v="EMP-0125"/>
    <s v="Shaxzod Mirzayev"/>
    <s v="Erkak"/>
    <d v="1997-06-11T00:00:00"/>
    <d v="2020-12-27T00:00:00"/>
    <x v="6"/>
    <s v="Call-markaz operatori"/>
    <s v="Senior"/>
    <s v="Toshkent"/>
    <n v="10050000"/>
    <n v="5"/>
    <x v="4"/>
    <n v="17"/>
    <x v="0"/>
    <s v="Bakalavr"/>
    <x v="0"/>
    <m/>
    <x v="0"/>
    <n v="29"/>
    <n v="5.7577002053388089"/>
    <s v="Shahlo Ismoilova"/>
    <n v="0"/>
    <x v="0"/>
  </r>
  <r>
    <s v="EMP-0429"/>
    <s v="Bobur Normatov"/>
    <s v="Erkak"/>
    <d v="2005-07-17T00:00:00"/>
    <d v="2026-03-06T00:00:00"/>
    <x v="6"/>
    <s v="Mijozlar bilan ishlash mutaxassisi"/>
    <s v="Senior"/>
    <s v="Andijon"/>
    <n v="10030000"/>
    <n v="4"/>
    <x v="0"/>
    <n v="31"/>
    <x v="2"/>
    <s v="Bakalavr"/>
    <x v="0"/>
    <m/>
    <x v="0"/>
    <n v="21"/>
    <n v="0.56947296372347711"/>
    <s v="Shahlo Ismoilova"/>
    <n v="0"/>
    <x v="2"/>
  </r>
  <r>
    <s v="EMP-0443"/>
    <s v="Behruz Hasanov"/>
    <s v="Erkak"/>
    <d v="2002-10-21T00:00:00"/>
    <d v="2024-10-01T00:00:00"/>
    <x v="0"/>
    <s v="Dasturchi"/>
    <s v="Middle"/>
    <s v="Samarqand"/>
    <n v="10020000"/>
    <n v="4"/>
    <x v="4"/>
    <n v="17"/>
    <x v="0"/>
    <s v="Bakalavr"/>
    <x v="0"/>
    <m/>
    <x v="0"/>
    <n v="23"/>
    <n v="1.9958932238193019"/>
    <s v="Jasur Yusupov"/>
    <n v="0"/>
    <x v="1"/>
  </r>
  <r>
    <s v="EMP-0037"/>
    <s v="Dilshod Nazarov"/>
    <s v="Erkak"/>
    <d v="1999-06-09T00:00:00"/>
    <d v="2025-07-07T00:00:00"/>
    <x v="6"/>
    <s v="Call-markaz operatori"/>
    <s v="Senior"/>
    <s v="Toshkent"/>
    <n v="9980000"/>
    <n v="3"/>
    <x v="3"/>
    <n v="14"/>
    <x v="0"/>
    <s v="Bakalavr"/>
    <x v="0"/>
    <m/>
    <x v="0"/>
    <n v="27"/>
    <n v="1.2320328542094456"/>
    <s v="Shahlo Ismoilova"/>
    <n v="0"/>
    <x v="1"/>
  </r>
  <r>
    <s v="EMP-0300"/>
    <s v="Otabek Yusupov"/>
    <s v="Erkak"/>
    <d v="1996-02-23T00:00:00"/>
    <d v="2023-01-23T00:00:00"/>
    <x v="3"/>
    <s v="Buxgalter"/>
    <s v="Middle"/>
    <s v="Toshkent"/>
    <n v="9860000"/>
    <n v="4"/>
    <x v="0"/>
    <n v="20"/>
    <x v="2"/>
    <s v="O'rta maxsus"/>
    <x v="0"/>
    <m/>
    <x v="0"/>
    <n v="30"/>
    <n v="3.6851471594798082"/>
    <s v="Madina Abdullayeva"/>
    <n v="0"/>
    <x v="0"/>
  </r>
  <r>
    <s v="EMP-0715"/>
    <s v="Shahlo Rahimova"/>
    <s v="Ayol"/>
    <d v="1995-05-04T00:00:00"/>
    <d v="2026-07-24T00:00:00"/>
    <x v="0"/>
    <s v="QA muhandisi"/>
    <s v="Middle"/>
    <s v="Qarshi"/>
    <n v="9860000"/>
    <m/>
    <x v="4"/>
    <n v="11"/>
    <x v="2"/>
    <s v="O'rta maxsus"/>
    <x v="1"/>
    <d v="2026-09-25T00:00:00"/>
    <x v="7"/>
    <n v="31"/>
    <n v="0.17248459958932238"/>
    <s v="Jasur Yusupov"/>
    <n v="1"/>
    <x v="2"/>
  </r>
  <r>
    <s v="EMP-0348"/>
    <s v="Kamola Nazarova"/>
    <s v="Ayol"/>
    <d v="1991-12-15T00:00:00"/>
    <d v="2019-01-29T00:00:00"/>
    <x v="3"/>
    <s v="Buxgalter"/>
    <s v="Middle"/>
    <s v="Samarqand"/>
    <n v="9790000"/>
    <n v="3"/>
    <x v="4"/>
    <n v="20"/>
    <x v="0"/>
    <s v="O'rta maxsus"/>
    <x v="1"/>
    <d v="2026-05-08T00:00:00"/>
    <x v="6"/>
    <n v="34"/>
    <n v="7.2717316906228611"/>
    <s v="Madina Abdullayeva"/>
    <n v="1"/>
    <x v="0"/>
  </r>
  <r>
    <s v="EMP-0712"/>
    <s v="Madina Ergasheva"/>
    <s v="Ayol"/>
    <d v="1995-12-23T00:00:00"/>
    <d v="2019-02-10T00:00:00"/>
    <x v="4"/>
    <s v="Rekruter"/>
    <s v="Senior"/>
    <s v="Toshkent"/>
    <n v="9790000"/>
    <n v="4"/>
    <x v="2"/>
    <n v="6"/>
    <x v="0"/>
    <s v="Magistr"/>
    <x v="0"/>
    <m/>
    <x v="0"/>
    <n v="30"/>
    <n v="7.6358658453114305"/>
    <s v="Nodira Tursunova"/>
    <n v="0"/>
    <x v="0"/>
  </r>
  <r>
    <s v="EMP-0705"/>
    <s v="Sardor Abdullayev"/>
    <s v="Erkak"/>
    <d v="1992-12-20T00:00:00"/>
    <d v="2025-02-03T00:00:00"/>
    <x v="6"/>
    <s v="Mijozlar bilan ishlash mutaxassisi"/>
    <s v="Senior"/>
    <s v="Samarqand"/>
    <n v="9780000"/>
    <n v="4"/>
    <x v="3"/>
    <n v="19"/>
    <x v="0"/>
    <m/>
    <x v="0"/>
    <m/>
    <x v="0"/>
    <n v="33"/>
    <n v="1.6536618754277892"/>
    <s v="Shahlo Ismoilova"/>
    <n v="0"/>
    <x v="1"/>
  </r>
  <r>
    <s v="EMP-0625"/>
    <s v="Zilola Ismoilova"/>
    <s v="Ayol"/>
    <d v="2004-06-22T00:00:00"/>
    <d v="2026-02-06T00:00:00"/>
    <x v="0"/>
    <s v="QA muhandisi"/>
    <s v="Middle"/>
    <s v="Toshkent"/>
    <n v="9680000"/>
    <n v="3"/>
    <x v="4"/>
    <n v="8"/>
    <x v="0"/>
    <s v="Bakalavr"/>
    <x v="0"/>
    <m/>
    <x v="0"/>
    <n v="22"/>
    <n v="0.6461327857631759"/>
    <s v="Jasur Yusupov"/>
    <n v="0"/>
    <x v="2"/>
  </r>
  <r>
    <s v="EMP-0605"/>
    <s v="Dilshod Nazarov"/>
    <s v="Erkak"/>
    <d v="1995-06-18T00:00:00"/>
    <d v="2023-04-11T00:00:00"/>
    <x v="0"/>
    <s v="Tizim administratori"/>
    <s v="Middle"/>
    <s v="Toshkent"/>
    <n v="9660000"/>
    <n v="4"/>
    <x v="0"/>
    <n v="20"/>
    <x v="0"/>
    <s v="O'rta maxsus"/>
    <x v="0"/>
    <m/>
    <x v="0"/>
    <n v="31"/>
    <n v="3.4715947980835042"/>
    <s v="Jasur Yusupov"/>
    <n v="0"/>
    <x v="0"/>
  </r>
  <r>
    <s v="EMP-0155"/>
    <s v="Jasur Umarov"/>
    <s v="Erkak"/>
    <d v="1989-06-07T00:00:00"/>
    <d v="2023-06-04T00:00:00"/>
    <x v="5"/>
    <s v="Logist"/>
    <s v="Senior"/>
    <s v="Toshkent"/>
    <n v="9610000"/>
    <n v="1"/>
    <x v="1"/>
    <n v="12"/>
    <x v="0"/>
    <s v="Bakalavr"/>
    <x v="0"/>
    <m/>
    <x v="0"/>
    <n v="37"/>
    <n v="3.3237508555783708"/>
    <s v="Sardor Nazarov"/>
    <n v="0"/>
    <x v="0"/>
  </r>
  <r>
    <s v="EMP-0045"/>
    <s v="Zilola Qodirova"/>
    <s v="Ayol"/>
    <d v="1993-05-03T00:00:00"/>
    <d v="2024-11-18T00:00:00"/>
    <x v="0"/>
    <s v="Dasturchi"/>
    <s v="Middle"/>
    <s v="Samarqand"/>
    <n v="9560000"/>
    <n v="4"/>
    <x v="3"/>
    <n v="12"/>
    <x v="2"/>
    <s v="Bakalavr"/>
    <x v="1"/>
    <d v="2026-05-16T00:00:00"/>
    <x v="7"/>
    <n v="33"/>
    <n v="1.4893908281998631"/>
    <s v="Jasur Yusupov"/>
    <n v="1"/>
    <x v="1"/>
  </r>
  <r>
    <s v="EMP-0750"/>
    <s v="Doniyor Nazarov"/>
    <s v="Erkak"/>
    <d v="1985-07-07T00:00:00"/>
    <d v="2018-10-29T00:00:00"/>
    <x v="5"/>
    <s v="Ombor mudiri"/>
    <s v="Senior"/>
    <s v="Toshkent"/>
    <n v="9550000"/>
    <n v="3"/>
    <x v="1"/>
    <n v="10"/>
    <x v="1"/>
    <s v="Bakalavr"/>
    <x v="0"/>
    <m/>
    <x v="0"/>
    <n v="41"/>
    <n v="7.9206023271731691"/>
    <s v="Sardor Nazarov"/>
    <n v="0"/>
    <x v="0"/>
  </r>
  <r>
    <s v="EMP-0736"/>
    <s v="Behruz Yusupov"/>
    <s v="Erkak"/>
    <d v="2003-04-26T00:00:00"/>
    <d v="2026-02-06T00:00:00"/>
    <x v="5"/>
    <s v="Ombor mudiri"/>
    <s v="Senior"/>
    <s v="Qarshi"/>
    <n v="9530000"/>
    <n v="4"/>
    <x v="0"/>
    <n v="17"/>
    <x v="2"/>
    <s v="Bakalavr"/>
    <x v="0"/>
    <m/>
    <x v="0"/>
    <n v="23"/>
    <n v="0.6461327857631759"/>
    <s v="Sardor Nazarov"/>
    <n v="0"/>
    <x v="2"/>
  </r>
  <r>
    <s v="EMP-0607"/>
    <s v="Behruz Karimov"/>
    <s v="Erkak"/>
    <d v="1997-05-22T00:00:00"/>
    <d v="2021-12-04T00:00:00"/>
    <x v="6"/>
    <s v="Call-markaz operatori"/>
    <s v="Senior"/>
    <s v="Samarqand"/>
    <n v="9520000"/>
    <n v="4"/>
    <x v="1"/>
    <n v="9"/>
    <x v="0"/>
    <s v="Bakalavr"/>
    <x v="1"/>
    <d v="2025-08-09T00:00:00"/>
    <x v="7"/>
    <n v="29"/>
    <n v="3.6796714579055441"/>
    <s v="Shahlo Ismoilova"/>
    <n v="1"/>
    <x v="0"/>
  </r>
  <r>
    <s v="EMP-0127"/>
    <s v="Rustam Ismoilov"/>
    <s v="Erkak"/>
    <d v="2001-10-19T00:00:00"/>
    <d v="2022-12-14T00:00:00"/>
    <x v="0"/>
    <s v="QA muhandisi"/>
    <s v="Middle"/>
    <s v="Farg'ona"/>
    <n v="9480000"/>
    <n v="3"/>
    <x v="4"/>
    <n v="12"/>
    <x v="0"/>
    <s v="Magistr"/>
    <x v="1"/>
    <d v="2025-10-29T00:00:00"/>
    <x v="4"/>
    <n v="24"/>
    <n v="2.8747433264887063"/>
    <s v="Jasur Yusupov"/>
    <n v="1"/>
    <x v="1"/>
  </r>
  <r>
    <s v="EMP-0615"/>
    <s v="Nigora Umarova"/>
    <s v="Ayol"/>
    <d v="2001-09-26T00:00:00"/>
    <d v="2024-01-17T00:00:00"/>
    <x v="0"/>
    <s v="Tizim administratori"/>
    <s v="Middle"/>
    <s v="Toshkent"/>
    <n v="9460000"/>
    <n v="4"/>
    <x v="1"/>
    <n v="7"/>
    <x v="0"/>
    <s v="Bakalavr"/>
    <x v="1"/>
    <d v="2025-04-20T00:00:00"/>
    <x v="4"/>
    <n v="25"/>
    <n v="1.2566735112936345"/>
    <s v="Jasur Yusupov"/>
    <n v="1"/>
    <x v="1"/>
  </r>
  <r>
    <s v="EMP-0016"/>
    <s v="Islom Mirzayev"/>
    <s v="Erkak"/>
    <d v="1995-06-22T00:00:00"/>
    <d v="2025-01-31T00:00:00"/>
    <x v="3"/>
    <s v="Kassir"/>
    <s v="Middle"/>
    <s v="Andijon"/>
    <n v="9450000"/>
    <n v="2"/>
    <x v="1"/>
    <n v="0"/>
    <x v="0"/>
    <s v="Magistr"/>
    <x v="1"/>
    <d v="2026-07-08T00:00:00"/>
    <x v="4"/>
    <n v="31"/>
    <n v="1.431895961670089"/>
    <s v="Madina Abdullayeva"/>
    <n v="1"/>
    <x v="1"/>
  </r>
  <r>
    <s v="EMP-0109"/>
    <s v="Aziza Tursunova"/>
    <s v="Ayol"/>
    <d v="1985-06-14T00:00:00"/>
    <d v="2017-11-20T00:00:00"/>
    <x v="6"/>
    <s v="Call-markaz operatori"/>
    <s v="Senior"/>
    <s v="Toshkent"/>
    <n v="9390000"/>
    <n v="5"/>
    <x v="4"/>
    <n v="27"/>
    <x v="0"/>
    <s v="Bakalavr"/>
    <x v="0"/>
    <m/>
    <x v="0"/>
    <n v="41"/>
    <n v="8.85968514715948"/>
    <s v="Shahlo Ismoilova"/>
    <n v="0"/>
    <x v="0"/>
  </r>
  <r>
    <s v="EMP-0496"/>
    <s v="Sardor Karimov"/>
    <s v="Erkak"/>
    <d v="1987-04-07T00:00:00"/>
    <d v="2025-02-14T00:00:00"/>
    <x v="6"/>
    <s v="Call-markaz operatori"/>
    <s v="Senior"/>
    <s v="Toshkent"/>
    <n v="9370000"/>
    <n v="5"/>
    <x v="1"/>
    <n v="2"/>
    <x v="0"/>
    <s v="Bakalavr"/>
    <x v="0"/>
    <m/>
    <x v="0"/>
    <n v="39"/>
    <n v="1.623545516769336"/>
    <s v="Shahlo Ismoilova"/>
    <n v="0"/>
    <x v="1"/>
  </r>
  <r>
    <s v="EMP-0697"/>
    <s v="Shahlo Nazarova"/>
    <s v="Ayol"/>
    <d v="1989-07-13T00:00:00"/>
    <d v="2024-02-28T00:00:00"/>
    <x v="6"/>
    <s v="Call-markaz operatori"/>
    <s v="Senior"/>
    <s v="Toshkent"/>
    <n v="9360000"/>
    <n v="3"/>
    <x v="0"/>
    <n v="24"/>
    <x v="1"/>
    <s v="Bakalavr"/>
    <x v="0"/>
    <m/>
    <x v="0"/>
    <n v="37"/>
    <n v="2.5872689938398357"/>
    <s v="Shahlo Ismoilova"/>
    <n v="0"/>
    <x v="1"/>
  </r>
  <r>
    <s v="EMP-0289"/>
    <s v="Behruz Hasanov"/>
    <s v="Erkak"/>
    <d v="1985-05-27T00:00:00"/>
    <d v="2017-09-10T00:00:00"/>
    <x v="3"/>
    <s v="Moliyaviy tahlilchi"/>
    <s v="Middle"/>
    <s v="Andijon"/>
    <n v="9330000"/>
    <n v="5"/>
    <x v="4"/>
    <n v="0"/>
    <x v="0"/>
    <s v="Bakalavr"/>
    <x v="0"/>
    <m/>
    <x v="0"/>
    <n v="41"/>
    <n v="9.0540725530458595"/>
    <s v="Madina Abdullayeva"/>
    <n v="0"/>
    <x v="0"/>
  </r>
  <r>
    <s v="EMP-0395"/>
    <s v="Nodira Mirzayeva"/>
    <s v="Ayol"/>
    <d v="1991-03-01T00:00:00"/>
    <d v="2018-07-09T00:00:00"/>
    <x v="1"/>
    <s v="Kontent menejer"/>
    <s v="Middle"/>
    <s v="Toshkent"/>
    <n v="9270000"/>
    <m/>
    <x v="0"/>
    <n v="8"/>
    <x v="0"/>
    <s v="Bakalavr"/>
    <x v="0"/>
    <m/>
    <x v="0"/>
    <n v="35"/>
    <n v="8.2272416153319643"/>
    <s v="Dilnoza Rahimova"/>
    <n v="0"/>
    <x v="0"/>
  </r>
  <r>
    <s v="EMP-0017"/>
    <s v="Zilola Mirzayeva"/>
    <s v="Ayol"/>
    <d v="1984-04-23T00:00:00"/>
    <d v="2022-06-28T00:00:00"/>
    <x v="1"/>
    <s v="Kontent menejer"/>
    <s v="Middle"/>
    <s v="Samarqand"/>
    <n v="9240000"/>
    <n v="4"/>
    <x v="2"/>
    <n v="9"/>
    <x v="1"/>
    <s v="Magistr"/>
    <x v="0"/>
    <m/>
    <x v="0"/>
    <n v="42"/>
    <n v="4.2573579739904179"/>
    <s v="Dilnoza Rahimova"/>
    <n v="0"/>
    <x v="0"/>
  </r>
  <r>
    <s v="EMP-0187"/>
    <s v="Mohira Mirzayeva"/>
    <s v="Ayol"/>
    <d v="1983-06-07T00:00:00"/>
    <d v="2016-12-16T00:00:00"/>
    <x v="0"/>
    <s v="QA muhandisi"/>
    <s v="Middle"/>
    <s v="Toshkent"/>
    <n v="9240000"/>
    <n v="3"/>
    <x v="3"/>
    <n v="29"/>
    <x v="2"/>
    <s v="Bakalavr"/>
    <x v="0"/>
    <m/>
    <x v="0"/>
    <n v="43"/>
    <n v="9.7878165639972625"/>
    <s v="Jasur Yusupov"/>
    <n v="0"/>
    <x v="0"/>
  </r>
  <r>
    <s v="EMP-0421"/>
    <s v="Akmal Saidov"/>
    <s v="Erkak"/>
    <d v="1989-07-07T00:00:00"/>
    <d v="2019-11-10T00:00:00"/>
    <x v="5"/>
    <s v="Haydovchi-ekspeditor"/>
    <s v="Senior"/>
    <s v="Toshkent"/>
    <n v="9220000"/>
    <n v="3"/>
    <x v="3"/>
    <n v="15"/>
    <x v="0"/>
    <s v="O'rta maxsus"/>
    <x v="0"/>
    <m/>
    <x v="0"/>
    <n v="37"/>
    <n v="6.8884325804243671"/>
    <s v="Sardor Nazarov"/>
    <n v="0"/>
    <x v="0"/>
  </r>
  <r>
    <s v="EMP-0344"/>
    <s v="Shaxzod Abdullayev"/>
    <s v="Erkak"/>
    <d v="1994-11-13T00:00:00"/>
    <d v="2019-10-23T00:00:00"/>
    <x v="6"/>
    <s v="Call-markaz operatori"/>
    <s v="Senior"/>
    <s v="Toshkent"/>
    <n v="9210000"/>
    <n v="1"/>
    <x v="1"/>
    <n v="19"/>
    <x v="2"/>
    <s v="Bakalavr"/>
    <x v="0"/>
    <m/>
    <x v="0"/>
    <n v="31"/>
    <n v="6.9377138945927443"/>
    <s v="Shahlo Ismoilova"/>
    <n v="0"/>
    <x v="0"/>
  </r>
  <r>
    <s v="EMP-0550"/>
    <s v="Ulugbek Yusupov"/>
    <s v="Erkak"/>
    <d v="1992-10-09T00:00:00"/>
    <d v="2026-03-28T00:00:00"/>
    <x v="0"/>
    <s v="QA muhandisi"/>
    <s v="Middle"/>
    <s v="Namangan"/>
    <n v="9190000"/>
    <n v="5"/>
    <x v="0"/>
    <n v="8"/>
    <x v="2"/>
    <s v="Bakalavr"/>
    <x v="0"/>
    <m/>
    <x v="0"/>
    <n v="33"/>
    <n v="0.50924024640657084"/>
    <s v="Jasur Yusupov"/>
    <n v="0"/>
    <x v="2"/>
  </r>
  <r>
    <s v="EMP-0368"/>
    <s v="Ulugbek Ismoilov"/>
    <s v="Erkak"/>
    <d v="1992-01-01T00:00:00"/>
    <d v="2024-07-26T00:00:00"/>
    <x v="0"/>
    <s v="Tizim administratori"/>
    <s v="Middle"/>
    <s v="Toshkent"/>
    <n v="9180000"/>
    <n v="3"/>
    <x v="0"/>
    <n v="31"/>
    <x v="0"/>
    <s v="Bakalavr"/>
    <x v="0"/>
    <m/>
    <x v="0"/>
    <n v="34"/>
    <n v="2.1793292265571527"/>
    <s v="Jasur Yusupov"/>
    <n v="0"/>
    <x v="1"/>
  </r>
  <r>
    <s v="EMP-0374"/>
    <s v="Feruza Nazarova"/>
    <s v="Ayol"/>
    <d v="1989-05-20T00:00:00"/>
    <d v="2025-11-08T00:00:00"/>
    <x v="5"/>
    <s v="Logist"/>
    <s v="Senior"/>
    <s v="Farg'ona"/>
    <n v="9180000"/>
    <n v="4"/>
    <x v="1"/>
    <n v="16"/>
    <x v="2"/>
    <s v="Bakalavr"/>
    <x v="0"/>
    <m/>
    <x v="0"/>
    <n v="37"/>
    <n v="0.892539356605065"/>
    <s v="Sardor Nazarov"/>
    <n v="0"/>
    <x v="2"/>
  </r>
  <r>
    <s v="EMP-0592"/>
    <s v="Akmal Tursunov"/>
    <s v="Erkak"/>
    <d v="1983-11-05T00:00:00"/>
    <d v="2020-10-16T00:00:00"/>
    <x v="6"/>
    <s v="Call-markaz operatori"/>
    <s v="Senior"/>
    <s v="Farg'ona"/>
    <n v="9170000"/>
    <n v="1"/>
    <x v="3"/>
    <n v="8"/>
    <x v="0"/>
    <s v="Bakalavr"/>
    <x v="0"/>
    <m/>
    <x v="0"/>
    <n v="42"/>
    <n v="5.9548254620123204"/>
    <s v="Shahlo Ismoilova"/>
    <n v="0"/>
    <x v="0"/>
  </r>
  <r>
    <s v="EMP-0688"/>
    <s v="Dilshod Saidov"/>
    <s v="Erkak"/>
    <d v="1985-03-17T00:00:00"/>
    <d v="2018-02-16T00:00:00"/>
    <x v="6"/>
    <s v="Call-markaz operatori"/>
    <s v="Senior"/>
    <s v="Samarqand"/>
    <n v="9160000"/>
    <n v="3"/>
    <x v="3"/>
    <n v="8"/>
    <x v="1"/>
    <s v="Bakalavr"/>
    <x v="0"/>
    <m/>
    <x v="0"/>
    <n v="41"/>
    <n v="8.6187542778918544"/>
    <s v="Shahlo Ismoilova"/>
    <n v="0"/>
    <x v="0"/>
  </r>
  <r>
    <s v="EMP-0740"/>
    <s v="Sevara Ismoilova"/>
    <s v="Ayol"/>
    <d v="2006-05-18T00:00:00"/>
    <d v="2026-08-15T00:00:00"/>
    <x v="6"/>
    <s v="Mijozlar bilan ishlash mutaxassisi"/>
    <s v="Senior"/>
    <s v="Toshkent"/>
    <n v="9150000"/>
    <n v="3"/>
    <x v="0"/>
    <n v="30"/>
    <x v="0"/>
    <s v="Bakalavr"/>
    <x v="0"/>
    <m/>
    <x v="0"/>
    <n v="20"/>
    <n v="0.12594113620807665"/>
    <s v="Shahlo Ismoilova"/>
    <n v="0"/>
    <x v="2"/>
  </r>
  <r>
    <s v="EMP-0471"/>
    <s v="Sardor Karimov"/>
    <s v="Erkak"/>
    <d v="1990-03-12T00:00:00"/>
    <d v="2025-02-14T00:00:00"/>
    <x v="5"/>
    <s v="Haydovchi-ekspeditor"/>
    <s v="Senior"/>
    <s v="Toshkent"/>
    <n v="9140000"/>
    <n v="3"/>
    <x v="0"/>
    <n v="8"/>
    <x v="0"/>
    <s v="Bakalavr"/>
    <x v="0"/>
    <m/>
    <x v="0"/>
    <n v="36"/>
    <n v="1.623545516769336"/>
    <s v="Sardor Nazarov"/>
    <n v="0"/>
    <x v="1"/>
  </r>
  <r>
    <s v="EMP-0032"/>
    <s v="Otabek Ergashev"/>
    <s v="Erkak"/>
    <d v="2006-03-20T00:00:00"/>
    <d v="2026-07-29T00:00:00"/>
    <x v="6"/>
    <s v="Mijozlar bilan ishlash mutaxassisi"/>
    <s v="Senior"/>
    <s v="Buxoro"/>
    <n v="9110000"/>
    <n v="5"/>
    <x v="3"/>
    <n v="8"/>
    <x v="0"/>
    <s v="Bakalavr"/>
    <x v="0"/>
    <m/>
    <x v="0"/>
    <n v="20"/>
    <n v="0.17248459958932238"/>
    <s v="Shahlo Ismoilova"/>
    <n v="0"/>
    <x v="2"/>
  </r>
  <r>
    <s v="EMP-0589"/>
    <s v="Zilola Ismoilova"/>
    <s v="Ayol"/>
    <d v="1997-07-26T00:00:00"/>
    <d v="2026-03-10T00:00:00"/>
    <x v="6"/>
    <s v="Mijozlar bilan ishlash mutaxassisi"/>
    <s v="Senior"/>
    <s v="Toshkent"/>
    <n v="9110000"/>
    <n v="2"/>
    <x v="1"/>
    <n v="20"/>
    <x v="2"/>
    <s v="Bakalavr"/>
    <x v="1"/>
    <d v="2026-07-06T00:00:00"/>
    <x v="4"/>
    <n v="29"/>
    <n v="0.32306639288158795"/>
    <s v="Shahlo Ismoilova"/>
    <n v="1"/>
    <x v="2"/>
  </r>
  <r>
    <s v="EMP-0709"/>
    <s v="Otabek Sobirov"/>
    <s v="Erkak"/>
    <d v="1996-09-08T00:00:00"/>
    <d v="2023-06-15T00:00:00"/>
    <x v="5"/>
    <s v="Haydovchi-ekspeditor"/>
    <s v="Senior"/>
    <s v="Toshkent"/>
    <n v="9070000"/>
    <n v="4"/>
    <x v="2"/>
    <n v="6"/>
    <x v="2"/>
    <s v="Bakalavr"/>
    <x v="0"/>
    <m/>
    <x v="0"/>
    <n v="30"/>
    <n v="3.2936344969199181"/>
    <s v="Sardor Nazarov"/>
    <n v="0"/>
    <x v="0"/>
  </r>
  <r>
    <s v="EMP-0306"/>
    <s v="Akmal Saidov"/>
    <s v="Erkak"/>
    <d v="1990-03-12T00:00:00"/>
    <d v="2019-09-26T00:00:00"/>
    <x v="0"/>
    <s v="QA muhandisi"/>
    <s v="Middle"/>
    <s v="Toshkent"/>
    <n v="9060000"/>
    <n v="3"/>
    <x v="3"/>
    <n v="27"/>
    <x v="0"/>
    <s v="Bakalavr"/>
    <x v="0"/>
    <m/>
    <x v="0"/>
    <n v="36"/>
    <n v="7.0116358658453111"/>
    <s v="Jasur Yusupov"/>
    <n v="0"/>
    <x v="0"/>
  </r>
  <r>
    <s v="EMP-0468"/>
    <s v="Bobur Saidov"/>
    <s v="Erkak"/>
    <d v="1998-01-14T00:00:00"/>
    <d v="2026-07-27T00:00:00"/>
    <x v="6"/>
    <s v="Mijozlar bilan ishlash mutaxassisi"/>
    <s v="Senior"/>
    <s v="Toshkent"/>
    <n v="9030000"/>
    <n v="5"/>
    <x v="1"/>
    <n v="2"/>
    <x v="0"/>
    <s v="Bakalavr"/>
    <x v="1"/>
    <d v="2026-09-29T00:00:00"/>
    <x v="7"/>
    <n v="28"/>
    <n v="0.17522245037645448"/>
    <s v="Shahlo Ismoilova"/>
    <n v="1"/>
    <x v="2"/>
  </r>
  <r>
    <s v="EMP-0800"/>
    <s v="Mohira Abdullayeva"/>
    <s v="Ayol"/>
    <d v="2000-07-04T00:00:00"/>
    <d v="2024-07-19T00:00:00"/>
    <x v="6"/>
    <s v="Mijozlar bilan ishlash mutaxassisi"/>
    <s v="Senior"/>
    <s v="Namangan"/>
    <n v="9000000"/>
    <n v="3"/>
    <x v="0"/>
    <n v="30"/>
    <x v="0"/>
    <s v="Magistr"/>
    <x v="0"/>
    <m/>
    <x v="0"/>
    <n v="26"/>
    <n v="2.1984941820670771"/>
    <s v="Shahlo Ismoilova"/>
    <n v="0"/>
    <x v="1"/>
  </r>
  <r>
    <s v="EMP-0588"/>
    <s v="Feruza Yusupova"/>
    <s v="Ayol"/>
    <d v="1994-12-01T00:00:00"/>
    <d v="2024-06-30T00:00:00"/>
    <x v="0"/>
    <s v="Dasturchi"/>
    <s v="Middle"/>
    <s v="Toshkent"/>
    <n v="8970000"/>
    <n v="3"/>
    <x v="1"/>
    <n v="14"/>
    <x v="0"/>
    <s v="Bakalavr"/>
    <x v="0"/>
    <m/>
    <x v="0"/>
    <n v="31"/>
    <n v="2.2505133470225873"/>
    <s v="Jasur Yusupov"/>
    <n v="0"/>
    <x v="1"/>
  </r>
  <r>
    <s v="EMP-0082"/>
    <s v="Nigora Nazarova"/>
    <s v="Ayol"/>
    <d v="2006-04-22T00:00:00"/>
    <d v="2026-05-25T00:00:00"/>
    <x v="2"/>
    <s v="Hudud menejeri"/>
    <s v="Middle"/>
    <s v="Toshkent"/>
    <n v="8950000"/>
    <n v="3"/>
    <x v="4"/>
    <n v="28"/>
    <x v="0"/>
    <s v="Bakalavr"/>
    <x v="1"/>
    <d v="2026-08-02T00:00:00"/>
    <x v="4"/>
    <n v="20"/>
    <n v="0.18891170431211499"/>
    <s v="Aziz Karimov"/>
    <n v="1"/>
    <x v="2"/>
  </r>
  <r>
    <s v="EMP-0229"/>
    <s v="Aziz Yusupov"/>
    <s v="Erkak"/>
    <d v="1987-08-07T00:00:00"/>
    <d v="2024-03-09T00:00:00"/>
    <x v="2"/>
    <s v="Hudud menejeri"/>
    <s v="Middle"/>
    <s v="Farg'ona"/>
    <n v="8940000"/>
    <n v="4"/>
    <x v="1"/>
    <n v="8"/>
    <x v="0"/>
    <m/>
    <x v="1"/>
    <d v="2025-09-02T00:00:00"/>
    <x v="3"/>
    <n v="39"/>
    <n v="1.483915126625599"/>
    <s v="Aziz Karimov"/>
    <n v="1"/>
    <x v="1"/>
  </r>
  <r>
    <s v="EMP-0324"/>
    <s v="Gulnora Abdullayeva"/>
    <s v="Ayol"/>
    <d v="1989-11-13T00:00:00"/>
    <d v="2019-03-26T00:00:00"/>
    <x v="2"/>
    <s v="Sotuv menejeri"/>
    <s v="Middle"/>
    <s v="Farg'ona"/>
    <n v="8900000"/>
    <n v="3"/>
    <x v="2"/>
    <n v="31"/>
    <x v="2"/>
    <s v="O'rta maxsus"/>
    <x v="0"/>
    <m/>
    <x v="0"/>
    <n v="36"/>
    <n v="7.5154004106776178"/>
    <s v="Aziz Karimov"/>
    <n v="0"/>
    <x v="0"/>
  </r>
  <r>
    <s v="EMP-0746"/>
    <s v="Feruza Nazarova"/>
    <s v="Ayol"/>
    <d v="1991-07-08T00:00:00"/>
    <d v="2022-05-14T00:00:00"/>
    <x v="2"/>
    <s v="Savdo vakili"/>
    <s v="Middle"/>
    <s v="Toshkent"/>
    <n v="8900000"/>
    <m/>
    <x v="3"/>
    <n v="10"/>
    <x v="2"/>
    <s v="Bakalavr"/>
    <x v="0"/>
    <m/>
    <x v="0"/>
    <n v="35"/>
    <n v="4.3805612594113619"/>
    <s v="Aziz Karimov"/>
    <n v="0"/>
    <x v="0"/>
  </r>
  <r>
    <s v="EMP-0311"/>
    <s v="Nigora Rahimova"/>
    <s v="Ayol"/>
    <d v="1989-09-13T00:00:00"/>
    <d v="2021-08-25T00:00:00"/>
    <x v="6"/>
    <s v="Mijozlar bilan ishlash mutaxassisi"/>
    <s v="Senior"/>
    <s v="Buxoro"/>
    <n v="8890000"/>
    <m/>
    <x v="0"/>
    <n v="18"/>
    <x v="2"/>
    <s v="Bakalavr"/>
    <x v="0"/>
    <m/>
    <x v="0"/>
    <n v="37"/>
    <n v="5.0978781656399725"/>
    <s v="Shahlo Ismoilova"/>
    <n v="0"/>
    <x v="0"/>
  </r>
  <r>
    <s v="EMP-0116"/>
    <s v="Timur Ergashev"/>
    <s v="Erkak"/>
    <d v="2005-09-02T00:00:00"/>
    <d v="2026-03-08T00:00:00"/>
    <x v="0"/>
    <s v="Dasturchi"/>
    <s v="Middle"/>
    <s v="Namangan"/>
    <n v="8880000"/>
    <n v="3"/>
    <x v="3"/>
    <n v="21"/>
    <x v="1"/>
    <s v="Bakalavr"/>
    <x v="0"/>
    <m/>
    <x v="0"/>
    <n v="21"/>
    <n v="0.56399726214921286"/>
    <s v="Jasur Yusupov"/>
    <n v="0"/>
    <x v="2"/>
  </r>
  <r>
    <s v="EMP-0088"/>
    <s v="Nodira Saidova"/>
    <s v="Ayol"/>
    <d v="2003-03-27T00:00:00"/>
    <d v="2025-12-01T00:00:00"/>
    <x v="1"/>
    <s v="Kontent menejer"/>
    <s v="Middle"/>
    <s v="Buxoro"/>
    <n v="8860000"/>
    <n v="3"/>
    <x v="3"/>
    <n v="2"/>
    <x v="1"/>
    <s v="Bakalavr"/>
    <x v="0"/>
    <m/>
    <x v="0"/>
    <n v="23"/>
    <n v="0.82956878850102667"/>
    <s v="Dilnoza Rahimova"/>
    <n v="0"/>
    <x v="2"/>
  </r>
  <r>
    <s v="EMP-0087"/>
    <s v="Shahlo Qodirova"/>
    <s v="Ayol"/>
    <d v="1997-12-27T00:00:00"/>
    <d v="2021-11-20T00:00:00"/>
    <x v="0"/>
    <s v="Dasturchi"/>
    <s v="Middle"/>
    <s v="Toshkent"/>
    <n v="8850000"/>
    <n v="2"/>
    <x v="3"/>
    <n v="0"/>
    <x v="0"/>
    <s v="Bakalavr"/>
    <x v="0"/>
    <m/>
    <x v="0"/>
    <n v="28"/>
    <n v="4.85968514715948"/>
    <s v="Jasur Yusupov"/>
    <n v="0"/>
    <x v="0"/>
  </r>
  <r>
    <s v="EMP-0748"/>
    <s v="Islom Tursunov"/>
    <s v="Erkak"/>
    <d v="1992-04-12T00:00:00"/>
    <d v="2026-08-20T00:00:00"/>
    <x v="1"/>
    <s v="Marketolog"/>
    <s v="Middle"/>
    <s v="Samarqand"/>
    <n v="8850000"/>
    <n v="3"/>
    <x v="0"/>
    <n v="1"/>
    <x v="2"/>
    <s v="Bakalavr"/>
    <x v="0"/>
    <m/>
    <x v="0"/>
    <n v="34"/>
    <n v="0.11225188227241616"/>
    <s v="Dilnoza Rahimova"/>
    <n v="0"/>
    <x v="2"/>
  </r>
  <r>
    <s v="EMP-0071"/>
    <s v="Otabek Ergashev"/>
    <s v="Erkak"/>
    <d v="1995-02-24T00:00:00"/>
    <d v="2019-07-07T00:00:00"/>
    <x v="2"/>
    <s v="Hudud menejeri"/>
    <s v="Middle"/>
    <s v="Toshkent"/>
    <n v="8840000"/>
    <n v="3"/>
    <x v="0"/>
    <n v="15"/>
    <x v="0"/>
    <s v="O'rta maxsus"/>
    <x v="0"/>
    <m/>
    <x v="0"/>
    <n v="31"/>
    <n v="7.2334017796030112"/>
    <s v="Aziz Karimov"/>
    <n v="0"/>
    <x v="0"/>
  </r>
  <r>
    <s v="EMP-0778"/>
    <s v="Dilshod Hasanov"/>
    <s v="Erkak"/>
    <d v="1994-11-12T00:00:00"/>
    <d v="2024-08-15T00:00:00"/>
    <x v="2"/>
    <s v="Savdo vakili"/>
    <s v="Middle"/>
    <s v="Toshkent"/>
    <n v="8810000"/>
    <n v="5"/>
    <x v="0"/>
    <n v="17"/>
    <x v="0"/>
    <s v="Bakalavr"/>
    <x v="0"/>
    <m/>
    <x v="0"/>
    <n v="31"/>
    <n v="2.1245722108145104"/>
    <s v="Aziz Karimov"/>
    <n v="0"/>
    <x v="1"/>
  </r>
  <r>
    <s v="EMP-0747"/>
    <s v="Aziz Hasanov"/>
    <s v="Erkak"/>
    <d v="1989-01-16T00:00:00"/>
    <d v="2019-04-26T00:00:00"/>
    <x v="0"/>
    <s v="Tizim administratori"/>
    <s v="Middle"/>
    <s v="Samarqand"/>
    <n v="8800000"/>
    <n v="4"/>
    <x v="2"/>
    <n v="3"/>
    <x v="0"/>
    <s v="O'rta maxsus"/>
    <x v="0"/>
    <m/>
    <x v="0"/>
    <n v="37"/>
    <n v="7.4305270362765228"/>
    <s v="Jasur Yusupov"/>
    <n v="0"/>
    <x v="0"/>
  </r>
  <r>
    <s v="EMP-0704"/>
    <s v="Jasur Tursunov"/>
    <s v="Erkak"/>
    <d v="1987-03-17T00:00:00"/>
    <d v="2022-03-05T00:00:00"/>
    <x v="1"/>
    <s v="Marketolog"/>
    <s v="Middle"/>
    <s v="Toshkent"/>
    <n v="8790000"/>
    <n v="4"/>
    <x v="3"/>
    <n v="19"/>
    <x v="2"/>
    <s v="O'rta maxsus"/>
    <x v="1"/>
    <d v="2025-08-29T00:00:00"/>
    <x v="1"/>
    <n v="39"/>
    <n v="3.485284052019165"/>
    <s v="Dilnoza Rahimova"/>
    <n v="1"/>
    <x v="0"/>
  </r>
  <r>
    <s v="EMP-0014"/>
    <s v="Islom Hasanov"/>
    <s v="Erkak"/>
    <d v="1990-09-05T00:00:00"/>
    <d v="2022-12-09T00:00:00"/>
    <x v="2"/>
    <s v="Hudud menejeri"/>
    <s v="Middle"/>
    <s v="Samarqand"/>
    <n v="8770000"/>
    <n v="3"/>
    <x v="2"/>
    <n v="12"/>
    <x v="0"/>
    <s v="Bakalavr"/>
    <x v="0"/>
    <m/>
    <x v="0"/>
    <n v="36"/>
    <n v="3.808350444900753"/>
    <s v="Aziz Karimov"/>
    <n v="0"/>
    <x v="0"/>
  </r>
  <r>
    <s v="EMP-0272"/>
    <s v="Jasur Abdullayev"/>
    <s v="Erkak"/>
    <d v="2006-12-23T00:00:00"/>
    <d v="2026-10-03T00:00:00"/>
    <x v="6"/>
    <s v="Mijozlar bilan ishlash mutaxassisi"/>
    <s v="Senior"/>
    <s v="Samarqand"/>
    <n v="8690000"/>
    <n v="4"/>
    <x v="0"/>
    <n v="17"/>
    <x v="0"/>
    <s v="O'rta maxsus"/>
    <x v="0"/>
    <m/>
    <x v="0"/>
    <n v="19"/>
    <n v="-8.2135523613963042E-3"/>
    <s v="Shahlo Ismoilova"/>
    <n v="0"/>
    <x v="2"/>
  </r>
  <r>
    <s v="EMP-0015"/>
    <s v="Malika Saidova"/>
    <s v="Ayol"/>
    <d v="1997-12-12T00:00:00"/>
    <d v="2026-01-03T00:00:00"/>
    <x v="6"/>
    <s v="Mijozlar bilan ishlash mutaxassisi"/>
    <s v="Senior"/>
    <s v="Andijon"/>
    <n v="8630000"/>
    <n v="2"/>
    <x v="3"/>
    <n v="21"/>
    <x v="2"/>
    <s v="O'rta maxsus"/>
    <x v="0"/>
    <m/>
    <x v="0"/>
    <n v="28"/>
    <n v="0.73921971252566732"/>
    <s v="Shahlo Ismoilova"/>
    <n v="0"/>
    <x v="2"/>
  </r>
  <r>
    <s v="EMP-0661"/>
    <s v="Nigora Qodirova"/>
    <s v="Ayol"/>
    <d v="1999-10-18T00:00:00"/>
    <d v="2023-06-20T00:00:00"/>
    <x v="6"/>
    <s v="Call-markaz operatori"/>
    <s v="Senior"/>
    <s v="Toshkent"/>
    <n v="8630000"/>
    <n v="3"/>
    <x v="1"/>
    <n v="11"/>
    <x v="2"/>
    <s v="Bakalavr"/>
    <x v="1"/>
    <d v="2025-11-07T00:00:00"/>
    <x v="4"/>
    <n v="26"/>
    <n v="2.3846680355920604"/>
    <s v="Shahlo Ismoilova"/>
    <n v="1"/>
    <x v="1"/>
  </r>
  <r>
    <s v="EMP-0491"/>
    <s v="Islom Ergashev"/>
    <s v="Erkak"/>
    <d v="1993-05-07T00:00:00"/>
    <d v="2021-08-23T00:00:00"/>
    <x v="3"/>
    <s v="Buxgalter"/>
    <s v="Middle"/>
    <s v="Andijon"/>
    <n v="8610000"/>
    <n v="4"/>
    <x v="1"/>
    <n v="0"/>
    <x v="0"/>
    <s v="O'rta maxsus"/>
    <x v="0"/>
    <m/>
    <x v="0"/>
    <n v="33"/>
    <n v="5.1033538672142367"/>
    <s v="Madina Abdullayeva"/>
    <n v="0"/>
    <x v="0"/>
  </r>
  <r>
    <s v="EMP-0404"/>
    <s v="Sevara Tursunova"/>
    <s v="Ayol"/>
    <d v="2002-08-28T00:00:00"/>
    <d v="2023-06-30T00:00:00"/>
    <x v="6"/>
    <s v="Call-markaz operatori"/>
    <s v="Senior"/>
    <s v="Toshkent"/>
    <n v="8590000"/>
    <n v="3"/>
    <x v="1"/>
    <n v="15"/>
    <x v="1"/>
    <s v="O'rta maxsus"/>
    <x v="0"/>
    <m/>
    <x v="0"/>
    <n v="24"/>
    <n v="3.2525667351129361"/>
    <s v="Shahlo Ismoilova"/>
    <n v="0"/>
    <x v="0"/>
  </r>
  <r>
    <s v="EMP-0370"/>
    <s v="Islom Normatov"/>
    <s v="Erkak"/>
    <d v="1989-01-23T00:00:00"/>
    <d v="2018-07-16T00:00:00"/>
    <x v="1"/>
    <s v="Kontent menejer"/>
    <s v="Middle"/>
    <s v="Toshkent"/>
    <n v="8560000"/>
    <n v="4"/>
    <x v="0"/>
    <n v="6"/>
    <x v="2"/>
    <s v="O'rta maxsus"/>
    <x v="0"/>
    <m/>
    <x v="0"/>
    <n v="37"/>
    <n v="8.2080766598220389"/>
    <s v="Dilnoza Rahimova"/>
    <n v="0"/>
    <x v="0"/>
  </r>
  <r>
    <s v="EMP-0745"/>
    <s v="Zilola Ismoilova"/>
    <s v="Ayol"/>
    <d v="1999-10-08T00:00:00"/>
    <d v="2022-11-13T00:00:00"/>
    <x v="0"/>
    <s v="Tizim administratori"/>
    <s v="Middle"/>
    <s v="Namangan"/>
    <n v="8560000"/>
    <n v="4"/>
    <x v="1"/>
    <n v="7"/>
    <x v="2"/>
    <s v="Bakalavr"/>
    <x v="0"/>
    <m/>
    <x v="0"/>
    <n v="26"/>
    <n v="3.8795345653661877"/>
    <s v="Jasur Yusupov"/>
    <n v="0"/>
    <x v="0"/>
  </r>
  <r>
    <s v="EMP-0129"/>
    <s v="Akmal Ismoilov"/>
    <s v="Erkak"/>
    <d v="1988-11-01T00:00:00"/>
    <d v="2023-04-19T00:00:00"/>
    <x v="2"/>
    <s v="Savdo vakili"/>
    <s v="Middle"/>
    <s v="Toshkent"/>
    <n v="8550000"/>
    <n v="5"/>
    <x v="3"/>
    <n v="2"/>
    <x v="2"/>
    <s v="O'rta maxsus"/>
    <x v="0"/>
    <m/>
    <x v="0"/>
    <n v="37"/>
    <n v="3.4496919917864477"/>
    <s v="Aziz Karimov"/>
    <n v="0"/>
    <x v="0"/>
  </r>
  <r>
    <s v="EMP-0151"/>
    <s v="Zilola Saidova"/>
    <s v="Ayol"/>
    <d v="1993-05-04T00:00:00"/>
    <d v="2018-02-21T00:00:00"/>
    <x v="2"/>
    <s v="Sotuv menejeri"/>
    <s v="Middle"/>
    <s v="Toshkent"/>
    <n v="8520000"/>
    <n v="3"/>
    <x v="1"/>
    <n v="30"/>
    <x v="2"/>
    <s v="Bakalavr"/>
    <x v="0"/>
    <m/>
    <x v="0"/>
    <n v="33"/>
    <n v="8.605065023956195"/>
    <s v="Aziz Karimov"/>
    <n v="0"/>
    <x v="0"/>
  </r>
  <r>
    <s v="EMP-0784"/>
    <s v="Shahlo Ergasheva"/>
    <s v="Ayol"/>
    <d v="1996-09-10T00:00:00"/>
    <d v="2021-11-09T00:00:00"/>
    <x v="1"/>
    <s v="Kontent menejer"/>
    <s v="Middle"/>
    <s v="Toshkent"/>
    <n v="8470000"/>
    <n v="3"/>
    <x v="3"/>
    <n v="18"/>
    <x v="0"/>
    <s v="Magistr"/>
    <x v="0"/>
    <m/>
    <x v="0"/>
    <n v="30"/>
    <n v="4.8898015058179327"/>
    <s v="Dilnoza Rahimova"/>
    <n v="0"/>
    <x v="0"/>
  </r>
  <r>
    <s v="EMP-0304"/>
    <s v="Bobur Normatov"/>
    <s v="Erkak"/>
    <d v="1995-10-24T00:00:00"/>
    <d v="2021-10-01T00:00:00"/>
    <x v="1"/>
    <s v="Marketolog"/>
    <s v="Middle"/>
    <s v="Toshkent"/>
    <n v="8390000"/>
    <n v="3"/>
    <x v="2"/>
    <n v="14"/>
    <x v="0"/>
    <s v="O'rta maxsus"/>
    <x v="1"/>
    <d v="2025-04-04T00:00:00"/>
    <x v="4"/>
    <n v="30"/>
    <n v="3.5071868583162216"/>
    <s v="Dilnoza Rahimova"/>
    <n v="1"/>
    <x v="0"/>
  </r>
  <r>
    <s v="EMP-0273"/>
    <s v="Doniyor Karimov"/>
    <s v="Erkak"/>
    <d v="1993-06-23T00:00:00"/>
    <d v="2019-11-09T00:00:00"/>
    <x v="2"/>
    <s v="Sotuv menejeri"/>
    <s v="Middle"/>
    <s v="Toshkent"/>
    <n v="8380000"/>
    <n v="3"/>
    <x v="1"/>
    <n v="15"/>
    <x v="1"/>
    <s v="Bakalavr"/>
    <x v="0"/>
    <m/>
    <x v="0"/>
    <n v="33"/>
    <n v="6.8911704312114992"/>
    <s v="Aziz Karimov"/>
    <n v="0"/>
    <x v="0"/>
  </r>
  <r>
    <s v="EMP-0755"/>
    <s v="Aziz Qodirov"/>
    <s v="Erkak"/>
    <d v="1994-03-10T00:00:00"/>
    <d v="2021-07-05T00:00:00"/>
    <x v="2"/>
    <s v="Savdo vakili"/>
    <s v="Middle"/>
    <s v="Namangan"/>
    <n v="8360000"/>
    <n v="4"/>
    <x v="3"/>
    <n v="12"/>
    <x v="0"/>
    <s v="Bakalavr"/>
    <x v="0"/>
    <m/>
    <x v="0"/>
    <n v="32"/>
    <n v="5.2375085557837098"/>
    <s v="Aziz Karimov"/>
    <n v="0"/>
    <x v="0"/>
  </r>
  <r>
    <s v="EMP-0677"/>
    <s v="Dilshod Mirzayev"/>
    <s v="Erkak"/>
    <d v="2004-12-17T00:00:00"/>
    <d v="2026-06-10T00:00:00"/>
    <x v="2"/>
    <s v="Sotuv menejeri"/>
    <s v="Middle"/>
    <s v="Farg'ona"/>
    <n v="8330000"/>
    <n v="3"/>
    <x v="0"/>
    <n v="23"/>
    <x v="0"/>
    <s v="Magistr"/>
    <x v="0"/>
    <m/>
    <x v="0"/>
    <n v="21"/>
    <n v="0.30663928815879532"/>
    <s v="Aziz Karimov"/>
    <n v="0"/>
    <x v="2"/>
  </r>
  <r>
    <s v="EMP-0488"/>
    <s v="Aziz Umarov"/>
    <s v="Erkak"/>
    <d v="1993-01-28T00:00:00"/>
    <d v="2020-09-14T00:00:00"/>
    <x v="6"/>
    <s v="Mijozlar bilan ishlash mutaxassisi"/>
    <s v="Senior"/>
    <s v="Samarqand"/>
    <n v="8320000"/>
    <n v="3"/>
    <x v="3"/>
    <n v="27"/>
    <x v="2"/>
    <s v="Bakalavr"/>
    <x v="0"/>
    <m/>
    <x v="0"/>
    <n v="33"/>
    <n v="6.0424366872005475"/>
    <s v="Shahlo Ismoilova"/>
    <n v="0"/>
    <x v="0"/>
  </r>
  <r>
    <s v="EMP-0284"/>
    <s v="Otabek Qodirov"/>
    <s v="Erkak"/>
    <d v="1990-12-21T00:00:00"/>
    <d v="2015-07-10T00:00:00"/>
    <x v="2"/>
    <s v="Hudud menejeri"/>
    <s v="Middle"/>
    <s v="Toshkent"/>
    <n v="8290000"/>
    <n v="3"/>
    <x v="0"/>
    <n v="29"/>
    <x v="0"/>
    <s v="Bakalavr"/>
    <x v="0"/>
    <m/>
    <x v="0"/>
    <n v="35"/>
    <n v="11.225188227241615"/>
    <s v="Aziz Karimov"/>
    <n v="0"/>
    <x v="0"/>
  </r>
  <r>
    <s v="EMP-0662"/>
    <s v="Bobur Ismoilov"/>
    <s v="Erkak"/>
    <d v="1997-01-16T00:00:00"/>
    <d v="2021-09-20T00:00:00"/>
    <x v="6"/>
    <s v="Mijozlar bilan ishlash mutaxassisi"/>
    <s v="Senior"/>
    <s v="Toshkent"/>
    <n v="8290000"/>
    <n v="5"/>
    <x v="1"/>
    <n v="20"/>
    <x v="0"/>
    <s v="O'rta maxsus"/>
    <x v="0"/>
    <m/>
    <x v="0"/>
    <n v="29"/>
    <n v="5.0266940451745379"/>
    <s v="Shahlo Ismoilova"/>
    <n v="0"/>
    <x v="0"/>
  </r>
  <r>
    <s v="EMP-0198"/>
    <s v="Akmal Nazarov"/>
    <s v="Erkak"/>
    <d v="1983-10-06T00:00:00"/>
    <d v="2016-06-26T00:00:00"/>
    <x v="2"/>
    <s v="Savdo vakili"/>
    <s v="Middle"/>
    <s v="Toshkent"/>
    <n v="8260000"/>
    <n v="2"/>
    <x v="3"/>
    <n v="22"/>
    <x v="0"/>
    <s v="O'rta maxsus"/>
    <x v="0"/>
    <m/>
    <x v="0"/>
    <n v="42"/>
    <n v="10.261464750171116"/>
    <s v="Aziz Karimov"/>
    <n v="0"/>
    <x v="0"/>
  </r>
  <r>
    <s v="EMP-0634"/>
    <s v="Islom Tursunov"/>
    <s v="Erkak"/>
    <d v="1993-02-03T00:00:00"/>
    <d v="2026-03-01T00:00:00"/>
    <x v="6"/>
    <s v="Call-markaz operatori"/>
    <s v="Senior"/>
    <s v="Samarqand"/>
    <n v="8260000"/>
    <n v="4"/>
    <x v="0"/>
    <n v="31"/>
    <x v="1"/>
    <s v="Bakalavr"/>
    <x v="0"/>
    <m/>
    <x v="0"/>
    <n v="33"/>
    <n v="0.58316221765913756"/>
    <s v="Shahlo Ismoilova"/>
    <n v="0"/>
    <x v="2"/>
  </r>
  <r>
    <s v="EMP-0484"/>
    <s v="Kamola Karimova"/>
    <s v="Ayol"/>
    <d v="1993-05-14T00:00:00"/>
    <d v="2023-12-07T00:00:00"/>
    <x v="2"/>
    <s v="Sotuv menejeri"/>
    <s v="Middle"/>
    <s v="Toshkent"/>
    <n v="8250000"/>
    <n v="4"/>
    <x v="0"/>
    <n v="20"/>
    <x v="1"/>
    <s v="O'rta maxsus"/>
    <x v="0"/>
    <m/>
    <x v="0"/>
    <n v="33"/>
    <n v="2.8145106091718"/>
    <s v="Aziz Karimov"/>
    <n v="0"/>
    <x v="1"/>
  </r>
  <r>
    <s v="EMP-0519"/>
    <s v="Jahongir Saidov"/>
    <s v="Erkak"/>
    <d v="1994-09-16T00:00:00"/>
    <d v="2023-08-29T00:00:00"/>
    <x v="2"/>
    <s v="Sotuv menejeri"/>
    <s v="Middle"/>
    <s v="Buxoro"/>
    <n v="8250000"/>
    <n v="3"/>
    <x v="0"/>
    <n v="23"/>
    <x v="0"/>
    <s v="Magistr"/>
    <x v="0"/>
    <m/>
    <x v="0"/>
    <n v="32"/>
    <n v="3.0882956878850103"/>
    <s v="Aziz Karimov"/>
    <n v="0"/>
    <x v="0"/>
  </r>
  <r>
    <s v="EMP-0749"/>
    <s v="Jasur Hasanov"/>
    <s v="Erkak"/>
    <d v="2006-05-09T00:00:00"/>
    <d v="2026-07-23T00:00:00"/>
    <x v="4"/>
    <s v="HR menejer"/>
    <s v="Middle"/>
    <s v="Farg'ona"/>
    <n v="8240000"/>
    <n v="4"/>
    <x v="4"/>
    <n v="0"/>
    <x v="0"/>
    <s v="Magistr"/>
    <x v="0"/>
    <m/>
    <x v="0"/>
    <n v="20"/>
    <n v="0.18891170431211499"/>
    <s v="Nodira Tursunova"/>
    <n v="0"/>
    <x v="2"/>
  </r>
  <r>
    <s v="EMP-0062"/>
    <s v="Madina Normatova"/>
    <s v="Ayol"/>
    <d v="2003-06-28T00:00:00"/>
    <d v="2026-06-07T00:00:00"/>
    <x v="0"/>
    <s v="QA muhandisi"/>
    <s v="Middle"/>
    <s v="Toshkent"/>
    <n v="8210000"/>
    <n v="5"/>
    <x v="0"/>
    <n v="9"/>
    <x v="0"/>
    <s v="Magistr"/>
    <x v="0"/>
    <m/>
    <x v="0"/>
    <n v="23"/>
    <n v="0.31485284052019163"/>
    <s v="Jasur Yusupov"/>
    <n v="0"/>
    <x v="2"/>
  </r>
  <r>
    <s v="EMP-0635"/>
    <s v="Ulugbek Normatov"/>
    <s v="Erkak"/>
    <d v="1996-12-05T00:00:00"/>
    <d v="2018-05-04T00:00:00"/>
    <x v="2"/>
    <s v="Sotuv menejeri"/>
    <s v="Middle"/>
    <s v="Toshkent"/>
    <n v="8180000"/>
    <n v="2"/>
    <x v="0"/>
    <n v="4"/>
    <x v="0"/>
    <s v="Magistr"/>
    <x v="0"/>
    <m/>
    <x v="0"/>
    <n v="29"/>
    <n v="8.4079397672826826"/>
    <s v="Aziz Karimov"/>
    <n v="0"/>
    <x v="0"/>
  </r>
  <r>
    <s v="EMP-0683"/>
    <s v="Mohira Umarova"/>
    <s v="Ayol"/>
    <d v="1992-10-12T00:00:00"/>
    <d v="2020-09-19T00:00:00"/>
    <x v="2"/>
    <s v="Sotuv menejeri"/>
    <s v="Middle"/>
    <s v="Samarqand"/>
    <n v="8170000"/>
    <n v="3"/>
    <x v="2"/>
    <n v="23"/>
    <x v="1"/>
    <m/>
    <x v="0"/>
    <m/>
    <x v="0"/>
    <n v="33"/>
    <n v="6.0287474332648872"/>
    <s v="Aziz Karimov"/>
    <n v="0"/>
    <x v="0"/>
  </r>
  <r>
    <s v="EMP-0029"/>
    <s v="Sardor Ergashev"/>
    <s v="Erkak"/>
    <d v="1994-02-28T00:00:00"/>
    <d v="2019-11-03T00:00:00"/>
    <x v="1"/>
    <s v="Kontent menejer"/>
    <s v="Middle"/>
    <s v="Toshkent"/>
    <n v="8160000"/>
    <n v="3"/>
    <x v="0"/>
    <n v="4"/>
    <x v="0"/>
    <s v="O'rta maxsus"/>
    <x v="0"/>
    <m/>
    <x v="0"/>
    <n v="32"/>
    <n v="6.9075975359342916"/>
    <s v="Dilnoza Rahimova"/>
    <n v="0"/>
    <x v="0"/>
  </r>
  <r>
    <s v="EMP-0124"/>
    <s v="Timur Sobirov"/>
    <s v="Erkak"/>
    <d v="2001-12-12T00:00:00"/>
    <d v="2025-05-26T00:00:00"/>
    <x v="1"/>
    <s v="SMM mutaxassisi"/>
    <s v="Middle"/>
    <s v="Toshkent"/>
    <n v="8160000"/>
    <n v="1"/>
    <x v="0"/>
    <n v="15"/>
    <x v="1"/>
    <s v="Bakalavr"/>
    <x v="0"/>
    <m/>
    <x v="0"/>
    <n v="24"/>
    <n v="1.3470225872689938"/>
    <s v="Dilnoza Rahimova"/>
    <n v="0"/>
    <x v="1"/>
  </r>
  <r>
    <s v="EMP-0786"/>
    <s v="Sevara Qodirova"/>
    <s v="Ayol"/>
    <d v="1992-05-13T00:00:00"/>
    <d v="2022-10-08T00:00:00"/>
    <x v="0"/>
    <s v="QA muhandisi"/>
    <s v="Middle"/>
    <s v="Toshkent"/>
    <n v="8120000"/>
    <n v="5"/>
    <x v="3"/>
    <n v="21"/>
    <x v="0"/>
    <s v="Bakalavr"/>
    <x v="0"/>
    <m/>
    <x v="0"/>
    <n v="34"/>
    <n v="3.978097193702943"/>
    <s v="Jasur Yusupov"/>
    <n v="0"/>
    <x v="0"/>
  </r>
  <r>
    <s v="EMP-0173"/>
    <s v="Bobur Rahimov"/>
    <s v="Erkak"/>
    <d v="1976-09-14T00:00:00"/>
    <d v="2018-09-15T00:00:00"/>
    <x v="2"/>
    <s v="Sotuv menejeri"/>
    <s v="Middle"/>
    <s v="Toshkent"/>
    <n v="8080000"/>
    <n v="3"/>
    <x v="1"/>
    <n v="9"/>
    <x v="2"/>
    <s v="Magistr"/>
    <x v="0"/>
    <m/>
    <x v="0"/>
    <n v="50"/>
    <n v="8.0410677618069819"/>
    <s v="Aziz Karimov"/>
    <n v="0"/>
    <x v="0"/>
  </r>
  <r>
    <s v="EMP-0763"/>
    <s v="Shahlo Rahimova"/>
    <s v="Ayol"/>
    <d v="2004-07-22T00:00:00"/>
    <d v="2026-06-07T00:00:00"/>
    <x v="3"/>
    <s v="Buxgalter"/>
    <s v="Middle"/>
    <s v="Toshkent"/>
    <n v="8080000"/>
    <n v="3"/>
    <x v="0"/>
    <n v="13"/>
    <x v="2"/>
    <s v="O'rta maxsus"/>
    <x v="0"/>
    <m/>
    <x v="0"/>
    <n v="22"/>
    <n v="0.31485284052019163"/>
    <s v="Madina Abdullayeva"/>
    <n v="0"/>
    <x v="2"/>
  </r>
  <r>
    <s v="EMP-0098"/>
    <s v="Malika Tursunova"/>
    <s v="Ayol"/>
    <d v="1976-12-26T00:00:00"/>
    <d v="2024-08-15T00:00:00"/>
    <x v="6"/>
    <s v="Mijozlar bilan ishlash mutaxassisi"/>
    <s v="Senior"/>
    <s v="Toshkent"/>
    <n v="8070000"/>
    <n v="2"/>
    <x v="0"/>
    <n v="31"/>
    <x v="0"/>
    <s v="Bakalavr"/>
    <x v="0"/>
    <m/>
    <x v="0"/>
    <n v="49"/>
    <n v="2.1245722108145104"/>
    <s v="Shahlo Ismoilova"/>
    <n v="0"/>
    <x v="1"/>
  </r>
  <r>
    <s v="EMP-0308"/>
    <s v="Doniyor Sobirov"/>
    <s v="Erkak"/>
    <d v="1997-06-03T00:00:00"/>
    <d v="2025-08-29T00:00:00"/>
    <x v="5"/>
    <s v="Haydovchi-ekspeditor"/>
    <s v="Middle"/>
    <s v="Toshkent"/>
    <n v="8050000"/>
    <n v="3"/>
    <x v="0"/>
    <n v="22"/>
    <x v="2"/>
    <s v="O'rta maxsus"/>
    <x v="0"/>
    <m/>
    <x v="0"/>
    <n v="29"/>
    <n v="1.0869267624914443"/>
    <s v="Sardor Nazarov"/>
    <n v="0"/>
    <x v="1"/>
  </r>
  <r>
    <s v="EMP-0565"/>
    <s v="Kamola Ergasheva"/>
    <s v="Ayol"/>
    <d v="1995-09-26T00:00:00"/>
    <d v="2022-09-21T00:00:00"/>
    <x v="0"/>
    <s v="QA muhandisi"/>
    <s v="Middle"/>
    <s v="Toshkent"/>
    <n v="8050000"/>
    <n v="3"/>
    <x v="3"/>
    <n v="0"/>
    <x v="0"/>
    <s v="Bakalavr"/>
    <x v="0"/>
    <m/>
    <x v="0"/>
    <n v="31"/>
    <n v="4.0246406570841886"/>
    <s v="Jasur Yusupov"/>
    <n v="0"/>
    <x v="0"/>
  </r>
  <r>
    <s v="EMP-0738"/>
    <s v="Jahongir Umarov"/>
    <s v="Erkak"/>
    <d v="1984-02-02T00:00:00"/>
    <d v="2026-07-24T00:00:00"/>
    <x v="2"/>
    <s v="Hudud menejeri"/>
    <s v="Middle"/>
    <s v="Toshkent"/>
    <n v="8050000"/>
    <n v="2"/>
    <x v="0"/>
    <n v="28"/>
    <x v="0"/>
    <s v="O'rta maxsus"/>
    <x v="1"/>
    <d v="2026-09-22T00:00:00"/>
    <x v="1"/>
    <n v="42"/>
    <n v="0.16427104722792607"/>
    <s v="Aziz Karimov"/>
    <n v="1"/>
    <x v="2"/>
  </r>
  <r>
    <s v="EMP-0363"/>
    <s v="Shaxzod Normatov"/>
    <s v="Erkak"/>
    <d v="1971-12-07T00:00:00"/>
    <d v="2017-09-24T00:00:00"/>
    <x v="5"/>
    <s v="Haydovchi-ekspeditor"/>
    <s v="Middle"/>
    <s v="Buxoro"/>
    <n v="8030000"/>
    <n v="3"/>
    <x v="3"/>
    <n v="22"/>
    <x v="0"/>
    <s v="Bakalavr"/>
    <x v="0"/>
    <m/>
    <x v="0"/>
    <n v="54"/>
    <n v="9.0157426420260087"/>
    <s v="Sardor Nazarov"/>
    <n v="0"/>
    <x v="0"/>
  </r>
  <r>
    <s v="EMP-0767"/>
    <s v="Aziza Qodirova"/>
    <s v="Ayol"/>
    <d v="1999-01-03T00:00:00"/>
    <d v="2026-04-16T00:00:00"/>
    <x v="1"/>
    <s v="Marketolog"/>
    <s v="Middle"/>
    <s v="Andijon"/>
    <n v="8030000"/>
    <n v="4"/>
    <x v="1"/>
    <n v="20"/>
    <x v="1"/>
    <s v="Magistr"/>
    <x v="0"/>
    <m/>
    <x v="0"/>
    <n v="27"/>
    <n v="0.45722108145106094"/>
    <s v="Dilnoza Rahimova"/>
    <n v="0"/>
    <x v="2"/>
  </r>
  <r>
    <s v="EMP-0258"/>
    <s v="Rustam Tursunov"/>
    <s v="Erkak"/>
    <d v="1979-03-06T00:00:00"/>
    <d v="2025-05-29T00:00:00"/>
    <x v="2"/>
    <s v="Savdo vakili"/>
    <s v="Middle"/>
    <s v="Toshkent"/>
    <n v="8010000"/>
    <n v="5"/>
    <x v="0"/>
    <n v="15"/>
    <x v="0"/>
    <s v="Bakalavr"/>
    <x v="0"/>
    <m/>
    <x v="0"/>
    <n v="47"/>
    <n v="1.3388090349075976"/>
    <s v="Aziz Karimov"/>
    <n v="0"/>
    <x v="1"/>
  </r>
  <r>
    <s v="EMP-0587"/>
    <s v="Islom Abdullayev"/>
    <s v="Erkak"/>
    <d v="1993-07-04T00:00:00"/>
    <d v="2019-09-05T00:00:00"/>
    <x v="5"/>
    <s v="Haydovchi-ekspeditor"/>
    <s v="Middle"/>
    <s v="Toshkent"/>
    <n v="7990000"/>
    <n v="5"/>
    <x v="3"/>
    <n v="21"/>
    <x v="1"/>
    <s v="O'rta maxsus"/>
    <x v="0"/>
    <m/>
    <x v="0"/>
    <n v="33"/>
    <n v="7.0691307323750854"/>
    <s v="Sardor Nazarov"/>
    <n v="0"/>
    <x v="0"/>
  </r>
  <r>
    <s v="EMP-0188"/>
    <s v="Shahlo Ergasheva"/>
    <s v="Ayol"/>
    <d v="1989-10-15T00:00:00"/>
    <d v="2025-10-15T00:00:00"/>
    <x v="0"/>
    <s v="QA muhandisi"/>
    <s v="Middle"/>
    <s v="Toshkent"/>
    <n v="7980000"/>
    <n v="3"/>
    <x v="0"/>
    <n v="38"/>
    <x v="0"/>
    <s v="Bakalavr"/>
    <x v="0"/>
    <m/>
    <x v="0"/>
    <n v="36"/>
    <n v="0.95824777549623541"/>
    <s v="Jasur Yusupov"/>
    <n v="0"/>
    <x v="2"/>
  </r>
  <r>
    <s v="EMP-0717"/>
    <s v="Akmal Hasanov"/>
    <s v="Erkak"/>
    <d v="1990-04-19T00:00:00"/>
    <d v="2026-08-29T00:00:00"/>
    <x v="2"/>
    <s v="Savdo vakili"/>
    <s v="Middle"/>
    <s v="Toshkent"/>
    <n v="7960000"/>
    <n v="3"/>
    <x v="1"/>
    <n v="22"/>
    <x v="0"/>
    <s v="O'rta maxsus"/>
    <x v="0"/>
    <m/>
    <x v="0"/>
    <n v="36"/>
    <n v="8.761122518822724E-2"/>
    <s v="Aziz Karimov"/>
    <n v="0"/>
    <x v="2"/>
  </r>
  <r>
    <s v="EMP-0035"/>
    <s v="Nigora Saidova"/>
    <s v="Ayol"/>
    <d v="1993-12-14T00:00:00"/>
    <d v="2020-07-04T00:00:00"/>
    <x v="0"/>
    <s v="Dasturchi"/>
    <s v="Middle"/>
    <s v="Toshkent"/>
    <n v="7940000"/>
    <n v="5"/>
    <x v="1"/>
    <n v="15"/>
    <x v="0"/>
    <s v="Bakalavr"/>
    <x v="0"/>
    <m/>
    <x v="0"/>
    <n v="32"/>
    <n v="6.239561943874059"/>
    <s v="Jasur Yusupov"/>
    <n v="0"/>
    <x v="0"/>
  </r>
  <r>
    <s v="EMP-0074"/>
    <s v="Aziz Nazarov"/>
    <s v="Erkak"/>
    <d v="2002-03-16T00:00:00"/>
    <d v="2023-09-03T00:00:00"/>
    <x v="4"/>
    <s v="Rekruter"/>
    <s v="Middle"/>
    <s v="Andijon"/>
    <n v="7940000"/>
    <n v="5"/>
    <x v="1"/>
    <n v="12"/>
    <x v="0"/>
    <s v="Bakalavr"/>
    <x v="0"/>
    <m/>
    <x v="0"/>
    <n v="24"/>
    <n v="3.07460643394935"/>
    <s v="Nodira Tursunova"/>
    <n v="0"/>
    <x v="0"/>
  </r>
  <r>
    <s v="EMP-0650"/>
    <s v="Ulugbek Tursunov"/>
    <s v="Erkak"/>
    <d v="1992-05-02T00:00:00"/>
    <d v="2021-09-22T00:00:00"/>
    <x v="2"/>
    <s v="Sotuv menejeri"/>
    <s v="Middle"/>
    <s v="Toshkent"/>
    <n v="7940000"/>
    <n v="4"/>
    <x v="3"/>
    <n v="20"/>
    <x v="1"/>
    <s v="O'rta maxsus"/>
    <x v="0"/>
    <m/>
    <x v="0"/>
    <n v="34"/>
    <n v="5.0212183436002737"/>
    <s v="Aziz Karimov"/>
    <n v="0"/>
    <x v="0"/>
  </r>
  <r>
    <s v="EMP-0377"/>
    <s v="Dilfuza Ergasheva"/>
    <s v="Ayol"/>
    <d v="1992-06-05T00:00:00"/>
    <d v="2020-11-09T00:00:00"/>
    <x v="2"/>
    <s v="Hudud menejeri"/>
    <s v="Middle"/>
    <s v="Farg'ona"/>
    <n v="7900000"/>
    <n v="3"/>
    <x v="0"/>
    <n v="28"/>
    <x v="0"/>
    <s v="Bakalavr"/>
    <x v="0"/>
    <m/>
    <x v="0"/>
    <n v="34"/>
    <n v="5.8891170431211499"/>
    <s v="Aziz Karimov"/>
    <n v="0"/>
    <x v="0"/>
  </r>
  <r>
    <s v="EMP-0541"/>
    <s v="Nigora Abdullayeva"/>
    <s v="Ayol"/>
    <d v="1992-09-16T00:00:00"/>
    <d v="2022-10-28T00:00:00"/>
    <x v="4"/>
    <s v="HR menejer"/>
    <s v="Middle"/>
    <s v="Samarqand"/>
    <n v="7890000"/>
    <n v="4"/>
    <x v="0"/>
    <n v="0"/>
    <x v="0"/>
    <s v="O'rta maxsus"/>
    <x v="0"/>
    <m/>
    <x v="0"/>
    <n v="34"/>
    <n v="3.9233401779603012"/>
    <s v="Nodira Tursunova"/>
    <n v="0"/>
    <x v="0"/>
  </r>
  <r>
    <s v="EMP-0085"/>
    <s v="Zilola Abdullayeva"/>
    <s v="Ayol"/>
    <d v="1997-08-14T00:00:00"/>
    <d v="2022-07-13T00:00:00"/>
    <x v="5"/>
    <s v="Logist"/>
    <s v="Middle"/>
    <s v="Toshkent"/>
    <n v="7880000"/>
    <n v="4"/>
    <x v="4"/>
    <n v="13"/>
    <x v="1"/>
    <s v="Bakalavr"/>
    <x v="0"/>
    <m/>
    <x v="0"/>
    <n v="29"/>
    <n v="4.216290212183436"/>
    <s v="Sardor Nazarov"/>
    <n v="0"/>
    <x v="0"/>
  </r>
  <r>
    <s v="EMP-0476"/>
    <s v="Dilfuza Sobirova"/>
    <s v="Ayol"/>
    <d v="2006-01-25T00:00:00"/>
    <d v="2026-05-23T00:00:00"/>
    <x v="3"/>
    <s v="Buxgalter"/>
    <s v="Middle"/>
    <s v="Toshkent"/>
    <n v="7880000"/>
    <n v="3"/>
    <x v="0"/>
    <n v="10"/>
    <x v="0"/>
    <s v="Bakalavr"/>
    <x v="0"/>
    <m/>
    <x v="0"/>
    <n v="20"/>
    <n v="0.35592060232717315"/>
    <s v="Madina Abdullayeva"/>
    <n v="0"/>
    <x v="2"/>
  </r>
  <r>
    <s v="EMP-0558"/>
    <s v="Dilshod Ergashev"/>
    <s v="Erkak"/>
    <d v="1995-12-23T00:00:00"/>
    <d v="2025-02-06T00:00:00"/>
    <x v="2"/>
    <s v="Savdo vakili"/>
    <s v="Middle"/>
    <s v="Toshkent"/>
    <n v="7860000"/>
    <n v="4"/>
    <x v="1"/>
    <n v="20"/>
    <x v="2"/>
    <s v="Bakalavr"/>
    <x v="0"/>
    <m/>
    <x v="0"/>
    <n v="30"/>
    <n v="1.6454483230663928"/>
    <s v="Aziz Karimov"/>
    <n v="0"/>
    <x v="1"/>
  </r>
  <r>
    <s v="EMP-0537"/>
    <s v="Zilola Saidova"/>
    <s v="Ayol"/>
    <d v="1986-08-10T00:00:00"/>
    <d v="2021-04-02T00:00:00"/>
    <x v="2"/>
    <s v="Sotuv menejeri"/>
    <s v="Middle"/>
    <s v="Toshkent"/>
    <n v="7840000"/>
    <n v="2"/>
    <x v="4"/>
    <n v="9"/>
    <x v="0"/>
    <s v="Bakalavr"/>
    <x v="1"/>
    <d v="2025-02-19T00:00:00"/>
    <x v="7"/>
    <n v="40"/>
    <n v="3.8850102669404518"/>
    <s v="Aziz Karimov"/>
    <n v="1"/>
    <x v="0"/>
  </r>
  <r>
    <s v="EMP-0461"/>
    <s v="Gulnora Abdullayeva"/>
    <s v="Ayol"/>
    <d v="1997-05-22T00:00:00"/>
    <d v="2021-10-22T00:00:00"/>
    <x v="3"/>
    <s v="Kassir"/>
    <s v="Middle"/>
    <s v="Toshkent"/>
    <n v="7810000"/>
    <n v="4"/>
    <x v="0"/>
    <n v="23"/>
    <x v="2"/>
    <s v="O'rta maxsus"/>
    <x v="0"/>
    <m/>
    <x v="0"/>
    <n v="29"/>
    <n v="4.9390828199863108"/>
    <s v="Madina Abdullayeva"/>
    <n v="0"/>
    <x v="0"/>
  </r>
  <r>
    <s v="EMP-0543"/>
    <s v="Aziza Sobirova"/>
    <s v="Ayol"/>
    <d v="1991-11-09T00:00:00"/>
    <d v="2023-06-11T00:00:00"/>
    <x v="0"/>
    <s v="Dasturchi"/>
    <s v="Middle"/>
    <s v="Samarqand"/>
    <n v="7780000"/>
    <n v="4"/>
    <x v="3"/>
    <n v="10"/>
    <x v="0"/>
    <s v="Bakalavr"/>
    <x v="0"/>
    <m/>
    <x v="0"/>
    <n v="34"/>
    <n v="3.3045859000684463"/>
    <s v="Jasur Yusupov"/>
    <n v="0"/>
    <x v="0"/>
  </r>
  <r>
    <s v="EMP-0283"/>
    <s v="Behruz Hasanov"/>
    <s v="Erkak"/>
    <d v="1994-09-20T00:00:00"/>
    <d v="2023-02-15T00:00:00"/>
    <x v="5"/>
    <s v="Logist"/>
    <s v="Middle"/>
    <s v="Toshkent"/>
    <n v="7740000"/>
    <n v="1"/>
    <x v="3"/>
    <n v="8"/>
    <x v="2"/>
    <s v="Magistr"/>
    <x v="0"/>
    <m/>
    <x v="0"/>
    <n v="32"/>
    <n v="3.6221765913757702"/>
    <s v="Sardor Nazarov"/>
    <n v="0"/>
    <x v="0"/>
  </r>
  <r>
    <s v="EMP-0359"/>
    <s v="Shaxzod Hasanov"/>
    <s v="Erkak"/>
    <d v="1995-06-07T00:00:00"/>
    <d v="2025-02-19T00:00:00"/>
    <x v="1"/>
    <s v="SMM mutaxassisi"/>
    <s v="Middle"/>
    <s v="Toshkent"/>
    <n v="7730000"/>
    <n v="4"/>
    <x v="1"/>
    <n v="12"/>
    <x v="0"/>
    <s v="Bakalavr"/>
    <x v="0"/>
    <m/>
    <x v="0"/>
    <n v="31"/>
    <n v="1.6098562628336757"/>
    <s v="Dilnoza Rahimova"/>
    <n v="0"/>
    <x v="1"/>
  </r>
  <r>
    <s v="EMP-0512"/>
    <s v="Feruza Nazarova"/>
    <s v="Ayol"/>
    <d v="2006-02-14T00:00:00"/>
    <d v="2026-04-05T00:00:00"/>
    <x v="2"/>
    <s v="Sotuv menejeri"/>
    <s v="Middle"/>
    <s v="Samarqand"/>
    <n v="7730000"/>
    <n v="4"/>
    <x v="0"/>
    <n v="20"/>
    <x v="0"/>
    <s v="Bakalavr"/>
    <x v="1"/>
    <d v="2026-09-08T00:00:00"/>
    <x v="4"/>
    <n v="20"/>
    <n v="0.4271047227926078"/>
    <s v="Aziz Karimov"/>
    <n v="1"/>
    <x v="2"/>
  </r>
  <r>
    <s v="EMP-0685"/>
    <s v="Dilshod Abdullayev"/>
    <s v="Erkak"/>
    <d v="1976-08-03T00:00:00"/>
    <d v="2019-01-15T00:00:00"/>
    <x v="3"/>
    <s v="Kassir"/>
    <s v="Middle"/>
    <s v="Farg'ona"/>
    <n v="7730000"/>
    <n v="2"/>
    <x v="1"/>
    <n v="25"/>
    <x v="0"/>
    <s v="O'rta maxsus"/>
    <x v="0"/>
    <m/>
    <x v="0"/>
    <n v="50"/>
    <n v="7.7070499657768652"/>
    <s v="Madina Abdullayeva"/>
    <n v="0"/>
    <x v="0"/>
  </r>
  <r>
    <s v="EMP-0069"/>
    <s v="Sardor Umarov"/>
    <s v="Erkak"/>
    <d v="1998-04-27T00:00:00"/>
    <d v="2022-07-30T00:00:00"/>
    <x v="5"/>
    <s v="Logist"/>
    <s v="Middle"/>
    <s v="Farg'ona"/>
    <n v="7720000"/>
    <n v="3"/>
    <x v="1"/>
    <n v="21"/>
    <x v="1"/>
    <s v="Bakalavr"/>
    <x v="0"/>
    <m/>
    <x v="0"/>
    <n v="28"/>
    <n v="4.16974674880219"/>
    <s v="Sardor Nazarov"/>
    <n v="0"/>
    <x v="0"/>
  </r>
  <r>
    <s v="EMP-0663"/>
    <s v="Sardor Ergashev"/>
    <s v="Erkak"/>
    <d v="1980-04-17T00:00:00"/>
    <d v="2023-07-04T00:00:00"/>
    <x v="2"/>
    <s v="Savdo vakili"/>
    <s v="Middle"/>
    <s v="Namangan"/>
    <n v="7710000"/>
    <n v="3"/>
    <x v="4"/>
    <n v="12"/>
    <x v="0"/>
    <s v="Bakalavr"/>
    <x v="1"/>
    <d v="2025-09-16T00:00:00"/>
    <x v="3"/>
    <n v="46"/>
    <n v="2.2039698836413417"/>
    <s v="Aziz Karimov"/>
    <n v="1"/>
    <x v="1"/>
  </r>
  <r>
    <s v="EMP-0206"/>
    <s v="Madina Saidova"/>
    <s v="Ayol"/>
    <d v="1999-05-12T00:00:00"/>
    <d v="2023-05-31T00:00:00"/>
    <x v="1"/>
    <s v="Kontent menejer"/>
    <s v="Middle"/>
    <s v="Qarshi"/>
    <n v="7690000"/>
    <n v="4"/>
    <x v="2"/>
    <n v="4"/>
    <x v="0"/>
    <s v="O'rta maxsus"/>
    <x v="0"/>
    <m/>
    <x v="0"/>
    <n v="27"/>
    <n v="3.3347022587268995"/>
    <s v="Dilnoza Rahimova"/>
    <n v="0"/>
    <x v="0"/>
  </r>
  <r>
    <s v="EMP-0449"/>
    <s v="Nodira Umarova"/>
    <s v="Ayol"/>
    <d v="1996-11-28T00:00:00"/>
    <d v="2018-12-20T00:00:00"/>
    <x v="5"/>
    <s v="Logist"/>
    <s v="Middle"/>
    <s v="Namangan"/>
    <n v="7690000"/>
    <n v="4"/>
    <x v="2"/>
    <n v="19"/>
    <x v="1"/>
    <s v="Bakalavr"/>
    <x v="0"/>
    <m/>
    <x v="0"/>
    <n v="29"/>
    <n v="7.7782340862422998"/>
    <s v="Sardor Nazarov"/>
    <n v="0"/>
    <x v="0"/>
  </r>
  <r>
    <s v="EMP-0545"/>
    <s v="Aziz Yusupov"/>
    <s v="Erkak"/>
    <d v="1984-08-26T00:00:00"/>
    <d v="2026-08-13T00:00:00"/>
    <x v="2"/>
    <s v="Hudud menejeri"/>
    <s v="Middle"/>
    <s v="Toshkent"/>
    <n v="7680000"/>
    <n v="5"/>
    <x v="2"/>
    <n v="2"/>
    <x v="2"/>
    <s v="Magistr"/>
    <x v="0"/>
    <m/>
    <x v="0"/>
    <n v="42"/>
    <n v="0.13141683778234087"/>
    <s v="Aziz Karimov"/>
    <n v="0"/>
    <x v="2"/>
  </r>
  <r>
    <s v="EMP-0218"/>
    <s v="Aziz Normatov"/>
    <s v="Erkak"/>
    <d v="2001-02-21T00:00:00"/>
    <d v="2024-04-28T00:00:00"/>
    <x v="1"/>
    <s v="Marketolog"/>
    <s v="Middle"/>
    <s v="Farg'ona"/>
    <n v="7660000"/>
    <n v="4"/>
    <x v="1"/>
    <n v="11"/>
    <x v="1"/>
    <s v="Magistr"/>
    <x v="0"/>
    <m/>
    <x v="0"/>
    <n v="25"/>
    <n v="2.4229979466119098"/>
    <s v="Dilnoza Rahimova"/>
    <n v="0"/>
    <x v="1"/>
  </r>
  <r>
    <s v="EMP-0104"/>
    <s v="Madina Ergasheva"/>
    <s v="Ayol"/>
    <d v="1988-10-08T00:00:00"/>
    <d v="2019-03-17T00:00:00"/>
    <x v="5"/>
    <s v="Haydovchi-ekspeditor"/>
    <s v="Middle"/>
    <s v="Namangan"/>
    <n v="7630000"/>
    <n v="3"/>
    <x v="1"/>
    <n v="13"/>
    <x v="0"/>
    <s v="O'rta maxsus"/>
    <x v="0"/>
    <m/>
    <x v="0"/>
    <n v="37"/>
    <n v="7.5400410677618073"/>
    <s v="Sardor Nazarov"/>
    <n v="0"/>
    <x v="0"/>
  </r>
  <r>
    <s v="EMP-0548"/>
    <s v="Madina Nazarova"/>
    <s v="Ayol"/>
    <d v="2006-07-18T00:00:00"/>
    <d v="2026-08-28T00:00:00"/>
    <x v="5"/>
    <s v="Haydovchi-ekspeditor"/>
    <s v="Middle"/>
    <s v="Farg'ona"/>
    <n v="7610000"/>
    <n v="3"/>
    <x v="1"/>
    <n v="4"/>
    <x v="0"/>
    <s v="Bakalavr"/>
    <x v="0"/>
    <m/>
    <x v="0"/>
    <n v="20"/>
    <n v="9.034907597535935E-2"/>
    <s v="Sardor Nazarov"/>
    <n v="0"/>
    <x v="2"/>
  </r>
  <r>
    <s v="EMP-0403"/>
    <s v="Mohira Sobirova"/>
    <s v="Ayol"/>
    <d v="1990-01-21T00:00:00"/>
    <d v="2017-09-21T00:00:00"/>
    <x v="3"/>
    <s v="Buxgalter"/>
    <s v="Middle"/>
    <s v="Samarqand"/>
    <n v="7590000"/>
    <n v="3"/>
    <x v="0"/>
    <n v="3"/>
    <x v="2"/>
    <s v="Bakalavr"/>
    <x v="0"/>
    <m/>
    <x v="0"/>
    <n v="36"/>
    <n v="9.0239561943874058"/>
    <s v="Madina Abdullayeva"/>
    <n v="0"/>
    <x v="0"/>
  </r>
  <r>
    <s v="EMP-0621"/>
    <s v="Dilnoza Ismoilova"/>
    <s v="Ayol"/>
    <d v="1989-01-09T00:00:00"/>
    <d v="2024-02-03T00:00:00"/>
    <x v="2"/>
    <s v="Savdo vakili"/>
    <s v="Middle"/>
    <s v="Toshkent"/>
    <n v="7590000"/>
    <n v="3"/>
    <x v="0"/>
    <n v="31"/>
    <x v="0"/>
    <s v="O'rta maxsus"/>
    <x v="0"/>
    <m/>
    <x v="0"/>
    <n v="37"/>
    <n v="2.6557152635181382"/>
    <s v="Aziz Karimov"/>
    <n v="0"/>
    <x v="1"/>
  </r>
  <r>
    <s v="EMP-0070"/>
    <s v="Aziza Saidova"/>
    <s v="Ayol"/>
    <d v="1998-07-24T00:00:00"/>
    <d v="2023-03-04T00:00:00"/>
    <x v="2"/>
    <s v="Savdo vakili"/>
    <s v="Middle"/>
    <s v="Toshkent"/>
    <n v="7550000"/>
    <n v="4"/>
    <x v="1"/>
    <n v="0"/>
    <x v="0"/>
    <s v="O'rta maxsus"/>
    <x v="1"/>
    <d v="2025-06-15T00:00:00"/>
    <x v="7"/>
    <n v="28"/>
    <n v="2.2833675564681726"/>
    <s v="Aziz Karimov"/>
    <n v="1"/>
    <x v="1"/>
  </r>
  <r>
    <s v="EMP-0142"/>
    <s v="Jasur Yusupov"/>
    <s v="Erkak"/>
    <d v="1998-04-21T00:00:00"/>
    <d v="2023-09-22T00:00:00"/>
    <x v="1"/>
    <s v="Marketolog"/>
    <s v="Middle"/>
    <s v="Toshkent"/>
    <n v="7550000"/>
    <n v="4"/>
    <x v="4"/>
    <n v="20"/>
    <x v="2"/>
    <s v="Bakalavr"/>
    <x v="1"/>
    <d v="2025-12-26T00:00:00"/>
    <x v="4"/>
    <n v="28"/>
    <n v="2.2614647501711156"/>
    <s v="Dilnoza Rahimova"/>
    <n v="1"/>
    <x v="1"/>
  </r>
  <r>
    <s v="EMP-0636"/>
    <s v="Aziza Qodirova"/>
    <s v="Ayol"/>
    <d v="1987-04-13T00:00:00"/>
    <d v="2023-11-30T00:00:00"/>
    <x v="4"/>
    <s v="Rekruter"/>
    <s v="Middle"/>
    <s v="Toshkent"/>
    <n v="7430000"/>
    <n v="3"/>
    <x v="0"/>
    <n v="15"/>
    <x v="2"/>
    <s v="Bakalavr"/>
    <x v="0"/>
    <m/>
    <x v="0"/>
    <n v="39"/>
    <n v="2.8336755646817249"/>
    <s v="Nodira Tursunova"/>
    <n v="0"/>
    <x v="1"/>
  </r>
  <r>
    <s v="EMP-0364"/>
    <s v="Zilola Ismoilova"/>
    <s v="Ayol"/>
    <d v="1991-09-04T00:00:00"/>
    <d v="2026-03-18T00:00:00"/>
    <x v="4"/>
    <s v="Rekruter"/>
    <s v="Middle"/>
    <s v="Samarqand"/>
    <n v="7420000"/>
    <n v="4"/>
    <x v="0"/>
    <n v="14"/>
    <x v="0"/>
    <s v="Magistr"/>
    <x v="0"/>
    <m/>
    <x v="0"/>
    <n v="35"/>
    <n v="0.53661875427789185"/>
    <s v="Nodira Tursunova"/>
    <n v="0"/>
    <x v="2"/>
  </r>
  <r>
    <s v="EMP-0651"/>
    <s v="Zilola Saidova"/>
    <s v="Ayol"/>
    <d v="1994-10-21T00:00:00"/>
    <d v="2022-11-01T00:00:00"/>
    <x v="1"/>
    <s v="Kontent menejer"/>
    <s v="Middle"/>
    <s v="Buxoro"/>
    <n v="7410000"/>
    <n v="4"/>
    <x v="4"/>
    <n v="9"/>
    <x v="1"/>
    <s v="O'rta maxsus"/>
    <x v="1"/>
    <d v="2025-07-09T00:00:00"/>
    <x v="7"/>
    <n v="31"/>
    <n v="2.6858316221765914"/>
    <s v="Dilnoza Rahimova"/>
    <n v="1"/>
    <x v="1"/>
  </r>
  <r>
    <s v="EMP-0782"/>
    <s v="Sherzod Karimov"/>
    <s v="Erkak"/>
    <d v="1988-05-24T00:00:00"/>
    <d v="2023-06-28T00:00:00"/>
    <x v="5"/>
    <s v="Ombor mudiri"/>
    <s v="Middle"/>
    <s v="Farg'ona"/>
    <n v="7380000"/>
    <n v="3"/>
    <x v="4"/>
    <n v="4"/>
    <x v="2"/>
    <s v="O'rta maxsus"/>
    <x v="0"/>
    <m/>
    <x v="0"/>
    <n v="38"/>
    <n v="3.2580424366872007"/>
    <s v="Sardor Nazarov"/>
    <n v="0"/>
    <x v="0"/>
  </r>
  <r>
    <s v="EMP-0149"/>
    <s v="Doniyor Normatov"/>
    <s v="Erkak"/>
    <d v="1999-04-16T00:00:00"/>
    <d v="2023-09-19T00:00:00"/>
    <x v="2"/>
    <s v="Savdo vakili"/>
    <s v="Middle"/>
    <s v="Farg'ona"/>
    <n v="7370000"/>
    <n v="4"/>
    <x v="1"/>
    <n v="14"/>
    <x v="1"/>
    <s v="O'rta maxsus"/>
    <x v="0"/>
    <m/>
    <x v="0"/>
    <n v="27"/>
    <n v="3.030800821355236"/>
    <s v="Aziz Karimov"/>
    <n v="0"/>
    <x v="0"/>
  </r>
  <r>
    <s v="EMP-0610"/>
    <s v="Feruza Hasanova"/>
    <s v="Ayol"/>
    <d v="1981-09-10T00:00:00"/>
    <d v="2021-12-29T00:00:00"/>
    <x v="1"/>
    <s v="Kontent menejer"/>
    <s v="Middle"/>
    <s v="Buxoro"/>
    <n v="7360000"/>
    <n v="3"/>
    <x v="3"/>
    <n v="9"/>
    <x v="2"/>
    <s v="Bakalavr"/>
    <x v="0"/>
    <m/>
    <x v="0"/>
    <n v="45"/>
    <n v="4.7529089664613275"/>
    <s v="Dilnoza Rahimova"/>
    <n v="0"/>
    <x v="0"/>
  </r>
  <r>
    <s v="EMP-0571"/>
    <s v="Jahongir Mirzayev"/>
    <s v="Erkak"/>
    <d v="1996-02-27T00:00:00"/>
    <d v="2021-04-16T00:00:00"/>
    <x v="5"/>
    <s v="Haydovchi-ekspeditor"/>
    <s v="Middle"/>
    <s v="Farg'ona"/>
    <n v="7350000"/>
    <n v="3"/>
    <x v="3"/>
    <n v="23"/>
    <x v="2"/>
    <s v="Bakalavr"/>
    <x v="0"/>
    <m/>
    <x v="0"/>
    <n v="30"/>
    <n v="5.4565366187542779"/>
    <s v="Sardor Nazarov"/>
    <n v="0"/>
    <x v="0"/>
  </r>
  <r>
    <s v="EMP-0598"/>
    <s v="Behruz Hasanov"/>
    <s v="Erkak"/>
    <d v="1987-06-24T00:00:00"/>
    <d v="2018-02-25T00:00:00"/>
    <x v="3"/>
    <s v="Kassir"/>
    <s v="Middle"/>
    <s v="Toshkent"/>
    <n v="7340000"/>
    <n v="3"/>
    <x v="3"/>
    <n v="21"/>
    <x v="2"/>
    <s v="O'rta maxsus"/>
    <x v="0"/>
    <m/>
    <x v="0"/>
    <n v="39"/>
    <n v="8.5941136208076667"/>
    <s v="Madina Abdullayeva"/>
    <n v="0"/>
    <x v="0"/>
  </r>
  <r>
    <s v="EMP-0011"/>
    <s v="Ulugbek Hasanov"/>
    <s v="Erkak"/>
    <d v="1991-04-26T00:00:00"/>
    <d v="2019-10-15T00:00:00"/>
    <x v="2"/>
    <s v="Savdo vakili"/>
    <s v="Middle"/>
    <s v="Toshkent"/>
    <n v="7310000"/>
    <n v="3"/>
    <x v="4"/>
    <n v="30"/>
    <x v="2"/>
    <s v="Bakalavr"/>
    <x v="0"/>
    <m/>
    <x v="0"/>
    <n v="35"/>
    <n v="6.9596167008898018"/>
    <s v="Aziz Karimov"/>
    <n v="0"/>
    <x v="0"/>
  </r>
  <r>
    <s v="EMP-0132"/>
    <s v="Malika Ismoilova"/>
    <s v="Ayol"/>
    <d v="2006-08-03T00:00:00"/>
    <d v="2026-08-21T00:00:00"/>
    <x v="1"/>
    <s v="SMM mutaxassisi"/>
    <s v="Middle"/>
    <s v="Toshkent"/>
    <n v="7290000"/>
    <n v="3"/>
    <x v="0"/>
    <n v="0"/>
    <x v="0"/>
    <s v="O'rta maxsus"/>
    <x v="0"/>
    <m/>
    <x v="0"/>
    <n v="20"/>
    <n v="0.10951403148528405"/>
    <s v="Dilnoza Rahimova"/>
    <n v="0"/>
    <x v="2"/>
  </r>
  <r>
    <s v="EMP-0689"/>
    <s v="Dilfuza Tursunova"/>
    <s v="Ayol"/>
    <d v="1993-12-24T00:00:00"/>
    <d v="2022-02-19T00:00:00"/>
    <x v="1"/>
    <s v="Kontent menejer"/>
    <s v="Middle"/>
    <s v="Toshkent"/>
    <n v="7290000"/>
    <n v="3"/>
    <x v="1"/>
    <n v="21"/>
    <x v="1"/>
    <m/>
    <x v="0"/>
    <m/>
    <x v="0"/>
    <n v="32"/>
    <n v="4.6105407255304582"/>
    <s v="Dilnoza Rahimova"/>
    <n v="0"/>
    <x v="0"/>
  </r>
  <r>
    <s v="EMP-0482"/>
    <s v="Doniyor Ismoilov"/>
    <s v="Erkak"/>
    <d v="1983-06-19T00:00:00"/>
    <d v="2021-09-25T00:00:00"/>
    <x v="2"/>
    <s v="Hudud menejeri"/>
    <s v="Middle"/>
    <s v="Buxoro"/>
    <n v="7250000"/>
    <m/>
    <x v="1"/>
    <n v="5"/>
    <x v="0"/>
    <s v="Bakalavr"/>
    <x v="1"/>
    <d v="2025-12-14T00:00:00"/>
    <x v="4"/>
    <n v="43"/>
    <n v="4.2190280629705681"/>
    <s v="Aziz Karimov"/>
    <n v="1"/>
    <x v="0"/>
  </r>
  <r>
    <s v="EMP-0751"/>
    <s v="Sevara Yusupova"/>
    <s v="Ayol"/>
    <d v="1988-01-18T00:00:00"/>
    <d v="2018-03-16T00:00:00"/>
    <x v="2"/>
    <s v="Sotuv menejeri"/>
    <s v="Middle"/>
    <s v="Toshkent"/>
    <n v="7230000"/>
    <n v="4"/>
    <x v="4"/>
    <n v="22"/>
    <x v="0"/>
    <s v="Magistr"/>
    <x v="0"/>
    <m/>
    <x v="0"/>
    <n v="38"/>
    <n v="8.5420944558521565"/>
    <s v="Aziz Karimov"/>
    <n v="0"/>
    <x v="0"/>
  </r>
  <r>
    <s v="EMP-0012"/>
    <s v="Feruza Normatova"/>
    <s v="Ayol"/>
    <d v="1974-06-03T00:00:00"/>
    <d v="2021-01-30T00:00:00"/>
    <x v="2"/>
    <s v="Sotuv menejeri"/>
    <s v="Middle"/>
    <s v="Farg'ona"/>
    <n v="7190000"/>
    <n v="5"/>
    <x v="0"/>
    <n v="0"/>
    <x v="0"/>
    <s v="O'rta maxsus"/>
    <x v="0"/>
    <m/>
    <x v="0"/>
    <n v="52"/>
    <n v="5.6646132785763177"/>
    <s v="Aziz Karimov"/>
    <n v="0"/>
    <x v="0"/>
  </r>
  <r>
    <s v="EMP-0140"/>
    <s v="Jahongir Hasanov"/>
    <s v="Erkak"/>
    <d v="1984-04-25T00:00:00"/>
    <d v="2024-10-07T00:00:00"/>
    <x v="6"/>
    <s v="Call-markaz operatori"/>
    <s v="Middle"/>
    <s v="Toshkent"/>
    <n v="7190000"/>
    <n v="4"/>
    <x v="1"/>
    <n v="31"/>
    <x v="0"/>
    <s v="Magistr"/>
    <x v="0"/>
    <m/>
    <x v="0"/>
    <n v="42"/>
    <n v="1.9794661190965093"/>
    <s v="Shahlo Ismoilova"/>
    <n v="0"/>
    <x v="1"/>
  </r>
  <r>
    <s v="EMP-0783"/>
    <s v="Kamola Abdullayeva"/>
    <s v="Ayol"/>
    <d v="1985-11-02T00:00:00"/>
    <d v="2024-02-25T00:00:00"/>
    <x v="1"/>
    <s v="SMM mutaxassisi"/>
    <s v="Middle"/>
    <s v="Toshkent"/>
    <n v="7190000"/>
    <n v="2"/>
    <x v="2"/>
    <n v="7"/>
    <x v="0"/>
    <s v="Bakalavr"/>
    <x v="0"/>
    <m/>
    <x v="0"/>
    <n v="40"/>
    <n v="2.5954825462012319"/>
    <s v="Dilnoza Rahimova"/>
    <n v="0"/>
    <x v="1"/>
  </r>
  <r>
    <s v="EMP-0624"/>
    <s v="Bobur Qodirov"/>
    <s v="Erkak"/>
    <d v="1987-09-12T00:00:00"/>
    <d v="2021-10-11T00:00:00"/>
    <x v="1"/>
    <s v="Marketolog"/>
    <s v="Middle"/>
    <s v="Toshkent"/>
    <n v="7180000"/>
    <n v="2"/>
    <x v="1"/>
    <n v="20"/>
    <x v="2"/>
    <s v="Magistr"/>
    <x v="0"/>
    <m/>
    <x v="0"/>
    <n v="39"/>
    <n v="4.9691991786447636"/>
    <s v="Dilnoza Rahimova"/>
    <n v="0"/>
    <x v="0"/>
  </r>
  <r>
    <s v="EMP-0686"/>
    <s v="Madina Qodirova"/>
    <s v="Ayol"/>
    <d v="1997-06-15T00:00:00"/>
    <d v="2022-03-11T00:00:00"/>
    <x v="6"/>
    <s v="Call-markaz operatori"/>
    <s v="Middle"/>
    <s v="Samarqand"/>
    <n v="7180000"/>
    <n v="4"/>
    <x v="1"/>
    <n v="13"/>
    <x v="0"/>
    <s v="Bakalavr"/>
    <x v="0"/>
    <m/>
    <x v="0"/>
    <n v="29"/>
    <n v="4.5557837097878169"/>
    <s v="Shahlo Ismoilova"/>
    <n v="0"/>
    <x v="0"/>
  </r>
  <r>
    <s v="EMP-0708"/>
    <s v="Nodira Tursunova"/>
    <s v="Ayol"/>
    <d v="2006-09-26T00:00:00"/>
    <d v="2026-09-05T00:00:00"/>
    <x v="5"/>
    <s v="Ombor mudiri"/>
    <s v="Middle"/>
    <s v="Toshkent"/>
    <n v="7160000"/>
    <n v="3"/>
    <x v="3"/>
    <n v="15"/>
    <x v="0"/>
    <s v="O'rta maxsus"/>
    <x v="0"/>
    <m/>
    <x v="0"/>
    <n v="20"/>
    <n v="6.8446269678302529E-2"/>
    <s v="Sardor Nazarov"/>
    <n v="0"/>
    <x v="2"/>
  </r>
  <r>
    <s v="EMP-0493"/>
    <s v="Aziza Ismoilova"/>
    <s v="Ayol"/>
    <d v="1997-06-23T00:00:00"/>
    <d v="2022-05-14T00:00:00"/>
    <x v="2"/>
    <s v="Hudud menejeri"/>
    <s v="Middle"/>
    <s v="Toshkent"/>
    <n v="7120000"/>
    <n v="4"/>
    <x v="2"/>
    <n v="19"/>
    <x v="2"/>
    <s v="O'rta maxsus"/>
    <x v="0"/>
    <m/>
    <x v="0"/>
    <n v="29"/>
    <n v="4.3805612594113619"/>
    <s v="Aziz Karimov"/>
    <n v="0"/>
    <x v="0"/>
  </r>
  <r>
    <s v="EMP-0494"/>
    <s v="Ulugbek Nazarov"/>
    <s v="Erkak"/>
    <d v="1985-08-05T00:00:00"/>
    <d v="2020-01-15T00:00:00"/>
    <x v="5"/>
    <s v="Haydovchi-ekspeditor"/>
    <s v="Middle"/>
    <s v="Toshkent"/>
    <n v="7110000"/>
    <n v="3"/>
    <x v="4"/>
    <n v="7"/>
    <x v="2"/>
    <s v="Bakalavr"/>
    <x v="0"/>
    <m/>
    <x v="0"/>
    <n v="41"/>
    <n v="6.707734428473648"/>
    <s v="Sardor Nazarov"/>
    <n v="0"/>
    <x v="0"/>
  </r>
  <r>
    <s v="EMP-0695"/>
    <s v="Dilfuza Hasanova"/>
    <s v="Ayol"/>
    <d v="1985-10-04T00:00:00"/>
    <d v="2021-05-10T00:00:00"/>
    <x v="1"/>
    <s v="Kontent menejer"/>
    <s v="Middle"/>
    <s v="Farg'ona"/>
    <n v="7090000"/>
    <n v="1"/>
    <x v="0"/>
    <n v="11"/>
    <x v="0"/>
    <s v="Bakalavr"/>
    <x v="0"/>
    <m/>
    <x v="0"/>
    <n v="40"/>
    <n v="5.3908281998631074"/>
    <s v="Dilnoza Rahimova"/>
    <n v="0"/>
    <x v="0"/>
  </r>
  <r>
    <s v="EMP-0126"/>
    <s v="Nigora Mirzayeva"/>
    <s v="Ayol"/>
    <d v="1985-09-24T00:00:00"/>
    <d v="2016-09-16T00:00:00"/>
    <x v="5"/>
    <s v="Ombor mudiri"/>
    <s v="Middle"/>
    <s v="Buxoro"/>
    <n v="7080000"/>
    <n v="3"/>
    <x v="4"/>
    <n v="12"/>
    <x v="0"/>
    <s v="Magistr"/>
    <x v="1"/>
    <d v="2026-01-19T00:00:00"/>
    <x v="4"/>
    <n v="41"/>
    <n v="9.3415468856947292"/>
    <s v="Sardor Nazarov"/>
    <n v="1"/>
    <x v="0"/>
  </r>
  <r>
    <s v="EMP-0447"/>
    <s v="Dilshod Rahimov"/>
    <s v="Erkak"/>
    <d v="1999-07-20T00:00:00"/>
    <d v="2020-07-02T00:00:00"/>
    <x v="2"/>
    <s v="Hudud menejeri"/>
    <s v="Middle"/>
    <s v="Toshkent"/>
    <n v="7080000"/>
    <n v="4"/>
    <x v="0"/>
    <n v="18"/>
    <x v="0"/>
    <s v="Bakalavr"/>
    <x v="0"/>
    <m/>
    <x v="0"/>
    <n v="27"/>
    <n v="6.2450376454483232"/>
    <s v="Aziz Karimov"/>
    <n v="0"/>
    <x v="0"/>
  </r>
  <r>
    <s v="EMP-0141"/>
    <s v="Nigora Karimova"/>
    <s v="Ayol"/>
    <d v="1996-11-17T00:00:00"/>
    <d v="2020-06-22T00:00:00"/>
    <x v="6"/>
    <s v="Call-markaz operatori"/>
    <s v="Middle"/>
    <s v="Buxoro"/>
    <n v="7070000"/>
    <n v="4"/>
    <x v="0"/>
    <n v="7"/>
    <x v="0"/>
    <s v="Bakalavr"/>
    <x v="0"/>
    <m/>
    <x v="0"/>
    <n v="29"/>
    <n v="6.2724161533196439"/>
    <s v="Shahlo Ismoilova"/>
    <n v="0"/>
    <x v="0"/>
  </r>
  <r>
    <s v="EMP-0796"/>
    <s v="Timur Ergashev"/>
    <s v="Erkak"/>
    <d v="1999-06-01T00:00:00"/>
    <d v="2026-07-04T00:00:00"/>
    <x v="2"/>
    <s v="Savdo vakili"/>
    <s v="Middle"/>
    <s v="Toshkent"/>
    <n v="7050000"/>
    <n v="3"/>
    <x v="3"/>
    <n v="9"/>
    <x v="2"/>
    <s v="O'rta maxsus"/>
    <x v="1"/>
    <d v="2026-09-24T00:00:00"/>
    <x v="2"/>
    <n v="27"/>
    <n v="0.22450376454483231"/>
    <s v="Aziz Karimov"/>
    <n v="1"/>
    <x v="2"/>
  </r>
  <r>
    <s v="EMP-0131"/>
    <s v="Sardor Nazarov"/>
    <s v="Erkak"/>
    <d v="1990-01-02T00:00:00"/>
    <d v="2026-05-18T00:00:00"/>
    <x v="2"/>
    <s v="Savdo vakili"/>
    <s v="Middle"/>
    <s v="Toshkent"/>
    <n v="7040000"/>
    <n v="4"/>
    <x v="1"/>
    <n v="25"/>
    <x v="0"/>
    <s v="O'rta maxsus"/>
    <x v="0"/>
    <m/>
    <x v="0"/>
    <n v="36"/>
    <n v="0.36960985626283366"/>
    <s v="Aziz Karimov"/>
    <n v="0"/>
    <x v="2"/>
  </r>
  <r>
    <s v="EMP-0502"/>
    <s v="Akmal Ismoilov"/>
    <s v="Erkak"/>
    <d v="1994-02-17T00:00:00"/>
    <d v="2024-11-08T00:00:00"/>
    <x v="4"/>
    <s v="HR menejer"/>
    <s v="Middle"/>
    <s v="Toshkent"/>
    <n v="7040000"/>
    <n v="3"/>
    <x v="0"/>
    <n v="7"/>
    <x v="0"/>
    <s v="Bakalavr"/>
    <x v="0"/>
    <m/>
    <x v="0"/>
    <n v="32"/>
    <n v="1.891854893908282"/>
    <s v="Nodira Tursunova"/>
    <n v="0"/>
    <x v="1"/>
  </r>
  <r>
    <s v="EMP-0732"/>
    <s v="Rustam Umarov"/>
    <s v="Erkak"/>
    <d v="1994-01-07T00:00:00"/>
    <d v="2023-01-06T00:00:00"/>
    <x v="6"/>
    <s v="Call-markaz operatori"/>
    <s v="Middle"/>
    <s v="Buxoro"/>
    <n v="7040000"/>
    <n v="5"/>
    <x v="3"/>
    <n v="11"/>
    <x v="0"/>
    <s v="O'rta maxsus"/>
    <x v="0"/>
    <m/>
    <x v="0"/>
    <n v="32"/>
    <n v="3.7316906228610542"/>
    <s v="Shahlo Ismoilova"/>
    <n v="0"/>
    <x v="0"/>
  </r>
  <r>
    <s v="EMP-0655"/>
    <s v="Dilnoza Normatova"/>
    <s v="Ayol"/>
    <d v="1985-03-07T00:00:00"/>
    <d v="2021-01-09T00:00:00"/>
    <x v="6"/>
    <s v="Mijozlar bilan ishlash mutaxassisi"/>
    <s v="Middle"/>
    <s v="Farg'ona"/>
    <n v="7030000"/>
    <n v="3"/>
    <x v="0"/>
    <n v="15"/>
    <x v="0"/>
    <s v="Bakalavr"/>
    <x v="0"/>
    <m/>
    <x v="0"/>
    <n v="41"/>
    <n v="5.722108145106092"/>
    <s v="Shahlo Ismoilova"/>
    <n v="0"/>
    <x v="0"/>
  </r>
  <r>
    <s v="EMP-0044"/>
    <s v="Otabek Ismoilov"/>
    <s v="Erkak"/>
    <d v="1991-07-15T00:00:00"/>
    <d v="2026-08-24T00:00:00"/>
    <x v="6"/>
    <s v="Mijozlar bilan ishlash mutaxassisi"/>
    <s v="Middle"/>
    <s v="Buxoro"/>
    <n v="7010000"/>
    <n v="3"/>
    <x v="1"/>
    <n v="21"/>
    <x v="2"/>
    <s v="Bakalavr"/>
    <x v="0"/>
    <m/>
    <x v="0"/>
    <n v="35"/>
    <n v="0.10130047912388775"/>
    <s v="Shahlo Ismoilova"/>
    <n v="0"/>
    <x v="2"/>
  </r>
  <r>
    <s v="EMP-0320"/>
    <s v="Behruz Qodirov"/>
    <s v="Erkak"/>
    <d v="2006-01-21T00:00:00"/>
    <d v="2026-02-14T00:00:00"/>
    <x v="6"/>
    <s v="Call-markaz operatori"/>
    <s v="Middle"/>
    <s v="Samarqand"/>
    <n v="7010000"/>
    <n v="5"/>
    <x v="0"/>
    <n v="24"/>
    <x v="2"/>
    <s v="O'rta maxsus"/>
    <x v="1"/>
    <d v="2026-08-26T00:00:00"/>
    <x v="1"/>
    <n v="20"/>
    <n v="0.52840520191649554"/>
    <s v="Shahlo Ismoilova"/>
    <n v="1"/>
    <x v="2"/>
  </r>
  <r>
    <s v="EMP-0332"/>
    <s v="Sherzod Hasanov"/>
    <s v="Erkak"/>
    <d v="1998-04-16T00:00:00"/>
    <d v="2024-08-31T00:00:00"/>
    <x v="6"/>
    <s v="Mijozlar bilan ishlash mutaxassisi"/>
    <s v="Middle"/>
    <s v="Samarqand"/>
    <n v="7010000"/>
    <n v="2"/>
    <x v="3"/>
    <n v="12"/>
    <x v="2"/>
    <s v="O'rta maxsus"/>
    <x v="1"/>
    <d v="2026-03-29T00:00:00"/>
    <x v="3"/>
    <n v="28"/>
    <n v="1.5742642026009583"/>
    <s v="Shahlo Ismoilova"/>
    <n v="1"/>
    <x v="1"/>
  </r>
  <r>
    <s v="EMP-0384"/>
    <s v="Sherzod Mirzayev"/>
    <s v="Erkak"/>
    <d v="1984-07-19T00:00:00"/>
    <d v="2021-12-11T00:00:00"/>
    <x v="2"/>
    <s v="Savdo vakili"/>
    <s v="Middle"/>
    <s v="Toshkent"/>
    <n v="7010000"/>
    <n v="4"/>
    <x v="3"/>
    <n v="18"/>
    <x v="0"/>
    <s v="Bakalavr"/>
    <x v="0"/>
    <m/>
    <x v="0"/>
    <n v="42"/>
    <n v="4.8021902806297057"/>
    <s v="Aziz Karimov"/>
    <n v="0"/>
    <x v="0"/>
  </r>
  <r>
    <s v="EMP-0682"/>
    <s v="Kamola Qodirova"/>
    <s v="Ayol"/>
    <d v="1994-09-28T00:00:00"/>
    <d v="2026-05-11T00:00:00"/>
    <x v="3"/>
    <s v="Buxgalter"/>
    <s v="Middle"/>
    <s v="Namangan"/>
    <n v="7010000"/>
    <n v="4"/>
    <x v="1"/>
    <n v="0"/>
    <x v="0"/>
    <s v="Bakalavr"/>
    <x v="0"/>
    <m/>
    <x v="0"/>
    <n v="32"/>
    <n v="0.38877481177275841"/>
    <s v="Madina Abdullayeva"/>
    <n v="0"/>
    <x v="2"/>
  </r>
  <r>
    <s v="EMP-0733"/>
    <s v="Sardor Yusupov"/>
    <s v="Erkak"/>
    <d v="1997-09-09T00:00:00"/>
    <d v="2020-08-24T00:00:00"/>
    <x v="6"/>
    <s v="Mijozlar bilan ishlash mutaxassisi"/>
    <s v="Middle"/>
    <s v="Toshkent"/>
    <n v="7010000"/>
    <n v="5"/>
    <x v="3"/>
    <n v="10"/>
    <x v="0"/>
    <s v="Bakalavr"/>
    <x v="0"/>
    <m/>
    <x v="0"/>
    <n v="29"/>
    <n v="6.0999315537303218"/>
    <s v="Shahlo Ismoilova"/>
    <n v="0"/>
    <x v="0"/>
  </r>
  <r>
    <s v="EMP-0083"/>
    <s v="Sevara Tursunova"/>
    <s v="Ayol"/>
    <d v="1989-07-17T00:00:00"/>
    <d v="2018-12-13T00:00:00"/>
    <x v="6"/>
    <s v="Mijozlar bilan ishlash mutaxassisi"/>
    <s v="Middle"/>
    <s v="Toshkent"/>
    <n v="7000000"/>
    <n v="2"/>
    <x v="0"/>
    <n v="20"/>
    <x v="0"/>
    <s v="Magistr"/>
    <x v="0"/>
    <m/>
    <x v="0"/>
    <n v="37"/>
    <n v="7.7973990417522243"/>
    <s v="Shahlo Ismoilova"/>
    <n v="0"/>
    <x v="0"/>
  </r>
  <r>
    <s v="EMP-0440"/>
    <s v="Mohira Rahimova"/>
    <s v="Ayol"/>
    <d v="1991-01-08T00:00:00"/>
    <d v="2016-11-10T00:00:00"/>
    <x v="1"/>
    <s v="Kontent menejer"/>
    <s v="Middle"/>
    <s v="Qarshi"/>
    <n v="7000000"/>
    <n v="3"/>
    <x v="0"/>
    <n v="15"/>
    <x v="2"/>
    <s v="O'rta maxsus"/>
    <x v="0"/>
    <m/>
    <x v="0"/>
    <n v="35"/>
    <n v="9.886379192334017"/>
    <s v="Dilnoza Rahimova"/>
    <n v="0"/>
    <x v="0"/>
  </r>
  <r>
    <s v="EMP-0591"/>
    <s v="Aziz Sobirov"/>
    <s v="Erkak"/>
    <d v="1990-04-06T00:00:00"/>
    <d v="2016-06-13T00:00:00"/>
    <x v="6"/>
    <s v="Mijozlar bilan ishlash mutaxassisi"/>
    <s v="Middle"/>
    <s v="Toshkent"/>
    <n v="6990000"/>
    <n v="4"/>
    <x v="0"/>
    <n v="10"/>
    <x v="2"/>
    <s v="Bakalavr"/>
    <x v="0"/>
    <m/>
    <x v="0"/>
    <n v="36"/>
    <n v="10.297056810403832"/>
    <s v="Shahlo Ismoilova"/>
    <n v="0"/>
    <x v="0"/>
  </r>
  <r>
    <s v="EMP-0148"/>
    <s v="Dilnoza Karimova"/>
    <s v="Ayol"/>
    <d v="1986-09-14T00:00:00"/>
    <d v="2022-10-30T00:00:00"/>
    <x v="2"/>
    <s v="Sotuv menejeri"/>
    <s v="Middle"/>
    <s v="Andijon"/>
    <n v="6970000"/>
    <n v="3"/>
    <x v="3"/>
    <n v="10"/>
    <x v="1"/>
    <s v="Bakalavr"/>
    <x v="0"/>
    <m/>
    <x v="0"/>
    <n v="40"/>
    <n v="3.9178644763860371"/>
    <s v="Aziz Karimov"/>
    <n v="0"/>
    <x v="0"/>
  </r>
  <r>
    <s v="EMP-0221"/>
    <s v="Dilnoza Sobirova"/>
    <s v="Ayol"/>
    <d v="1986-11-18T00:00:00"/>
    <d v="2023-04-14T00:00:00"/>
    <x v="1"/>
    <s v="SMM mutaxassisi"/>
    <s v="Middle"/>
    <s v="Toshkent"/>
    <n v="6940000"/>
    <n v="3"/>
    <x v="1"/>
    <n v="0"/>
    <x v="2"/>
    <s v="O'rta maxsus"/>
    <x v="0"/>
    <m/>
    <x v="0"/>
    <n v="39"/>
    <n v="3.463381245722108"/>
    <s v="Dilnoza Rahimova"/>
    <n v="0"/>
    <x v="0"/>
  </r>
  <r>
    <s v="EMP-0648"/>
    <s v="Shaxzod Rahimov"/>
    <s v="Erkak"/>
    <d v="1995-04-19T00:00:00"/>
    <d v="2025-10-09T00:00:00"/>
    <x v="6"/>
    <s v="Mijozlar bilan ishlash mutaxassisi"/>
    <s v="Middle"/>
    <s v="Toshkent"/>
    <n v="6940000"/>
    <n v="4"/>
    <x v="0"/>
    <n v="22"/>
    <x v="2"/>
    <s v="Magistr"/>
    <x v="0"/>
    <m/>
    <x v="0"/>
    <n v="31"/>
    <n v="0.97467488021902804"/>
    <s v="Shahlo Ismoilova"/>
    <n v="0"/>
    <x v="2"/>
  </r>
  <r>
    <s v="EMP-0184"/>
    <s v="Jahongir Ergashev"/>
    <s v="Erkak"/>
    <d v="1991-11-10T00:00:00"/>
    <d v="2018-03-28T00:00:00"/>
    <x v="3"/>
    <s v="Moliyaviy tahlilchi"/>
    <s v="Middle"/>
    <s v="Andijon"/>
    <n v="6900000"/>
    <n v="2"/>
    <x v="0"/>
    <n v="23"/>
    <x v="0"/>
    <s v="Bakalavr"/>
    <x v="0"/>
    <m/>
    <x v="0"/>
    <n v="34"/>
    <n v="8.5092402464065717"/>
    <s v="Madina Abdullayeva"/>
    <n v="0"/>
    <x v="0"/>
  </r>
  <r>
    <s v="EMP-0396"/>
    <s v="Aziz Mirzayev"/>
    <s v="Erkak"/>
    <d v="1989-05-10T00:00:00"/>
    <d v="2018-11-08T00:00:00"/>
    <x v="6"/>
    <s v="Call-markaz operatori"/>
    <s v="Middle"/>
    <s v="Toshkent"/>
    <n v="6900000"/>
    <n v="4"/>
    <x v="3"/>
    <n v="18"/>
    <x v="0"/>
    <s v="Bakalavr"/>
    <x v="1"/>
    <d v="2025-06-18T00:00:00"/>
    <x v="4"/>
    <n v="37"/>
    <n v="6.6091718001368926"/>
    <s v="Shahlo Ismoilova"/>
    <n v="1"/>
    <x v="0"/>
  </r>
  <r>
    <s v="EMP-0752"/>
    <s v="Nodira Sobirova"/>
    <s v="Ayol"/>
    <d v="2005-10-12T00:00:00"/>
    <d v="2026-03-19T00:00:00"/>
    <x v="2"/>
    <s v="Sotuv menejeri"/>
    <s v="Middle"/>
    <s v="Namangan"/>
    <n v="6900000"/>
    <n v="3"/>
    <x v="0"/>
    <n v="17"/>
    <x v="2"/>
    <s v="Magistr"/>
    <x v="0"/>
    <m/>
    <x v="0"/>
    <n v="20"/>
    <n v="0.53388090349075978"/>
    <s v="Aziz Karimov"/>
    <n v="0"/>
    <x v="2"/>
  </r>
  <r>
    <s v="EMP-0345"/>
    <s v="Behruz Mirzayev"/>
    <s v="Erkak"/>
    <d v="1979-02-25T00:00:00"/>
    <d v="2023-06-21T00:00:00"/>
    <x v="6"/>
    <s v="Call-markaz operatori"/>
    <s v="Middle"/>
    <s v="Toshkent"/>
    <n v="6880000"/>
    <n v="3"/>
    <x v="1"/>
    <n v="16"/>
    <x v="0"/>
    <s v="Bakalavr"/>
    <x v="0"/>
    <m/>
    <x v="0"/>
    <n v="47"/>
    <n v="3.2772073921971252"/>
    <s v="Shahlo Ismoilova"/>
    <n v="0"/>
    <x v="0"/>
  </r>
  <r>
    <s v="EMP-0220"/>
    <s v="Doniyor Normatov"/>
    <s v="Erkak"/>
    <d v="1990-04-25T00:00:00"/>
    <d v="2025-06-28T00:00:00"/>
    <x v="1"/>
    <s v="Kontent menejer"/>
    <s v="Middle"/>
    <s v="Toshkent"/>
    <n v="6860000"/>
    <n v="4"/>
    <x v="4"/>
    <n v="26"/>
    <x v="2"/>
    <s v="Bakalavr"/>
    <x v="0"/>
    <m/>
    <x v="0"/>
    <n v="36"/>
    <n v="1.2566735112936345"/>
    <s v="Dilnoza Rahimova"/>
    <n v="0"/>
    <x v="1"/>
  </r>
  <r>
    <s v="EMP-0798"/>
    <s v="Madina Hasanova"/>
    <s v="Ayol"/>
    <d v="1990-02-12T00:00:00"/>
    <d v="2019-08-17T00:00:00"/>
    <x v="2"/>
    <s v="Savdo vakili"/>
    <s v="Middle"/>
    <s v="Buxoro"/>
    <n v="6860000"/>
    <n v="4"/>
    <x v="3"/>
    <n v="22"/>
    <x v="0"/>
    <s v="Magistr"/>
    <x v="0"/>
    <m/>
    <x v="0"/>
    <n v="36"/>
    <n v="7.1211498973305956"/>
    <s v="Aziz Karimov"/>
    <n v="0"/>
    <x v="0"/>
  </r>
  <r>
    <s v="EMP-0350"/>
    <s v="Shaxzod Sobirov"/>
    <s v="Erkak"/>
    <d v="1988-06-27T00:00:00"/>
    <d v="2015-11-04T00:00:00"/>
    <x v="2"/>
    <s v="Savdo vakili"/>
    <s v="Middle"/>
    <s v="Toshkent"/>
    <n v="6840000"/>
    <n v="3"/>
    <x v="0"/>
    <n v="1"/>
    <x v="0"/>
    <s v="O'rta maxsus"/>
    <x v="0"/>
    <m/>
    <x v="0"/>
    <n v="38"/>
    <n v="10.904859685147159"/>
    <s v="Aziz Karimov"/>
    <n v="0"/>
    <x v="0"/>
  </r>
  <r>
    <s v="EMP-0556"/>
    <s v="Islom Yusupov"/>
    <s v="Erkak"/>
    <d v="2003-10-02T00:00:00"/>
    <d v="2025-10-16T00:00:00"/>
    <x v="5"/>
    <s v="Ombor mudiri"/>
    <s v="Middle"/>
    <s v="Toshkent"/>
    <n v="6830000"/>
    <n v="2"/>
    <x v="3"/>
    <n v="27"/>
    <x v="0"/>
    <s v="Bakalavr"/>
    <x v="1"/>
    <d v="2026-06-03T00:00:00"/>
    <x v="3"/>
    <n v="22"/>
    <n v="0.62970568104038327"/>
    <s v="Sardor Nazarov"/>
    <n v="1"/>
    <x v="2"/>
  </r>
  <r>
    <s v="EMP-0081"/>
    <s v="Timur Sobirov"/>
    <s v="Erkak"/>
    <d v="2006-01-09T00:00:00"/>
    <d v="2026-08-23T00:00:00"/>
    <x v="3"/>
    <s v="Buxgalter"/>
    <s v="Middle"/>
    <s v="Toshkent"/>
    <n v="6820000"/>
    <n v="3"/>
    <x v="0"/>
    <n v="13"/>
    <x v="0"/>
    <s v="O'rta maxsus"/>
    <x v="0"/>
    <m/>
    <x v="0"/>
    <n v="20"/>
    <n v="0.10403832991101986"/>
    <s v="Madina Abdullayeva"/>
    <n v="0"/>
    <x v="2"/>
  </r>
  <r>
    <s v="EMP-0228"/>
    <s v="Timur Umarov"/>
    <s v="Erkak"/>
    <d v="1992-01-18T00:00:00"/>
    <d v="2023-10-03T00:00:00"/>
    <x v="5"/>
    <s v="Logist"/>
    <s v="Middle"/>
    <s v="Toshkent"/>
    <n v="6820000"/>
    <n v="4"/>
    <x v="4"/>
    <n v="9"/>
    <x v="2"/>
    <s v="Bakalavr"/>
    <x v="0"/>
    <m/>
    <x v="0"/>
    <n v="34"/>
    <n v="2.9924709103353866"/>
    <s v="Sardor Nazarov"/>
    <n v="0"/>
    <x v="1"/>
  </r>
  <r>
    <s v="EMP-0497"/>
    <s v="Akmal Normatov"/>
    <s v="Erkak"/>
    <d v="1985-01-04T00:00:00"/>
    <d v="2024-12-03T00:00:00"/>
    <x v="3"/>
    <s v="Buxgalter"/>
    <s v="Middle"/>
    <s v="Toshkent"/>
    <n v="6820000"/>
    <n v="3"/>
    <x v="1"/>
    <n v="1"/>
    <x v="1"/>
    <s v="Bakalavr"/>
    <x v="0"/>
    <m/>
    <x v="0"/>
    <n v="41"/>
    <n v="1.8234086242299794"/>
    <s v="Madina Abdullayeva"/>
    <n v="0"/>
    <x v="1"/>
  </r>
  <r>
    <s v="EMP-0180"/>
    <s v="Mohira Normatova"/>
    <s v="Ayol"/>
    <d v="1990-01-22T00:00:00"/>
    <d v="2019-12-04T00:00:00"/>
    <x v="2"/>
    <s v="Savdo vakili"/>
    <s v="Middle"/>
    <s v="Toshkent"/>
    <n v="6800000"/>
    <n v="3"/>
    <x v="3"/>
    <n v="22"/>
    <x v="2"/>
    <s v="Bakalavr"/>
    <x v="1"/>
    <d v="2025-09-23T00:00:00"/>
    <x v="1"/>
    <n v="36"/>
    <n v="5.8042436687200549"/>
    <s v="Aziz Karimov"/>
    <n v="1"/>
    <x v="0"/>
  </r>
  <r>
    <s v="EMP-0510"/>
    <s v="Sevara Nazarova"/>
    <s v="Ayol"/>
    <d v="1996-03-19T00:00:00"/>
    <d v="2026-03-14T00:00:00"/>
    <x v="0"/>
    <s v="Dasturchi"/>
    <s v="Junior"/>
    <s v="Toshkent"/>
    <n v="6800000"/>
    <n v="4"/>
    <x v="2"/>
    <n v="0"/>
    <x v="0"/>
    <s v="Bakalavr"/>
    <x v="0"/>
    <m/>
    <x v="0"/>
    <n v="30"/>
    <n v="0.54757015742642023"/>
    <s v="Jasur Yusupov"/>
    <n v="0"/>
    <x v="2"/>
  </r>
  <r>
    <s v="EMP-0243"/>
    <s v="Jahongir Normatov"/>
    <s v="Erkak"/>
    <d v="2003-11-12T00:00:00"/>
    <d v="2026-06-01T00:00:00"/>
    <x v="2"/>
    <s v="Savdo vakili"/>
    <s v="Middle"/>
    <s v="Andijon"/>
    <n v="6790000"/>
    <n v="5"/>
    <x v="1"/>
    <n v="15"/>
    <x v="0"/>
    <m/>
    <x v="0"/>
    <m/>
    <x v="0"/>
    <n v="22"/>
    <n v="0.33127994524298426"/>
    <s v="Aziz Karimov"/>
    <n v="0"/>
    <x v="2"/>
  </r>
  <r>
    <s v="EMP-0425"/>
    <s v="Zilola Nazarova"/>
    <s v="Ayol"/>
    <d v="1994-05-24T00:00:00"/>
    <d v="2017-07-26T00:00:00"/>
    <x v="4"/>
    <s v="HR menejer"/>
    <s v="Middle"/>
    <s v="Namangan"/>
    <n v="6790000"/>
    <n v="4"/>
    <x v="0"/>
    <n v="13"/>
    <x v="0"/>
    <s v="Bakalavr"/>
    <x v="0"/>
    <m/>
    <x v="0"/>
    <n v="32"/>
    <n v="9.1800136892539363"/>
    <s v="Nodira Tursunova"/>
    <n v="0"/>
    <x v="0"/>
  </r>
  <r>
    <s v="EMP-0270"/>
    <s v="Dilshod Saidov"/>
    <s v="Erkak"/>
    <d v="1996-12-12T00:00:00"/>
    <d v="2018-09-10T00:00:00"/>
    <x v="2"/>
    <s v="Hudud menejeri"/>
    <s v="Middle"/>
    <s v="Namangan"/>
    <n v="6780000"/>
    <n v="5"/>
    <x v="0"/>
    <n v="25"/>
    <x v="0"/>
    <s v="O'rta maxsus"/>
    <x v="0"/>
    <m/>
    <x v="0"/>
    <n v="29"/>
    <n v="8.0547570157426414"/>
    <s v="Aziz Karimov"/>
    <n v="0"/>
    <x v="0"/>
  </r>
  <r>
    <s v="EMP-0338"/>
    <s v="Bobur Ismoilov"/>
    <s v="Erkak"/>
    <d v="1984-10-27T00:00:00"/>
    <d v="2020-07-17T00:00:00"/>
    <x v="5"/>
    <s v="Ombor mudiri"/>
    <s v="Middle"/>
    <s v="Buxoro"/>
    <n v="6760000"/>
    <n v="1"/>
    <x v="3"/>
    <n v="23"/>
    <x v="0"/>
    <s v="O'rta maxsus"/>
    <x v="0"/>
    <m/>
    <x v="0"/>
    <n v="41"/>
    <n v="6.2039698836413413"/>
    <s v="Sardor Nazarov"/>
    <n v="0"/>
    <x v="0"/>
  </r>
  <r>
    <s v="EMP-0728"/>
    <s v="Nodira Ergasheva"/>
    <s v="Ayol"/>
    <d v="1983-02-27T00:00:00"/>
    <d v="2017-09-24T00:00:00"/>
    <x v="2"/>
    <s v="Sotuv menejeri"/>
    <s v="Middle"/>
    <s v="Namangan"/>
    <n v="6750000"/>
    <n v="3"/>
    <x v="0"/>
    <n v="30"/>
    <x v="2"/>
    <s v="O'rta maxsus"/>
    <x v="0"/>
    <m/>
    <x v="0"/>
    <n v="43"/>
    <n v="9.0157426420260087"/>
    <s v="Aziz Karimov"/>
    <n v="0"/>
    <x v="0"/>
  </r>
  <r>
    <s v="EMP-0568"/>
    <s v="Dilnoza Nazarova"/>
    <s v="Ayol"/>
    <d v="1994-06-04T00:00:00"/>
    <d v="2020-03-02T00:00:00"/>
    <x v="2"/>
    <s v="Sotuv menejeri"/>
    <s v="Middle"/>
    <s v="Toshkent"/>
    <n v="6740000"/>
    <n v="3"/>
    <x v="2"/>
    <n v="1"/>
    <x v="0"/>
    <s v="Bakalavr"/>
    <x v="1"/>
    <d v="2026-01-02T00:00:00"/>
    <x v="7"/>
    <n v="32"/>
    <n v="5.8370978781656397"/>
    <s v="Aziz Karimov"/>
    <n v="1"/>
    <x v="0"/>
  </r>
  <r>
    <s v="EMP-0574"/>
    <s v="Jahongir Ergashev"/>
    <s v="Erkak"/>
    <d v="2000-07-03T00:00:00"/>
    <d v="2023-01-24T00:00:00"/>
    <x v="6"/>
    <s v="Call-markaz operatori"/>
    <s v="Middle"/>
    <s v="Toshkent"/>
    <n v="6730000"/>
    <n v="4"/>
    <x v="3"/>
    <n v="7"/>
    <x v="2"/>
    <s v="Bakalavr"/>
    <x v="0"/>
    <m/>
    <x v="0"/>
    <n v="26"/>
    <n v="3.6824093086926761"/>
    <s v="Shahlo Ismoilova"/>
    <n v="0"/>
    <x v="0"/>
  </r>
  <r>
    <s v="EMP-0072"/>
    <s v="Akmal Qodirov"/>
    <s v="Erkak"/>
    <d v="1991-11-07T00:00:00"/>
    <d v="2016-02-23T00:00:00"/>
    <x v="1"/>
    <s v="SMM mutaxassisi"/>
    <s v="Middle"/>
    <s v="Qarshi"/>
    <n v="6720000"/>
    <n v="3"/>
    <x v="0"/>
    <n v="14"/>
    <x v="0"/>
    <s v="Bakalavr"/>
    <x v="0"/>
    <m/>
    <x v="0"/>
    <n v="34"/>
    <n v="10.600958247775496"/>
    <s v="Dilnoza Rahimova"/>
    <n v="0"/>
    <x v="0"/>
  </r>
  <r>
    <s v="EMP-0567"/>
    <s v="Dilnoza Karimova"/>
    <s v="Ayol"/>
    <d v="1991-10-09T00:00:00"/>
    <d v="2020-07-17T00:00:00"/>
    <x v="3"/>
    <s v="Kassir"/>
    <s v="Middle"/>
    <s v="Toshkent"/>
    <n v="6710000"/>
    <n v="4"/>
    <x v="0"/>
    <n v="7"/>
    <x v="0"/>
    <s v="O'rta maxsus"/>
    <x v="0"/>
    <m/>
    <x v="0"/>
    <n v="34"/>
    <n v="6.2039698836413413"/>
    <s v="Madina Abdullayeva"/>
    <n v="0"/>
    <x v="0"/>
  </r>
  <r>
    <s v="EMP-0262"/>
    <s v="Ulugbek Yusupov"/>
    <s v="Erkak"/>
    <d v="1990-07-06T00:00:00"/>
    <d v="2021-12-27T00:00:00"/>
    <x v="2"/>
    <s v="Savdo vakili"/>
    <s v="Middle"/>
    <s v="Qarshi"/>
    <n v="6680000"/>
    <n v="2"/>
    <x v="1"/>
    <n v="8"/>
    <x v="0"/>
    <s v="Bakalavr"/>
    <x v="1"/>
    <d v="2026-01-31T00:00:00"/>
    <x v="7"/>
    <n v="36"/>
    <n v="4.0958247775496233"/>
    <s v="Aziz Karimov"/>
    <n v="1"/>
    <x v="0"/>
  </r>
  <r>
    <s v="EMP-0236"/>
    <s v="Dilfuza Qodirova"/>
    <s v="Ayol"/>
    <d v="1992-05-13T00:00:00"/>
    <d v="2026-08-03T00:00:00"/>
    <x v="0"/>
    <s v="QA muhandisi"/>
    <s v="Junior"/>
    <s v="Toshkent"/>
    <n v="6660000"/>
    <n v="5"/>
    <x v="3"/>
    <n v="16"/>
    <x v="0"/>
    <s v="Bakalavr"/>
    <x v="0"/>
    <m/>
    <x v="0"/>
    <n v="34"/>
    <n v="0.15879534565366188"/>
    <s v="Jasur Yusupov"/>
    <n v="0"/>
    <x v="2"/>
  </r>
  <r>
    <s v="EMP-0472"/>
    <s v="Doniyor Umarov"/>
    <s v="Erkak"/>
    <d v="1996-08-12T00:00:00"/>
    <d v="2023-07-19T00:00:00"/>
    <x v="0"/>
    <s v="QA muhandisi"/>
    <s v="Junior"/>
    <s v="Toshkent"/>
    <n v="6660000"/>
    <n v="5"/>
    <x v="1"/>
    <n v="8"/>
    <x v="2"/>
    <s v="Magistr"/>
    <x v="0"/>
    <m/>
    <x v="0"/>
    <n v="30"/>
    <n v="3.2005475701574264"/>
    <s v="Jasur Yusupov"/>
    <n v="0"/>
    <x v="0"/>
  </r>
  <r>
    <s v="EMP-0698"/>
    <s v="Doniyor Umarov"/>
    <s v="Erkak"/>
    <d v="1992-04-27T00:00:00"/>
    <d v="2025-05-21T00:00:00"/>
    <x v="2"/>
    <s v="Sotuv menejeri"/>
    <s v="Middle"/>
    <s v="Namangan"/>
    <n v="6650000"/>
    <n v="4"/>
    <x v="2"/>
    <n v="4"/>
    <x v="2"/>
    <s v="O'rta maxsus"/>
    <x v="0"/>
    <m/>
    <x v="0"/>
    <n v="34"/>
    <n v="1.3607118412046544"/>
    <s v="Aziz Karimov"/>
    <n v="0"/>
    <x v="1"/>
  </r>
  <r>
    <s v="EMP-0106"/>
    <s v="Gulnora Rahimova"/>
    <s v="Ayol"/>
    <d v="1998-08-08T00:00:00"/>
    <d v="2026-03-26T00:00:00"/>
    <x v="6"/>
    <s v="Call-markaz operatori"/>
    <s v="Middle"/>
    <s v="Namangan"/>
    <n v="6640000"/>
    <n v="2"/>
    <x v="0"/>
    <n v="19"/>
    <x v="1"/>
    <s v="O'rta maxsus"/>
    <x v="0"/>
    <m/>
    <x v="0"/>
    <n v="28"/>
    <n v="0.51471594798083509"/>
    <s v="Shahlo Ismoilova"/>
    <n v="0"/>
    <x v="2"/>
  </r>
  <r>
    <s v="EMP-0325"/>
    <s v="Zilola Hasanova"/>
    <s v="Ayol"/>
    <d v="1989-10-19T00:00:00"/>
    <d v="2015-04-10T00:00:00"/>
    <x v="6"/>
    <s v="Mijozlar bilan ishlash mutaxassisi"/>
    <s v="Middle"/>
    <s v="Namangan"/>
    <n v="6640000"/>
    <n v="3"/>
    <x v="0"/>
    <n v="25"/>
    <x v="2"/>
    <s v="Bakalavr"/>
    <x v="0"/>
    <m/>
    <x v="0"/>
    <n v="36"/>
    <n v="11.474332648870636"/>
    <s v="Shahlo Ismoilova"/>
    <n v="0"/>
    <x v="0"/>
  </r>
  <r>
    <s v="EMP-0676"/>
    <s v="Timur Karimov"/>
    <s v="Erkak"/>
    <d v="1991-10-05T00:00:00"/>
    <d v="2021-10-15T00:00:00"/>
    <x v="6"/>
    <s v="Call-markaz operatori"/>
    <s v="Middle"/>
    <s v="Namangan"/>
    <n v="6630000"/>
    <n v="4"/>
    <x v="1"/>
    <n v="28"/>
    <x v="2"/>
    <s v="Bakalavr"/>
    <x v="1"/>
    <d v="2025-07-10T00:00:00"/>
    <x v="3"/>
    <n v="34"/>
    <n v="3.7344284736481863"/>
    <s v="Shahlo Ismoilova"/>
    <n v="1"/>
    <x v="0"/>
  </r>
  <r>
    <s v="EMP-0428"/>
    <s v="Rustam Qodirov"/>
    <s v="Erkak"/>
    <d v="1998-04-06T00:00:00"/>
    <d v="2025-01-03T00:00:00"/>
    <x v="2"/>
    <s v="Sotuv menejeri"/>
    <s v="Middle"/>
    <s v="Toshkent"/>
    <n v="6620000"/>
    <n v="4"/>
    <x v="2"/>
    <n v="11"/>
    <x v="2"/>
    <s v="O'rta maxsus"/>
    <x v="0"/>
    <m/>
    <x v="0"/>
    <n v="28"/>
    <n v="1.7385352498288844"/>
    <s v="Aziz Karimov"/>
    <n v="0"/>
    <x v="1"/>
  </r>
  <r>
    <s v="EMP-0789"/>
    <s v="Mohira Umarova"/>
    <s v="Ayol"/>
    <d v="1988-03-23T00:00:00"/>
    <d v="2026-02-25T00:00:00"/>
    <x v="0"/>
    <s v="Dasturchi"/>
    <s v="Junior"/>
    <s v="Toshkent"/>
    <n v="6620000"/>
    <n v="5"/>
    <x v="0"/>
    <n v="24"/>
    <x v="0"/>
    <s v="Bakalavr"/>
    <x v="0"/>
    <m/>
    <x v="0"/>
    <n v="38"/>
    <n v="0.59411362080766594"/>
    <s v="Jasur Yusupov"/>
    <n v="0"/>
    <x v="2"/>
  </r>
  <r>
    <s v="EMP-0531"/>
    <s v="Gulnora Mirzayeva"/>
    <s v="Ayol"/>
    <d v="1983-03-24T00:00:00"/>
    <d v="2026-06-27T00:00:00"/>
    <x v="6"/>
    <s v="Mijozlar bilan ishlash mutaxassisi"/>
    <s v="Middle"/>
    <s v="Namangan"/>
    <n v="6610000"/>
    <n v="4"/>
    <x v="3"/>
    <n v="32"/>
    <x v="2"/>
    <s v="O'rta maxsus"/>
    <x v="0"/>
    <m/>
    <x v="0"/>
    <n v="43"/>
    <n v="0.26009582477754961"/>
    <s v="Shahlo Ismoilova"/>
    <n v="0"/>
    <x v="2"/>
  </r>
  <r>
    <s v="EMP-0700"/>
    <s v="Dilnoza Saidova"/>
    <s v="Ayol"/>
    <d v="1995-04-16T00:00:00"/>
    <d v="2023-08-23T00:00:00"/>
    <x v="6"/>
    <s v="Mijozlar bilan ishlash mutaxassisi"/>
    <s v="Middle"/>
    <s v="Toshkent"/>
    <n v="6610000"/>
    <n v="4"/>
    <x v="2"/>
    <n v="14"/>
    <x v="2"/>
    <s v="Bakalavr"/>
    <x v="0"/>
    <m/>
    <x v="0"/>
    <n v="31"/>
    <n v="3.1047227926078027"/>
    <s v="Shahlo Ismoilova"/>
    <n v="0"/>
    <x v="0"/>
  </r>
  <r>
    <s v="EMP-0596"/>
    <s v="Aziz Ismoilov"/>
    <s v="Erkak"/>
    <d v="1994-03-19T00:00:00"/>
    <d v="2024-12-27T00:00:00"/>
    <x v="1"/>
    <s v="SMM mutaxassisi"/>
    <s v="Middle"/>
    <s v="Buxoro"/>
    <n v="6600000"/>
    <n v="5"/>
    <x v="4"/>
    <n v="5"/>
    <x v="0"/>
    <s v="Bakalavr"/>
    <x v="0"/>
    <m/>
    <x v="0"/>
    <n v="32"/>
    <n v="1.7577002053388091"/>
    <s v="Dilnoza Rahimova"/>
    <n v="0"/>
    <x v="1"/>
  </r>
  <r>
    <s v="EMP-0084"/>
    <s v="Kamola Hasanova"/>
    <s v="Ayol"/>
    <d v="1987-07-15T00:00:00"/>
    <d v="2022-05-30T00:00:00"/>
    <x v="6"/>
    <s v="Call-markaz operatori"/>
    <s v="Middle"/>
    <s v="Toshkent"/>
    <n v="6590000"/>
    <n v="3"/>
    <x v="0"/>
    <n v="10"/>
    <x v="0"/>
    <s v="O'rta maxsus"/>
    <x v="0"/>
    <m/>
    <x v="0"/>
    <n v="39"/>
    <n v="4.3367556468172488"/>
    <s v="Shahlo Ismoilova"/>
    <n v="0"/>
    <x v="0"/>
  </r>
  <r>
    <s v="EMP-0337"/>
    <s v="Sardor Sobirov"/>
    <s v="Erkak"/>
    <d v="1990-09-03T00:00:00"/>
    <d v="2023-06-19T00:00:00"/>
    <x v="2"/>
    <s v="Savdo vakili"/>
    <s v="Middle"/>
    <s v="Toshkent"/>
    <n v="6590000"/>
    <n v="5"/>
    <x v="0"/>
    <n v="16"/>
    <x v="0"/>
    <s v="O'rta maxsus"/>
    <x v="0"/>
    <m/>
    <x v="0"/>
    <n v="36"/>
    <n v="3.2826830937713893"/>
    <s v="Aziz Karimov"/>
    <n v="0"/>
    <x v="0"/>
  </r>
  <r>
    <s v="EMP-0376"/>
    <s v="Nodira Tursunova"/>
    <s v="Ayol"/>
    <d v="1991-08-03T00:00:00"/>
    <d v="2019-07-15T00:00:00"/>
    <x v="6"/>
    <s v="Mijozlar bilan ishlash mutaxassisi"/>
    <s v="Middle"/>
    <s v="Namangan"/>
    <n v="6570000"/>
    <n v="1"/>
    <x v="3"/>
    <n v="35"/>
    <x v="0"/>
    <s v="O'rta maxsus"/>
    <x v="0"/>
    <m/>
    <x v="0"/>
    <n v="35"/>
    <n v="7.2114989733059547"/>
    <s v="Shahlo Ismoilova"/>
    <n v="0"/>
    <x v="0"/>
  </r>
  <r>
    <s v="EMP-0500"/>
    <s v="Nodira Umarova"/>
    <s v="Ayol"/>
    <d v="1984-11-03T00:00:00"/>
    <d v="2019-03-17T00:00:00"/>
    <x v="0"/>
    <s v="Dasturchi"/>
    <s v="Junior"/>
    <s v="Samarqand"/>
    <n v="6570000"/>
    <n v="3"/>
    <x v="1"/>
    <n v="8"/>
    <x v="2"/>
    <s v="Bakalavr"/>
    <x v="0"/>
    <m/>
    <x v="0"/>
    <n v="41"/>
    <n v="7.5400410677618073"/>
    <s v="Jasur Yusupov"/>
    <n v="0"/>
    <x v="0"/>
  </r>
  <r>
    <s v="EMP-0153"/>
    <s v="Behruz Normatov"/>
    <s v="Erkak"/>
    <d v="1999-01-12T00:00:00"/>
    <d v="2022-01-15T00:00:00"/>
    <x v="2"/>
    <s v="Hudud menejeri"/>
    <s v="Middle"/>
    <s v="Samarqand"/>
    <n v="6550000"/>
    <n v="4"/>
    <x v="3"/>
    <n v="6"/>
    <x v="2"/>
    <s v="Magistr"/>
    <x v="0"/>
    <m/>
    <x v="0"/>
    <n v="27"/>
    <n v="4.7063655030800824"/>
    <s v="Aziz Karimov"/>
    <n v="0"/>
    <x v="0"/>
  </r>
  <r>
    <s v="EMP-0040"/>
    <s v="Madina Saidova"/>
    <s v="Ayol"/>
    <d v="1993-03-08T00:00:00"/>
    <d v="2020-09-15T00:00:00"/>
    <x v="3"/>
    <s v="Buxgalter"/>
    <s v="Middle"/>
    <s v="Toshkent"/>
    <n v="6540000"/>
    <n v="3"/>
    <x v="0"/>
    <n v="11"/>
    <x v="2"/>
    <s v="Bakalavr"/>
    <x v="0"/>
    <m/>
    <x v="0"/>
    <n v="33"/>
    <n v="6.0396988364134154"/>
    <s v="Madina Abdullayeva"/>
    <n v="0"/>
    <x v="0"/>
  </r>
  <r>
    <s v="EMP-0658"/>
    <s v="Sardor Saidov"/>
    <s v="Erkak"/>
    <d v="1988-05-19T00:00:00"/>
    <d v="2025-11-28T00:00:00"/>
    <x v="0"/>
    <s v="Tizim administratori"/>
    <s v="Junior"/>
    <s v="Buxoro"/>
    <n v="6540000"/>
    <n v="3"/>
    <x v="0"/>
    <n v="18"/>
    <x v="0"/>
    <s v="Bakalavr"/>
    <x v="1"/>
    <d v="2026-03-24T00:00:00"/>
    <x v="3"/>
    <n v="38"/>
    <n v="0.31759069130732376"/>
    <s v="Jasur Yusupov"/>
    <n v="1"/>
    <x v="2"/>
  </r>
  <r>
    <s v="EMP-0315"/>
    <s v="Feruza Sobirova"/>
    <s v="Ayol"/>
    <d v="1993-02-03T00:00:00"/>
    <d v="2022-10-07T00:00:00"/>
    <x v="2"/>
    <s v="Sotuv menejeri"/>
    <s v="Middle"/>
    <s v="Toshkent"/>
    <n v="6510000"/>
    <n v="4"/>
    <x v="3"/>
    <n v="14"/>
    <x v="0"/>
    <s v="Bakalavr"/>
    <x v="0"/>
    <m/>
    <x v="0"/>
    <n v="33"/>
    <n v="3.9808350444900751"/>
    <s v="Aziz Karimov"/>
    <n v="0"/>
    <x v="0"/>
  </r>
  <r>
    <s v="EMP-0360"/>
    <s v="Shaxzod Nazarov"/>
    <s v="Erkak"/>
    <d v="1998-11-26T00:00:00"/>
    <d v="2020-09-18T00:00:00"/>
    <x v="3"/>
    <s v="Moliyaviy tahlilchi"/>
    <s v="Middle"/>
    <s v="Toshkent"/>
    <n v="6510000"/>
    <n v="2"/>
    <x v="3"/>
    <n v="14"/>
    <x v="0"/>
    <s v="O'rta maxsus"/>
    <x v="0"/>
    <m/>
    <x v="0"/>
    <n v="27"/>
    <n v="6.0314852840520192"/>
    <s v="Madina Abdullayeva"/>
    <n v="0"/>
    <x v="0"/>
  </r>
  <r>
    <s v="EMP-0469"/>
    <s v="Mohira Qodirova"/>
    <s v="Ayol"/>
    <d v="2002-10-10T00:00:00"/>
    <d v="2026-05-30T00:00:00"/>
    <x v="0"/>
    <s v="Dasturchi"/>
    <s v="Junior"/>
    <s v="Qarshi"/>
    <n v="6510000"/>
    <n v="4"/>
    <x v="0"/>
    <n v="1"/>
    <x v="0"/>
    <s v="Magistr"/>
    <x v="0"/>
    <m/>
    <x v="0"/>
    <n v="23"/>
    <n v="0.33675564681724846"/>
    <s v="Jasur Yusupov"/>
    <n v="0"/>
    <x v="2"/>
  </r>
  <r>
    <s v="EMP-0002"/>
    <s v="Timur Karimov"/>
    <s v="Erkak"/>
    <d v="1991-03-10T00:00:00"/>
    <d v="2020-10-04T00:00:00"/>
    <x v="0"/>
    <s v="QA muhandisi"/>
    <s v="Junior"/>
    <s v="Samarqand"/>
    <n v="6490000"/>
    <n v="3"/>
    <x v="0"/>
    <n v="11"/>
    <x v="2"/>
    <s v="O'rta maxsus"/>
    <x v="0"/>
    <m/>
    <x v="0"/>
    <n v="35"/>
    <n v="5.9876796714579053"/>
    <s v="Jasur Yusupov"/>
    <n v="0"/>
    <x v="0"/>
  </r>
  <r>
    <s v="EMP-0434"/>
    <s v="Nigora Nazarova"/>
    <s v="Ayol"/>
    <d v="1991-04-08T00:00:00"/>
    <d v="2026-07-12T00:00:00"/>
    <x v="3"/>
    <s v="Buxgalter"/>
    <s v="Middle"/>
    <s v="Farg'ona"/>
    <n v="6490000"/>
    <n v="3"/>
    <x v="0"/>
    <n v="23"/>
    <x v="0"/>
    <s v="Bakalavr"/>
    <x v="0"/>
    <m/>
    <x v="0"/>
    <n v="35"/>
    <n v="0.21902806297056809"/>
    <s v="Madina Abdullayeva"/>
    <n v="0"/>
    <x v="2"/>
  </r>
  <r>
    <s v="EMP-0505"/>
    <s v="Mohira Ismoilova"/>
    <s v="Ayol"/>
    <d v="1996-01-19T00:00:00"/>
    <d v="2018-10-17T00:00:00"/>
    <x v="0"/>
    <s v="Tizim administratori"/>
    <s v="Junior"/>
    <s v="Toshkent"/>
    <n v="6490000"/>
    <n v="4"/>
    <x v="3"/>
    <n v="24"/>
    <x v="0"/>
    <s v="Bakalavr"/>
    <x v="1"/>
    <d v="2025-03-01T00:00:00"/>
    <x v="5"/>
    <n v="30"/>
    <n v="6.3709787816564001"/>
    <s v="Jasur Yusupov"/>
    <n v="1"/>
    <x v="0"/>
  </r>
  <r>
    <s v="EMP-0687"/>
    <s v="Rustam Nazarov"/>
    <s v="Erkak"/>
    <d v="2006-01-19T00:00:00"/>
    <d v="2026-03-12T00:00:00"/>
    <x v="0"/>
    <s v="Dasturchi"/>
    <s v="Junior"/>
    <s v="Qarshi"/>
    <n v="6490000"/>
    <n v="5"/>
    <x v="3"/>
    <n v="10"/>
    <x v="0"/>
    <s v="Magistr"/>
    <x v="0"/>
    <m/>
    <x v="0"/>
    <n v="20"/>
    <n v="0.55304585900068448"/>
    <s v="Jasur Yusupov"/>
    <n v="0"/>
    <x v="2"/>
  </r>
  <r>
    <s v="EMP-0608"/>
    <s v="Dilshod Rahimov"/>
    <s v="Erkak"/>
    <d v="1993-10-14T00:00:00"/>
    <d v="2024-08-08T00:00:00"/>
    <x v="0"/>
    <s v="Dasturchi"/>
    <s v="Junior"/>
    <s v="Toshkent"/>
    <n v="6480000"/>
    <n v="4"/>
    <x v="0"/>
    <n v="21"/>
    <x v="2"/>
    <s v="O'rta maxsus"/>
    <x v="0"/>
    <m/>
    <x v="0"/>
    <n v="32"/>
    <n v="2.1437371663244353"/>
    <s v="Jasur Yusupov"/>
    <n v="0"/>
    <x v="1"/>
  </r>
  <r>
    <s v="EMP-0629"/>
    <s v="Zilola Mirzayeva"/>
    <s v="Ayol"/>
    <d v="1989-01-01T00:00:00"/>
    <d v="2024-03-21T00:00:00"/>
    <x v="0"/>
    <s v="QA muhandisi"/>
    <s v="Junior"/>
    <s v="Samarqand"/>
    <n v="6470000"/>
    <m/>
    <x v="4"/>
    <n v="0"/>
    <x v="0"/>
    <s v="Magistr"/>
    <x v="0"/>
    <m/>
    <x v="0"/>
    <n v="37"/>
    <n v="2.5270362765229293"/>
    <s v="Jasur Yusupov"/>
    <n v="0"/>
    <x v="1"/>
  </r>
  <r>
    <s v="EMP-0205"/>
    <s v="Dilshod Ismoilov"/>
    <s v="Erkak"/>
    <d v="1994-03-04T00:00:00"/>
    <d v="2024-01-25T00:00:00"/>
    <x v="6"/>
    <s v="Mijozlar bilan ishlash mutaxassisi"/>
    <s v="Middle"/>
    <s v="Andijon"/>
    <n v="6460000"/>
    <n v="4"/>
    <x v="2"/>
    <n v="19"/>
    <x v="2"/>
    <s v="Bakalavr"/>
    <x v="0"/>
    <m/>
    <x v="0"/>
    <n v="32"/>
    <n v="2.6803559206023273"/>
    <s v="Shahlo Ismoilova"/>
    <n v="0"/>
    <x v="1"/>
  </r>
  <r>
    <s v="EMP-0772"/>
    <s v="Zilola Sobirova"/>
    <s v="Ayol"/>
    <d v="1992-05-12T00:00:00"/>
    <d v="2021-02-06T00:00:00"/>
    <x v="5"/>
    <s v="Logist"/>
    <s v="Middle"/>
    <s v="Toshkent"/>
    <n v="6450000"/>
    <n v="2"/>
    <x v="1"/>
    <n v="15"/>
    <x v="0"/>
    <s v="Bakalavr"/>
    <x v="0"/>
    <m/>
    <x v="0"/>
    <n v="34"/>
    <n v="5.6454483230663932"/>
    <s v="Sardor Nazarov"/>
    <n v="0"/>
    <x v="0"/>
  </r>
  <r>
    <s v="EMP-0288"/>
    <s v="Dilfuza Mirzayeva"/>
    <s v="Ayol"/>
    <d v="1997-05-15T00:00:00"/>
    <d v="2026-05-19T00:00:00"/>
    <x v="5"/>
    <s v="Ombor mudiri"/>
    <s v="Middle"/>
    <s v="Samarqand"/>
    <n v="6440000"/>
    <n v="2"/>
    <x v="0"/>
    <n v="2"/>
    <x v="2"/>
    <s v="Magistr"/>
    <x v="0"/>
    <m/>
    <x v="0"/>
    <n v="29"/>
    <n v="0.36687200547570159"/>
    <s v="Sardor Nazarov"/>
    <n v="0"/>
    <x v="2"/>
  </r>
  <r>
    <s v="EMP-0734"/>
    <s v="Mohira Yusupova"/>
    <s v="Ayol"/>
    <d v="1988-05-14T00:00:00"/>
    <d v="2018-11-29T00:00:00"/>
    <x v="2"/>
    <s v="Hudud menejeri"/>
    <s v="Middle"/>
    <s v="Toshkent"/>
    <n v="6440000"/>
    <n v="4"/>
    <x v="0"/>
    <n v="23"/>
    <x v="0"/>
    <s v="Bakalavr"/>
    <x v="0"/>
    <m/>
    <x v="0"/>
    <n v="38"/>
    <n v="7.8357289527720742"/>
    <s v="Aziz Karimov"/>
    <n v="0"/>
    <x v="0"/>
  </r>
  <r>
    <s v="EMP-0225"/>
    <s v="Feruza Mirzayeva"/>
    <s v="Ayol"/>
    <d v="2002-12-15T00:00:00"/>
    <d v="2023-08-02T00:00:00"/>
    <x v="5"/>
    <s v="Haydovchi-ekspeditor"/>
    <s v="Middle"/>
    <s v="Namangan"/>
    <n v="6430000"/>
    <n v="3"/>
    <x v="0"/>
    <n v="7"/>
    <x v="2"/>
    <s v="Bakalavr"/>
    <x v="0"/>
    <m/>
    <x v="0"/>
    <n v="23"/>
    <n v="3.162217659137577"/>
    <s v="Sardor Nazarov"/>
    <n v="0"/>
    <x v="0"/>
  </r>
  <r>
    <s v="EMP-0327"/>
    <s v="Dilshod Ergashev"/>
    <s v="Erkak"/>
    <d v="1998-08-19T00:00:00"/>
    <d v="2023-11-02T00:00:00"/>
    <x v="3"/>
    <s v="Moliyaviy tahlilchi"/>
    <s v="Middle"/>
    <s v="Buxoro"/>
    <n v="6430000"/>
    <n v="5"/>
    <x v="2"/>
    <n v="8"/>
    <x v="0"/>
    <s v="O'rta maxsus"/>
    <x v="0"/>
    <m/>
    <x v="0"/>
    <n v="28"/>
    <n v="2.9103353867214237"/>
    <s v="Madina Abdullayeva"/>
    <n v="0"/>
    <x v="1"/>
  </r>
  <r>
    <s v="EMP-0004"/>
    <s v="Bobur Saidov"/>
    <s v="Erkak"/>
    <d v="2004-03-16T00:00:00"/>
    <d v="2025-12-07T00:00:00"/>
    <x v="0"/>
    <s v="QA muhandisi"/>
    <s v="Junior"/>
    <s v="Farg'ona"/>
    <n v="6410000"/>
    <n v="4"/>
    <x v="3"/>
    <n v="20"/>
    <x v="0"/>
    <s v="O'rta maxsus"/>
    <x v="0"/>
    <m/>
    <x v="0"/>
    <n v="22"/>
    <n v="0.81314168377823404"/>
    <s v="Jasur Yusupov"/>
    <n v="0"/>
    <x v="2"/>
  </r>
  <r>
    <s v="EMP-0042"/>
    <s v="Kamola Hasanova"/>
    <s v="Ayol"/>
    <d v="1998-11-14T00:00:00"/>
    <d v="2025-02-19T00:00:00"/>
    <x v="6"/>
    <s v="Call-markaz operatori"/>
    <s v="Middle"/>
    <s v="Samarqand"/>
    <n v="6410000"/>
    <n v="3"/>
    <x v="3"/>
    <n v="15"/>
    <x v="2"/>
    <s v="O'rta maxsus"/>
    <x v="0"/>
    <m/>
    <x v="0"/>
    <n v="27"/>
    <n v="1.6098562628336757"/>
    <s v="Shahlo Ismoilova"/>
    <n v="0"/>
    <x v="1"/>
  </r>
  <r>
    <s v="EMP-0386"/>
    <s v="Jahongir Qodirov"/>
    <s v="Erkak"/>
    <d v="1994-08-15T00:00:00"/>
    <d v="2025-04-06T00:00:00"/>
    <x v="0"/>
    <s v="Dasturchi"/>
    <s v="Junior"/>
    <s v="Farg'ona"/>
    <n v="6410000"/>
    <n v="3"/>
    <x v="3"/>
    <n v="27"/>
    <x v="2"/>
    <s v="Magistr"/>
    <x v="0"/>
    <m/>
    <x v="0"/>
    <n v="32"/>
    <n v="1.483915126625599"/>
    <s v="Jasur Yusupov"/>
    <n v="0"/>
    <x v="1"/>
  </r>
  <r>
    <s v="EMP-0430"/>
    <s v="Akmal Normatov"/>
    <s v="Erkak"/>
    <d v="1992-07-15T00:00:00"/>
    <d v="2019-09-19T00:00:00"/>
    <x v="6"/>
    <s v="Mijozlar bilan ishlash mutaxassisi"/>
    <s v="Middle"/>
    <s v="Qarshi"/>
    <n v="6390000"/>
    <n v="3"/>
    <x v="3"/>
    <n v="21"/>
    <x v="2"/>
    <s v="Bakalavr"/>
    <x v="0"/>
    <m/>
    <x v="0"/>
    <n v="34"/>
    <n v="7.0308008213552364"/>
    <s v="Shahlo Ismoilova"/>
    <n v="0"/>
    <x v="0"/>
  </r>
  <r>
    <s v="EMP-0630"/>
    <s v="Sardor Rahimov"/>
    <s v="Erkak"/>
    <d v="2001-02-21T00:00:00"/>
    <d v="2023-07-06T00:00:00"/>
    <x v="0"/>
    <s v="Tizim administratori"/>
    <s v="Junior"/>
    <s v="Toshkent"/>
    <n v="6360000"/>
    <n v="3"/>
    <x v="4"/>
    <n v="12"/>
    <x v="0"/>
    <s v="Bakalavr"/>
    <x v="0"/>
    <m/>
    <x v="0"/>
    <n v="25"/>
    <n v="3.2361396303901437"/>
    <s v="Jasur Yusupov"/>
    <n v="0"/>
    <x v="0"/>
  </r>
  <r>
    <s v="EMP-0674"/>
    <s v="Madina Mirzayeva"/>
    <s v="Ayol"/>
    <d v="1992-08-23T00:00:00"/>
    <d v="2025-01-18T00:00:00"/>
    <x v="5"/>
    <s v="Haydovchi-ekspeditor"/>
    <s v="Middle"/>
    <s v="Toshkent"/>
    <n v="6360000"/>
    <n v="3"/>
    <x v="4"/>
    <n v="20"/>
    <x v="0"/>
    <s v="O'rta maxsus"/>
    <x v="0"/>
    <m/>
    <x v="0"/>
    <n v="34"/>
    <n v="1.6974674880219027"/>
    <s v="Sardor Nazarov"/>
    <n v="0"/>
    <x v="1"/>
  </r>
  <r>
    <s v="EMP-0785"/>
    <s v="Zilola Saidova"/>
    <s v="Ayol"/>
    <d v="1994-05-04T00:00:00"/>
    <d v="2017-01-19T00:00:00"/>
    <x v="2"/>
    <s v="Sotuv menejeri"/>
    <s v="Middle"/>
    <s v="Buxoro"/>
    <n v="6360000"/>
    <n v="5"/>
    <x v="4"/>
    <n v="8"/>
    <x v="0"/>
    <s v="Bakalavr"/>
    <x v="0"/>
    <m/>
    <x v="0"/>
    <n v="32"/>
    <n v="9.6947296372347704"/>
    <s v="Aziz Karimov"/>
    <n v="0"/>
    <x v="0"/>
  </r>
  <r>
    <s v="EMP-0239"/>
    <s v="Akmal Normatov"/>
    <s v="Erkak"/>
    <d v="2002-04-21T00:00:00"/>
    <d v="2026-04-07T00:00:00"/>
    <x v="2"/>
    <s v="Sotuv menejeri"/>
    <s v="Middle"/>
    <s v="Farg'ona"/>
    <n v="6340000"/>
    <n v="5"/>
    <x v="3"/>
    <n v="23"/>
    <x v="0"/>
    <s v="O'rta maxsus"/>
    <x v="0"/>
    <m/>
    <x v="0"/>
    <n v="24"/>
    <n v="0.48186173853524983"/>
    <s v="Aziz Karimov"/>
    <n v="0"/>
    <x v="2"/>
  </r>
  <r>
    <s v="EMP-0561"/>
    <s v="Sherzod Umarov"/>
    <s v="Erkak"/>
    <d v="1996-01-14T00:00:00"/>
    <d v="2024-09-23T00:00:00"/>
    <x v="5"/>
    <s v="Haydovchi-ekspeditor"/>
    <s v="Middle"/>
    <s v="Toshkent"/>
    <n v="6340000"/>
    <n v="4"/>
    <x v="2"/>
    <n v="10"/>
    <x v="1"/>
    <s v="O'rta maxsus"/>
    <x v="0"/>
    <m/>
    <x v="0"/>
    <n v="30"/>
    <n v="2.0177960301163584"/>
    <s v="Sardor Nazarov"/>
    <n v="0"/>
    <x v="1"/>
  </r>
  <r>
    <s v="EMP-0065"/>
    <s v="Behruz Mirzayev"/>
    <s v="Erkak"/>
    <d v="1992-01-26T00:00:00"/>
    <d v="2017-03-27T00:00:00"/>
    <x v="1"/>
    <s v="Marketolog"/>
    <s v="Middle"/>
    <s v="Toshkent"/>
    <n v="6310000"/>
    <n v="4"/>
    <x v="3"/>
    <n v="6"/>
    <x v="2"/>
    <m/>
    <x v="0"/>
    <m/>
    <x v="0"/>
    <n v="34"/>
    <n v="9.5112936344969192"/>
    <s v="Dilnoza Rahimova"/>
    <n v="0"/>
    <x v="0"/>
  </r>
  <r>
    <s v="EMP-0275"/>
    <s v="Rustam Abdullayev"/>
    <s v="Erkak"/>
    <d v="1990-10-14T00:00:00"/>
    <d v="2022-03-07T00:00:00"/>
    <x v="1"/>
    <s v="Marketolog"/>
    <s v="Middle"/>
    <s v="Farg'ona"/>
    <n v="6300000"/>
    <n v="4"/>
    <x v="1"/>
    <n v="20"/>
    <x v="0"/>
    <s v="Bakalavr"/>
    <x v="0"/>
    <m/>
    <x v="0"/>
    <n v="35"/>
    <n v="4.5667351129363452"/>
    <s v="Dilnoza Rahimova"/>
    <n v="0"/>
    <x v="0"/>
  </r>
  <r>
    <s v="EMP-0725"/>
    <s v="Timur Abdullayev"/>
    <s v="Erkak"/>
    <d v="1986-01-10T00:00:00"/>
    <d v="2022-01-17T00:00:00"/>
    <x v="6"/>
    <s v="Call-markaz operatori"/>
    <s v="Middle"/>
    <s v="Toshkent"/>
    <n v="6290000"/>
    <n v="3"/>
    <x v="2"/>
    <n v="28"/>
    <x v="0"/>
    <s v="O'rta maxsus"/>
    <x v="0"/>
    <m/>
    <x v="0"/>
    <n v="40"/>
    <n v="4.7008898015058183"/>
    <s v="Shahlo Ismoilova"/>
    <n v="0"/>
    <x v="0"/>
  </r>
  <r>
    <s v="EMP-0459"/>
    <s v="Kamola Saidova"/>
    <s v="Ayol"/>
    <d v="2004-04-05T00:00:00"/>
    <d v="2025-09-15T00:00:00"/>
    <x v="3"/>
    <s v="Buxgalter"/>
    <s v="Middle"/>
    <s v="Toshkent"/>
    <n v="6280000"/>
    <n v="5"/>
    <x v="1"/>
    <n v="0"/>
    <x v="1"/>
    <s v="Bakalavr"/>
    <x v="1"/>
    <d v="2026-08-22T00:00:00"/>
    <x v="1"/>
    <n v="22"/>
    <n v="0.93360711841204658"/>
    <s v="Madina Abdullayeva"/>
    <n v="1"/>
    <x v="2"/>
  </r>
  <r>
    <s v="EMP-0760"/>
    <s v="Timur Mirzayev"/>
    <s v="Erkak"/>
    <d v="1997-12-18T00:00:00"/>
    <d v="2024-09-04T00:00:00"/>
    <x v="3"/>
    <s v="Buxgalter"/>
    <s v="Middle"/>
    <s v="Toshkent"/>
    <n v="6260000"/>
    <n v="3"/>
    <x v="3"/>
    <n v="0"/>
    <x v="0"/>
    <s v="Bakalavr"/>
    <x v="0"/>
    <m/>
    <x v="0"/>
    <n v="28"/>
    <n v="2.0698151950718686"/>
    <s v="Madina Abdullayeva"/>
    <n v="0"/>
    <x v="1"/>
  </r>
  <r>
    <s v="EMP-0211"/>
    <s v="Kamola Yusupova"/>
    <s v="Ayol"/>
    <d v="1992-03-09T00:00:00"/>
    <d v="2025-07-26T00:00:00"/>
    <x v="5"/>
    <s v="Ombor mudiri"/>
    <s v="Middle"/>
    <s v="Buxoro"/>
    <n v="6250000"/>
    <n v="2"/>
    <x v="3"/>
    <n v="9"/>
    <x v="0"/>
    <s v="Bakalavr"/>
    <x v="0"/>
    <m/>
    <x v="0"/>
    <n v="34"/>
    <n v="1.1800136892539357"/>
    <s v="Sardor Nazarov"/>
    <n v="0"/>
    <x v="1"/>
  </r>
  <r>
    <s v="EMP-0189"/>
    <s v="Aziz Umarov"/>
    <s v="Erkak"/>
    <d v="1996-03-16T00:00:00"/>
    <d v="2021-03-23T00:00:00"/>
    <x v="2"/>
    <s v="Hudud menejeri"/>
    <s v="Middle"/>
    <s v="Toshkent"/>
    <n v="6240000"/>
    <n v="4"/>
    <x v="1"/>
    <n v="3"/>
    <x v="0"/>
    <s v="O'rta maxsus"/>
    <x v="0"/>
    <m/>
    <x v="0"/>
    <n v="30"/>
    <n v="5.5222450376454484"/>
    <s v="Aziz Karimov"/>
    <n v="0"/>
    <x v="0"/>
  </r>
  <r>
    <s v="EMP-0145"/>
    <s v="Gulnora Qodirova"/>
    <s v="Ayol"/>
    <d v="1990-01-12T00:00:00"/>
    <d v="2026-03-16T00:00:00"/>
    <x v="6"/>
    <s v="Mijozlar bilan ishlash mutaxassisi"/>
    <s v="Middle"/>
    <s v="Toshkent"/>
    <n v="6230000"/>
    <n v="3"/>
    <x v="1"/>
    <n v="25"/>
    <x v="2"/>
    <s v="O'rta maxsus"/>
    <x v="1"/>
    <d v="2026-08-24T00:00:00"/>
    <x v="5"/>
    <n v="36"/>
    <n v="0.44079397672826831"/>
    <s v="Shahlo Ismoilova"/>
    <n v="1"/>
    <x v="2"/>
  </r>
  <r>
    <s v="EMP-0287"/>
    <s v="Shaxzod Qodirov"/>
    <s v="Erkak"/>
    <d v="1984-02-24T00:00:00"/>
    <d v="2022-08-21T00:00:00"/>
    <x v="0"/>
    <s v="Tizim administratori"/>
    <s v="Junior"/>
    <s v="Namangan"/>
    <n v="6220000"/>
    <n v="3"/>
    <x v="0"/>
    <n v="0"/>
    <x v="0"/>
    <s v="Magistr"/>
    <x v="0"/>
    <m/>
    <x v="0"/>
    <n v="42"/>
    <n v="4.1095140314852845"/>
    <s v="Jasur Yusupov"/>
    <n v="0"/>
    <x v="0"/>
  </r>
  <r>
    <s v="EMP-0590"/>
    <s v="Dilnoza Yusupova"/>
    <s v="Ayol"/>
    <d v="1996-11-26T00:00:00"/>
    <d v="2022-12-21T00:00:00"/>
    <x v="2"/>
    <s v="Hudud menejeri"/>
    <s v="Middle"/>
    <s v="Toshkent"/>
    <n v="6220000"/>
    <n v="2"/>
    <x v="0"/>
    <n v="12"/>
    <x v="0"/>
    <s v="Bakalavr"/>
    <x v="1"/>
    <d v="2025-09-30T00:00:00"/>
    <x v="1"/>
    <n v="29"/>
    <n v="2.7761806981519506"/>
    <s v="Aziz Karimov"/>
    <n v="1"/>
    <x v="1"/>
  </r>
  <r>
    <s v="EMP-0614"/>
    <s v="Madina Yusupova"/>
    <s v="Ayol"/>
    <d v="1987-05-09T00:00:00"/>
    <d v="2018-04-19T00:00:00"/>
    <x v="0"/>
    <s v="Dasturchi"/>
    <s v="Junior"/>
    <s v="Toshkent"/>
    <n v="6220000"/>
    <n v="4"/>
    <x v="1"/>
    <n v="0"/>
    <x v="0"/>
    <s v="Bakalavr"/>
    <x v="0"/>
    <m/>
    <x v="0"/>
    <n v="39"/>
    <n v="8.4490075290896645"/>
    <s v="Jasur Yusupov"/>
    <n v="0"/>
    <x v="0"/>
  </r>
  <r>
    <s v="EMP-0383"/>
    <s v="Dilfuza Qodirova"/>
    <s v="Ayol"/>
    <d v="1990-04-26T00:00:00"/>
    <d v="2022-02-19T00:00:00"/>
    <x v="1"/>
    <s v="Marketolog"/>
    <s v="Middle"/>
    <s v="Samarqand"/>
    <n v="6210000"/>
    <n v="4"/>
    <x v="3"/>
    <n v="19"/>
    <x v="0"/>
    <s v="O'rta maxsus"/>
    <x v="0"/>
    <m/>
    <x v="0"/>
    <n v="36"/>
    <n v="4.6105407255304582"/>
    <s v="Dilnoza Rahimova"/>
    <n v="0"/>
    <x v="0"/>
  </r>
  <r>
    <s v="EMP-0678"/>
    <s v="Zilola Ergasheva"/>
    <s v="Ayol"/>
    <d v="1997-12-08T00:00:00"/>
    <d v="2025-08-02T00:00:00"/>
    <x v="0"/>
    <s v="Tizim administratori"/>
    <s v="Junior"/>
    <s v="Andijon"/>
    <n v="6190000"/>
    <n v="1"/>
    <x v="1"/>
    <n v="0"/>
    <x v="0"/>
    <s v="Bakalavr"/>
    <x v="0"/>
    <m/>
    <x v="0"/>
    <n v="28"/>
    <n v="1.160848733744011"/>
    <s v="Jasur Yusupov"/>
    <n v="0"/>
    <x v="1"/>
  </r>
  <r>
    <s v="EMP-0194"/>
    <s v="Akmal Normatov"/>
    <s v="Erkak"/>
    <d v="1985-02-24T00:00:00"/>
    <d v="2022-05-02T00:00:00"/>
    <x v="3"/>
    <s v="Buxgalter"/>
    <s v="Middle"/>
    <s v="Toshkent"/>
    <n v="6180000"/>
    <n v="3"/>
    <x v="1"/>
    <n v="17"/>
    <x v="2"/>
    <s v="Bakalavr"/>
    <x v="1"/>
    <d v="2026-08-15T00:00:00"/>
    <x v="6"/>
    <n v="41"/>
    <n v="4.2874743326488707"/>
    <s v="Madina Abdullayeva"/>
    <n v="1"/>
    <x v="0"/>
  </r>
  <r>
    <s v="EMP-0369"/>
    <s v="Aziza Ergasheva"/>
    <s v="Ayol"/>
    <d v="1987-01-19T00:00:00"/>
    <d v="2024-05-10T00:00:00"/>
    <x v="6"/>
    <s v="Call-markaz operatori"/>
    <s v="Middle"/>
    <s v="Andijon"/>
    <n v="6170000"/>
    <n v="4"/>
    <x v="3"/>
    <n v="17"/>
    <x v="2"/>
    <s v="Bakalavr"/>
    <x v="0"/>
    <m/>
    <x v="0"/>
    <n v="39"/>
    <n v="2.3901437371663246"/>
    <s v="Shahlo Ismoilova"/>
    <n v="0"/>
    <x v="1"/>
  </r>
  <r>
    <s v="EMP-0622"/>
    <s v="Sardor Nazarov"/>
    <s v="Erkak"/>
    <d v="1988-02-07T00:00:00"/>
    <d v="2026-08-28T00:00:00"/>
    <x v="6"/>
    <s v="Mijozlar bilan ishlash mutaxassisi"/>
    <s v="Middle"/>
    <s v="Toshkent"/>
    <n v="6170000"/>
    <n v="5"/>
    <x v="0"/>
    <n v="25"/>
    <x v="2"/>
    <s v="O'rta maxsus"/>
    <x v="0"/>
    <m/>
    <x v="0"/>
    <n v="38"/>
    <n v="9.034907597535935E-2"/>
    <s v="Shahlo Ismoilova"/>
    <n v="0"/>
    <x v="2"/>
  </r>
  <r>
    <s v="EMP-0172"/>
    <s v="Madina Ismoilova"/>
    <s v="Ayol"/>
    <d v="2002-12-13T00:00:00"/>
    <d v="2024-05-11T00:00:00"/>
    <x v="6"/>
    <s v="Call-markaz operatori"/>
    <s v="Middle"/>
    <s v="Toshkent"/>
    <n v="6160000"/>
    <n v="1"/>
    <x v="1"/>
    <n v="39"/>
    <x v="0"/>
    <s v="Magistr"/>
    <x v="1"/>
    <d v="2025-04-18T00:00:00"/>
    <x v="3"/>
    <n v="23"/>
    <n v="0.93634496919917864"/>
    <s v="Shahlo Ismoilova"/>
    <n v="1"/>
    <x v="2"/>
  </r>
  <r>
    <s v="EMP-0575"/>
    <s v="Kamola Umarova"/>
    <s v="Ayol"/>
    <d v="1999-02-18T00:00:00"/>
    <d v="2023-12-04T00:00:00"/>
    <x v="2"/>
    <s v="Savdo vakili"/>
    <s v="Middle"/>
    <s v="Toshkent"/>
    <n v="6160000"/>
    <n v="4"/>
    <x v="0"/>
    <n v="15"/>
    <x v="0"/>
    <m/>
    <x v="0"/>
    <m/>
    <x v="0"/>
    <n v="27"/>
    <n v="2.8227241615331966"/>
    <s v="Aziz Karimov"/>
    <n v="0"/>
    <x v="1"/>
  </r>
  <r>
    <s v="EMP-0617"/>
    <s v="Rustam Abdullayev"/>
    <s v="Erkak"/>
    <d v="2006-02-08T00:00:00"/>
    <d v="2026-06-04T00:00:00"/>
    <x v="6"/>
    <s v="Call-markaz operatori"/>
    <s v="Middle"/>
    <s v="Toshkent"/>
    <n v="6160000"/>
    <n v="4"/>
    <x v="3"/>
    <n v="15"/>
    <x v="0"/>
    <s v="Bakalavr"/>
    <x v="0"/>
    <m/>
    <x v="0"/>
    <n v="20"/>
    <n v="0.32306639288158795"/>
    <s v="Shahlo Ismoilova"/>
    <n v="0"/>
    <x v="2"/>
  </r>
  <r>
    <s v="EMP-0167"/>
    <s v="Timur Normatov"/>
    <s v="Erkak"/>
    <d v="1977-10-05T00:00:00"/>
    <d v="2023-03-12T00:00:00"/>
    <x v="2"/>
    <s v="Hudud menejeri"/>
    <s v="Middle"/>
    <s v="Farg'ona"/>
    <n v="6140000"/>
    <n v="5"/>
    <x v="3"/>
    <n v="10"/>
    <x v="1"/>
    <s v="Bakalavr"/>
    <x v="0"/>
    <m/>
    <x v="0"/>
    <n v="48"/>
    <n v="3.5537303216974676"/>
    <s v="Aziz Karimov"/>
    <n v="0"/>
    <x v="0"/>
  </r>
  <r>
    <s v="EMP-0278"/>
    <s v="Kamola Sobirova"/>
    <s v="Ayol"/>
    <d v="1999-10-22T00:00:00"/>
    <d v="2023-10-09T00:00:00"/>
    <x v="2"/>
    <s v="Sotuv menejeri"/>
    <s v="Middle"/>
    <s v="Toshkent"/>
    <n v="6140000"/>
    <n v="2"/>
    <x v="2"/>
    <n v="17"/>
    <x v="2"/>
    <s v="Bakalavr"/>
    <x v="0"/>
    <m/>
    <x v="0"/>
    <n v="26"/>
    <n v="2.9760438056125942"/>
    <s v="Aziz Karimov"/>
    <n v="0"/>
    <x v="1"/>
  </r>
  <r>
    <s v="EMP-0411"/>
    <s v="Otabek Normatov"/>
    <s v="Erkak"/>
    <d v="1987-03-14T00:00:00"/>
    <d v="2019-05-05T00:00:00"/>
    <x v="0"/>
    <s v="QA muhandisi"/>
    <s v="Junior"/>
    <s v="Samarqand"/>
    <n v="6110000"/>
    <n v="4"/>
    <x v="3"/>
    <n v="6"/>
    <x v="0"/>
    <s v="Bakalavr"/>
    <x v="0"/>
    <m/>
    <x v="0"/>
    <n v="39"/>
    <n v="7.4058863791923342"/>
    <s v="Jasur Yusupov"/>
    <n v="0"/>
    <x v="0"/>
  </r>
  <r>
    <s v="EMP-0210"/>
    <s v="Mohira Yusupova"/>
    <s v="Ayol"/>
    <d v="1996-08-07T00:00:00"/>
    <d v="2024-08-04T00:00:00"/>
    <x v="5"/>
    <s v="Ombor mudiri"/>
    <s v="Middle"/>
    <s v="Namangan"/>
    <n v="6090000"/>
    <n v="3"/>
    <x v="0"/>
    <n v="39"/>
    <x v="0"/>
    <s v="Bakalavr"/>
    <x v="0"/>
    <m/>
    <x v="0"/>
    <n v="30"/>
    <n v="2.1546885694729636"/>
    <s v="Sardor Nazarov"/>
    <n v="0"/>
    <x v="1"/>
  </r>
  <r>
    <s v="EMP-0454"/>
    <s v="Feruza Ismoilova"/>
    <s v="Ayol"/>
    <d v="2006-02-02T00:00:00"/>
    <d v="2026-03-09T00:00:00"/>
    <x v="0"/>
    <s v="QA muhandisi"/>
    <s v="Junior"/>
    <s v="Samarqand"/>
    <n v="6080000"/>
    <n v="4"/>
    <x v="0"/>
    <n v="6"/>
    <x v="0"/>
    <s v="O'rta maxsus"/>
    <x v="1"/>
    <d v="2026-08-02T00:00:00"/>
    <x v="7"/>
    <n v="20"/>
    <n v="0.39972621492128679"/>
    <s v="Jasur Yusupov"/>
    <n v="1"/>
    <x v="2"/>
  </r>
  <r>
    <s v="EMP-0100"/>
    <s v="Dilfuza Ismoilova"/>
    <s v="Ayol"/>
    <d v="1990-04-10T00:00:00"/>
    <d v="2019-07-12T00:00:00"/>
    <x v="4"/>
    <s v="Rekruter"/>
    <s v="Middle"/>
    <s v="Toshkent"/>
    <n v="6070000"/>
    <n v="4"/>
    <x v="0"/>
    <n v="27"/>
    <x v="0"/>
    <s v="Bakalavr"/>
    <x v="1"/>
    <d v="2025-12-30T00:00:00"/>
    <x v="3"/>
    <n v="36"/>
    <n v="6.4695414099931554"/>
    <s v="Nodira Tursunova"/>
    <n v="1"/>
    <x v="0"/>
  </r>
  <r>
    <s v="EMP-0064"/>
    <s v="Sevara Hasanova"/>
    <s v="Ayol"/>
    <d v="2001-01-05T00:00:00"/>
    <d v="2021-07-30T00:00:00"/>
    <x v="3"/>
    <s v="Kassir"/>
    <s v="Middle"/>
    <s v="Samarqand"/>
    <n v="6060000"/>
    <n v="3"/>
    <x v="1"/>
    <n v="16"/>
    <x v="0"/>
    <s v="Bakalavr"/>
    <x v="0"/>
    <m/>
    <x v="0"/>
    <n v="25"/>
    <n v="5.1690622861054072"/>
    <s v="Madina Abdullayeva"/>
    <n v="0"/>
    <x v="0"/>
  </r>
  <r>
    <s v="EMP-0214"/>
    <s v="Ulugbek Hasanov"/>
    <s v="Erkak"/>
    <d v="1987-09-01T00:00:00"/>
    <d v="2021-10-07T00:00:00"/>
    <x v="6"/>
    <s v="Call-markaz operatori"/>
    <s v="Middle"/>
    <s v="Andijon"/>
    <n v="6010000"/>
    <n v="3"/>
    <x v="0"/>
    <n v="18"/>
    <x v="0"/>
    <s v="Bakalavr"/>
    <x v="0"/>
    <m/>
    <x v="0"/>
    <n v="39"/>
    <n v="4.9801505817932918"/>
    <s v="Shahlo Ismoilova"/>
    <n v="0"/>
    <x v="0"/>
  </r>
  <r>
    <s v="EMP-0073"/>
    <s v="Sevara Ergasheva"/>
    <s v="Ayol"/>
    <d v="1986-07-17T00:00:00"/>
    <d v="2016-11-20T00:00:00"/>
    <x v="6"/>
    <s v="Mijozlar bilan ishlash mutaxassisi"/>
    <s v="Middle"/>
    <s v="Toshkent"/>
    <n v="5990000"/>
    <n v="4"/>
    <x v="0"/>
    <n v="22"/>
    <x v="2"/>
    <s v="O'rta maxsus"/>
    <x v="0"/>
    <m/>
    <x v="0"/>
    <n v="40"/>
    <n v="9.8590006844626963"/>
    <s v="Shahlo Ismoilova"/>
    <n v="0"/>
    <x v="0"/>
  </r>
  <r>
    <s v="EMP-0095"/>
    <s v="Dilnoza Karimova"/>
    <s v="Ayol"/>
    <d v="1995-02-07T00:00:00"/>
    <d v="2020-06-05T00:00:00"/>
    <x v="6"/>
    <s v="Call-markaz operatori"/>
    <s v="Middle"/>
    <s v="Andijon"/>
    <n v="5990000"/>
    <n v="3"/>
    <x v="0"/>
    <n v="7"/>
    <x v="0"/>
    <s v="O'rta maxsus"/>
    <x v="0"/>
    <m/>
    <x v="0"/>
    <n v="31"/>
    <n v="6.3189596167008899"/>
    <s v="Shahlo Ismoilova"/>
    <n v="0"/>
    <x v="0"/>
  </r>
  <r>
    <s v="EMP-0292"/>
    <s v="Nodira Saidova"/>
    <s v="Ayol"/>
    <d v="1997-07-06T00:00:00"/>
    <d v="2026-04-17T00:00:00"/>
    <x v="6"/>
    <s v="Mijozlar bilan ishlash mutaxassisi"/>
    <s v="Middle"/>
    <s v="Qarshi"/>
    <n v="5980000"/>
    <n v="2"/>
    <x v="3"/>
    <n v="9"/>
    <x v="0"/>
    <s v="Magistr"/>
    <x v="1"/>
    <d v="2026-06-28T00:00:00"/>
    <x v="4"/>
    <n v="29"/>
    <n v="0.1971252566735113"/>
    <s v="Shahlo Ismoilova"/>
    <n v="1"/>
    <x v="2"/>
  </r>
  <r>
    <s v="EMP-0157"/>
    <s v="Nodira Ergasheva"/>
    <s v="Ayol"/>
    <d v="1990-10-17T00:00:00"/>
    <d v="2020-10-15T00:00:00"/>
    <x v="2"/>
    <s v="Savdo vakili"/>
    <s v="Middle"/>
    <s v="Toshkent"/>
    <n v="5960000"/>
    <n v="4"/>
    <x v="1"/>
    <n v="8"/>
    <x v="2"/>
    <s v="O'rta maxsus"/>
    <x v="1"/>
    <d v="2026-04-25T00:00:00"/>
    <x v="7"/>
    <n v="35"/>
    <n v="5.5249828884325805"/>
    <s v="Aziz Karimov"/>
    <n v="1"/>
    <x v="0"/>
  </r>
  <r>
    <s v="EMP-0174"/>
    <s v="Sardor Tursunov"/>
    <s v="Erkak"/>
    <d v="1994-05-03T00:00:00"/>
    <d v="2021-10-24T00:00:00"/>
    <x v="6"/>
    <s v="Call-markaz operatori"/>
    <s v="Middle"/>
    <s v="Samarqand"/>
    <n v="5960000"/>
    <n v="3"/>
    <x v="4"/>
    <n v="10"/>
    <x v="2"/>
    <s v="Bakalavr"/>
    <x v="0"/>
    <m/>
    <x v="0"/>
    <n v="32"/>
    <n v="4.9336071184120467"/>
    <s v="Shahlo Ismoilova"/>
    <n v="0"/>
    <x v="0"/>
  </r>
  <r>
    <s v="EMP-0744"/>
    <s v="Dilfuza Sobirova"/>
    <s v="Ayol"/>
    <d v="1984-10-08T00:00:00"/>
    <d v="2019-03-05T00:00:00"/>
    <x v="0"/>
    <s v="QA muhandisi"/>
    <s v="Junior"/>
    <s v="Samarqand"/>
    <n v="5960000"/>
    <n v="4"/>
    <x v="3"/>
    <n v="15"/>
    <x v="2"/>
    <s v="O'rta maxsus"/>
    <x v="0"/>
    <m/>
    <x v="0"/>
    <n v="41"/>
    <n v="7.5728952772073921"/>
    <s v="Jasur Yusupov"/>
    <n v="0"/>
    <x v="0"/>
  </r>
  <r>
    <s v="EMP-0398"/>
    <s v="Zilola Sobirova"/>
    <s v="Ayol"/>
    <d v="2001-02-06T00:00:00"/>
    <d v="2026-04-03T00:00:00"/>
    <x v="5"/>
    <s v="Ombor mudiri"/>
    <s v="Middle"/>
    <s v="Toshkent"/>
    <n v="5950000"/>
    <n v="2"/>
    <x v="0"/>
    <n v="19"/>
    <x v="0"/>
    <s v="Bakalavr"/>
    <x v="0"/>
    <m/>
    <x v="0"/>
    <n v="25"/>
    <n v="0.49281314168377821"/>
    <s v="Sardor Nazarov"/>
    <n v="0"/>
    <x v="2"/>
  </r>
  <r>
    <s v="EMP-0580"/>
    <s v="Nodira Qodirova"/>
    <s v="Ayol"/>
    <d v="1989-05-09T00:00:00"/>
    <d v="2021-12-06T00:00:00"/>
    <x v="0"/>
    <s v="Dasturchi"/>
    <s v="Junior"/>
    <s v="Qarshi"/>
    <n v="5950000"/>
    <n v="3"/>
    <x v="2"/>
    <n v="0"/>
    <x v="0"/>
    <s v="Bakalavr"/>
    <x v="0"/>
    <m/>
    <x v="0"/>
    <n v="37"/>
    <n v="4.815879534565366"/>
    <s v="Jasur Yusupov"/>
    <n v="0"/>
    <x v="0"/>
  </r>
  <r>
    <s v="EMP-0347"/>
    <s v="Kamola Tursunova"/>
    <s v="Ayol"/>
    <d v="1982-08-15T00:00:00"/>
    <d v="2018-02-05T00:00:00"/>
    <x v="0"/>
    <s v="QA muhandisi"/>
    <s v="Junior"/>
    <s v="Toshkent"/>
    <n v="5940000"/>
    <n v="4"/>
    <x v="1"/>
    <n v="5"/>
    <x v="2"/>
    <s v="O'rta maxsus"/>
    <x v="0"/>
    <m/>
    <x v="0"/>
    <n v="44"/>
    <n v="8.6488706365503081"/>
    <s v="Jasur Yusupov"/>
    <n v="0"/>
    <x v="0"/>
  </r>
  <r>
    <s v="EMP-0091"/>
    <s v="Mohira Tursunova"/>
    <s v="Ayol"/>
    <d v="1980-02-26T00:00:00"/>
    <d v="2025-11-04T00:00:00"/>
    <x v="6"/>
    <s v="Mijozlar bilan ishlash mutaxassisi"/>
    <s v="Middle"/>
    <s v="Toshkent"/>
    <n v="5930000"/>
    <n v="2"/>
    <x v="3"/>
    <n v="31"/>
    <x v="0"/>
    <s v="Bakalavr"/>
    <x v="0"/>
    <m/>
    <x v="0"/>
    <n v="46"/>
    <n v="0.90349075975359339"/>
    <s v="Shahlo Ismoilova"/>
    <n v="0"/>
    <x v="2"/>
  </r>
  <r>
    <s v="EMP-0426"/>
    <s v="Aziz Nazarov"/>
    <s v="Erkak"/>
    <d v="1990-04-21T00:00:00"/>
    <d v="2024-01-27T00:00:00"/>
    <x v="4"/>
    <s v="Rekruter"/>
    <s v="Middle"/>
    <s v="Toshkent"/>
    <n v="5880000"/>
    <n v="4"/>
    <x v="0"/>
    <n v="23"/>
    <x v="0"/>
    <s v="Bakalavr"/>
    <x v="0"/>
    <m/>
    <x v="0"/>
    <n v="36"/>
    <n v="2.6748802190280632"/>
    <s v="Nodira Tursunova"/>
    <n v="0"/>
    <x v="1"/>
  </r>
  <r>
    <s v="EMP-0113"/>
    <s v="Bobur Nazarov"/>
    <s v="Erkak"/>
    <d v="1996-06-25T00:00:00"/>
    <d v="2026-01-10T00:00:00"/>
    <x v="5"/>
    <s v="Ombor mudiri"/>
    <s v="Middle"/>
    <s v="Samarqand"/>
    <n v="5870000"/>
    <n v="2"/>
    <x v="0"/>
    <n v="7"/>
    <x v="0"/>
    <s v="O'rta maxsus"/>
    <x v="0"/>
    <m/>
    <x v="0"/>
    <n v="30"/>
    <n v="0.72005475701574262"/>
    <s v="Sardor Nazarov"/>
    <n v="0"/>
    <x v="2"/>
  </r>
  <r>
    <s v="EMP-0051"/>
    <s v="Ulugbek Rahimov"/>
    <s v="Erkak"/>
    <d v="2006-09-17T00:00:00"/>
    <d v="2026-09-01T00:00:00"/>
    <x v="2"/>
    <s v="Sotuv menejeri"/>
    <s v="Middle"/>
    <s v="Toshkent"/>
    <n v="5860000"/>
    <n v="3"/>
    <x v="0"/>
    <n v="37"/>
    <x v="1"/>
    <s v="O'rta maxsus"/>
    <x v="0"/>
    <m/>
    <x v="0"/>
    <n v="20"/>
    <n v="7.939767282683094E-2"/>
    <s v="Aziz Karimov"/>
    <n v="0"/>
    <x v="2"/>
  </r>
  <r>
    <s v="EMP-0585"/>
    <s v="Jahongir Normatov"/>
    <s v="Erkak"/>
    <d v="1993-12-28T00:00:00"/>
    <d v="2024-11-13T00:00:00"/>
    <x v="1"/>
    <s v="Kontent menejer"/>
    <s v="Middle"/>
    <s v="Toshkent"/>
    <n v="5860000"/>
    <n v="3"/>
    <x v="0"/>
    <n v="4"/>
    <x v="0"/>
    <s v="Bakalavr"/>
    <x v="0"/>
    <m/>
    <x v="0"/>
    <n v="32"/>
    <n v="1.8781656399726214"/>
    <s v="Dilnoza Rahimova"/>
    <n v="0"/>
    <x v="1"/>
  </r>
  <r>
    <s v="EMP-0123"/>
    <s v="Malika Normatova"/>
    <s v="Ayol"/>
    <d v="2000-12-05T00:00:00"/>
    <d v="2025-10-24T00:00:00"/>
    <x v="0"/>
    <s v="Dasturchi"/>
    <s v="Junior"/>
    <s v="Farg'ona"/>
    <n v="5840000"/>
    <n v="3"/>
    <x v="2"/>
    <n v="1"/>
    <x v="2"/>
    <s v="Magistr"/>
    <x v="0"/>
    <m/>
    <x v="0"/>
    <n v="25"/>
    <n v="0.93360711841204658"/>
    <s v="Jasur Yusupov"/>
    <n v="0"/>
    <x v="2"/>
  </r>
  <r>
    <s v="EMP-0152"/>
    <s v="Sardor Sobirov"/>
    <s v="Erkak"/>
    <d v="1996-08-05T00:00:00"/>
    <d v="2026-06-03T00:00:00"/>
    <x v="6"/>
    <s v="Call-markaz operatori"/>
    <s v="Middle"/>
    <s v="Samarqand"/>
    <n v="5840000"/>
    <n v="3"/>
    <x v="0"/>
    <n v="22"/>
    <x v="0"/>
    <s v="Bakalavr"/>
    <x v="0"/>
    <m/>
    <x v="0"/>
    <n v="30"/>
    <n v="0.32580424366872007"/>
    <s v="Shahlo Ismoilova"/>
    <n v="0"/>
    <x v="2"/>
  </r>
  <r>
    <s v="EMP-0773"/>
    <s v="Malika Rahimova"/>
    <s v="Ayol"/>
    <d v="1984-04-20T00:00:00"/>
    <d v="2024-08-29T00:00:00"/>
    <x v="0"/>
    <s v="Tizim administratori"/>
    <s v="Junior"/>
    <s v="Toshkent"/>
    <n v="5840000"/>
    <n v="1"/>
    <x v="3"/>
    <n v="0"/>
    <x v="1"/>
    <s v="O'rta maxsus"/>
    <x v="0"/>
    <m/>
    <x v="0"/>
    <n v="42"/>
    <n v="2.086242299794661"/>
    <s v="Jasur Yusupov"/>
    <n v="0"/>
    <x v="1"/>
  </r>
  <r>
    <s v="EMP-0158"/>
    <s v="Zilola Abdullayeva"/>
    <s v="Ayol"/>
    <d v="1986-10-02T00:00:00"/>
    <d v="2020-05-07T00:00:00"/>
    <x v="5"/>
    <s v="Haydovchi-ekspeditor"/>
    <s v="Middle"/>
    <s v="Toshkent"/>
    <n v="5810000"/>
    <n v="3"/>
    <x v="3"/>
    <n v="22"/>
    <x v="2"/>
    <s v="Bakalavr"/>
    <x v="0"/>
    <m/>
    <x v="0"/>
    <n v="39"/>
    <n v="6.3983572895277208"/>
    <s v="Sardor Nazarov"/>
    <n v="0"/>
    <x v="0"/>
  </r>
  <r>
    <s v="EMP-0597"/>
    <s v="Jasur Nazarov"/>
    <s v="Erkak"/>
    <d v="2000-07-19T00:00:00"/>
    <d v="2025-06-13T00:00:00"/>
    <x v="0"/>
    <s v="Tizim administratori"/>
    <s v="Junior"/>
    <s v="Toshkent"/>
    <n v="5790000"/>
    <n v="3"/>
    <x v="2"/>
    <n v="9"/>
    <x v="0"/>
    <m/>
    <x v="0"/>
    <m/>
    <x v="0"/>
    <n v="26"/>
    <n v="1.2977412731006159"/>
    <s v="Jasur Yusupov"/>
    <n v="0"/>
    <x v="1"/>
  </r>
  <r>
    <s v="EMP-0224"/>
    <s v="Doniyor Normatov"/>
    <s v="Erkak"/>
    <d v="1979-09-03T00:00:00"/>
    <d v="2025-11-03T00:00:00"/>
    <x v="6"/>
    <s v="Mijozlar bilan ishlash mutaxassisi"/>
    <s v="Middle"/>
    <s v="Namangan"/>
    <n v="5760000"/>
    <n v="4"/>
    <x v="1"/>
    <n v="20"/>
    <x v="0"/>
    <s v="Magistr"/>
    <x v="1"/>
    <d v="2026-02-24T00:00:00"/>
    <x v="7"/>
    <n v="47"/>
    <n v="0.30937713894592744"/>
    <s v="Shahlo Ismoilova"/>
    <n v="1"/>
    <x v="2"/>
  </r>
  <r>
    <s v="EMP-0456"/>
    <s v="Sevara Nazarova"/>
    <s v="Ayol"/>
    <d v="2006-09-11T00:00:00"/>
    <d v="2026-09-02T00:00:00"/>
    <x v="2"/>
    <s v="Hudud menejeri"/>
    <s v="Middle"/>
    <s v="Toshkent"/>
    <n v="5760000"/>
    <n v="2"/>
    <x v="2"/>
    <n v="13"/>
    <x v="0"/>
    <s v="Bakalavr"/>
    <x v="0"/>
    <m/>
    <x v="0"/>
    <n v="20"/>
    <n v="7.665982203969883E-2"/>
    <s v="Aziz Karimov"/>
    <n v="0"/>
    <x v="2"/>
  </r>
  <r>
    <s v="EMP-0176"/>
    <s v="Sardor Sobirov"/>
    <s v="Erkak"/>
    <d v="1995-12-02T00:00:00"/>
    <d v="2024-03-08T00:00:00"/>
    <x v="0"/>
    <s v="QA muhandisi"/>
    <s v="Junior"/>
    <s v="Farg'ona"/>
    <n v="5740000"/>
    <n v="3"/>
    <x v="2"/>
    <n v="10"/>
    <x v="0"/>
    <s v="Bakalavr"/>
    <x v="0"/>
    <m/>
    <x v="0"/>
    <n v="30"/>
    <n v="2.5626283367556466"/>
    <s v="Jasur Yusupov"/>
    <n v="0"/>
    <x v="1"/>
  </r>
  <r>
    <s v="EMP-0248"/>
    <s v="Otabek Ismoilov"/>
    <s v="Erkak"/>
    <d v="1987-05-26T00:00:00"/>
    <d v="2018-03-19T00:00:00"/>
    <x v="5"/>
    <s v="Haydovchi-ekspeditor"/>
    <s v="Middle"/>
    <s v="Toshkent"/>
    <n v="5720000"/>
    <n v="4"/>
    <x v="0"/>
    <n v="21"/>
    <x v="1"/>
    <s v="O'rta maxsus"/>
    <x v="0"/>
    <m/>
    <x v="0"/>
    <n v="39"/>
    <n v="8.5338809034907595"/>
    <s v="Sardor Nazarov"/>
    <n v="0"/>
    <x v="0"/>
  </r>
  <r>
    <s v="EMP-0448"/>
    <s v="Sardor Tursunov"/>
    <s v="Erkak"/>
    <d v="2006-06-22T00:00:00"/>
    <d v="2026-06-20T00:00:00"/>
    <x v="2"/>
    <s v="Hudud menejeri"/>
    <s v="Middle"/>
    <s v="Samarqand"/>
    <n v="5720000"/>
    <n v="4"/>
    <x v="2"/>
    <n v="25"/>
    <x v="0"/>
    <s v="Bakalavr"/>
    <x v="0"/>
    <m/>
    <x v="0"/>
    <n v="20"/>
    <n v="0.27926078028747431"/>
    <s v="Aziz Karimov"/>
    <n v="0"/>
    <x v="2"/>
  </r>
  <r>
    <s v="EMP-0731"/>
    <s v="Aziza Tursunova"/>
    <s v="Ayol"/>
    <d v="2002-11-04T00:00:00"/>
    <d v="2025-07-01T00:00:00"/>
    <x v="6"/>
    <s v="Call-markaz operatori"/>
    <s v="Middle"/>
    <s v="Samarqand"/>
    <n v="5710000"/>
    <n v="4"/>
    <x v="3"/>
    <n v="4"/>
    <x v="2"/>
    <s v="Bakalavr"/>
    <x v="1"/>
    <d v="2026-07-10T00:00:00"/>
    <x v="7"/>
    <n v="23"/>
    <n v="1.0239561943874058"/>
    <s v="Shahlo Ismoilova"/>
    <n v="1"/>
    <x v="1"/>
  </r>
  <r>
    <s v="EMP-0797"/>
    <s v="Nodira Rahimova"/>
    <s v="Ayol"/>
    <d v="1992-09-13T00:00:00"/>
    <d v="2024-04-21T00:00:00"/>
    <x v="6"/>
    <s v="Call-markaz operatori"/>
    <s v="Middle"/>
    <s v="Toshkent"/>
    <n v="5710000"/>
    <n v="4"/>
    <x v="3"/>
    <n v="0"/>
    <x v="2"/>
    <s v="Bakalavr"/>
    <x v="0"/>
    <m/>
    <x v="0"/>
    <n v="34"/>
    <n v="2.4421629021218343"/>
    <s v="Shahlo Ismoilova"/>
    <n v="0"/>
    <x v="1"/>
  </r>
  <r>
    <s v="EMP-0462"/>
    <s v="Behruz Yusupov"/>
    <s v="Erkak"/>
    <d v="2005-06-08T00:00:00"/>
    <d v="2026-07-15T00:00:00"/>
    <x v="6"/>
    <s v="Call-markaz operatori"/>
    <s v="Middle"/>
    <s v="Samarqand"/>
    <n v="5700000"/>
    <n v="4"/>
    <x v="0"/>
    <n v="4"/>
    <x v="0"/>
    <s v="Bakalavr"/>
    <x v="1"/>
    <d v="2026-09-28T00:00:00"/>
    <x v="6"/>
    <n v="21"/>
    <n v="0.20533880903490759"/>
    <s v="Shahlo Ismoilova"/>
    <n v="1"/>
    <x v="2"/>
  </r>
  <r>
    <s v="EMP-0059"/>
    <s v="Aziza Yusupova"/>
    <s v="Ayol"/>
    <d v="1991-02-05T00:00:00"/>
    <d v="2022-02-23T00:00:00"/>
    <x v="0"/>
    <s v="Tizim administratori"/>
    <s v="Junior"/>
    <s v="Andijon"/>
    <n v="5630000"/>
    <n v="2"/>
    <x v="0"/>
    <n v="2"/>
    <x v="0"/>
    <s v="Bakalavr"/>
    <x v="0"/>
    <m/>
    <x v="0"/>
    <n v="35"/>
    <n v="4.59958932238193"/>
    <s v="Jasur Yusupov"/>
    <n v="0"/>
    <x v="0"/>
  </r>
  <r>
    <s v="EMP-0102"/>
    <s v="Behruz Hasanov"/>
    <s v="Erkak"/>
    <d v="1996-06-20T00:00:00"/>
    <d v="2017-06-12T00:00:00"/>
    <x v="2"/>
    <s v="Savdo vakili"/>
    <s v="Middle"/>
    <s v="Namangan"/>
    <n v="5620000"/>
    <n v="5"/>
    <x v="2"/>
    <n v="19"/>
    <x v="2"/>
    <s v="Bakalavr"/>
    <x v="0"/>
    <m/>
    <x v="0"/>
    <n v="30"/>
    <n v="9.3004791238877473"/>
    <s v="Aziz Karimov"/>
    <n v="0"/>
    <x v="0"/>
  </r>
  <r>
    <s v="EMP-0504"/>
    <s v="Sardor Mirzayev"/>
    <s v="Erkak"/>
    <d v="2000-01-20T00:00:00"/>
    <d v="2024-09-03T00:00:00"/>
    <x v="2"/>
    <s v="Sotuv menejeri"/>
    <s v="Middle"/>
    <s v="Andijon"/>
    <n v="5590000"/>
    <n v="3"/>
    <x v="1"/>
    <n v="21"/>
    <x v="0"/>
    <s v="Bakalavr"/>
    <x v="0"/>
    <m/>
    <x v="0"/>
    <n v="26"/>
    <n v="2.0725530458590007"/>
    <s v="Aziz Karimov"/>
    <n v="0"/>
    <x v="1"/>
  </r>
  <r>
    <s v="EMP-0162"/>
    <s v="Islom Nazarov"/>
    <s v="Erkak"/>
    <d v="1989-05-18T00:00:00"/>
    <d v="2019-12-01T00:00:00"/>
    <x v="2"/>
    <s v="Sotuv menejeri"/>
    <s v="Middle"/>
    <s v="Toshkent"/>
    <n v="5570000"/>
    <n v="2"/>
    <x v="3"/>
    <n v="16"/>
    <x v="0"/>
    <s v="O'rta maxsus"/>
    <x v="0"/>
    <m/>
    <x v="0"/>
    <n v="37"/>
    <n v="6.8309377138945928"/>
    <s v="Aziz Karimov"/>
    <n v="0"/>
    <x v="0"/>
  </r>
  <r>
    <s v="EMP-0427"/>
    <s v="Rustam Mirzayev"/>
    <s v="Erkak"/>
    <d v="1985-07-09T00:00:00"/>
    <d v="2018-03-15T00:00:00"/>
    <x v="6"/>
    <s v="Mijozlar bilan ishlash mutaxassisi"/>
    <s v="Middle"/>
    <s v="Toshkent"/>
    <n v="5570000"/>
    <n v="3"/>
    <x v="3"/>
    <n v="6"/>
    <x v="2"/>
    <s v="Bakalavr"/>
    <x v="1"/>
    <d v="2025-05-20T00:00:00"/>
    <x v="3"/>
    <n v="41"/>
    <n v="7.1813826146475019"/>
    <s v="Shahlo Ismoilova"/>
    <n v="1"/>
    <x v="0"/>
  </r>
  <r>
    <s v="EMP-0799"/>
    <s v="Nodira Qodirova"/>
    <s v="Ayol"/>
    <d v="1999-01-19T00:00:00"/>
    <d v="2022-08-05T00:00:00"/>
    <x v="0"/>
    <s v="Dasturchi"/>
    <s v="Junior"/>
    <s v="Buxoro"/>
    <n v="5570000"/>
    <n v="4"/>
    <x v="1"/>
    <n v="0"/>
    <x v="2"/>
    <s v="Bakalavr"/>
    <x v="1"/>
    <d v="2025-12-25T00:00:00"/>
    <x v="7"/>
    <n v="27"/>
    <n v="3.3894592744695413"/>
    <s v="Jasur Yusupov"/>
    <n v="1"/>
    <x v="0"/>
  </r>
  <r>
    <s v="EMP-0054"/>
    <s v="Mohira Tursunova"/>
    <s v="Ayol"/>
    <d v="1998-05-14T00:00:00"/>
    <d v="2026-01-25T00:00:00"/>
    <x v="6"/>
    <s v="Mijozlar bilan ishlash mutaxassisi"/>
    <s v="Middle"/>
    <s v="Toshkent"/>
    <n v="5560000"/>
    <n v="1"/>
    <x v="0"/>
    <n v="21"/>
    <x v="2"/>
    <s v="Magistr"/>
    <x v="0"/>
    <m/>
    <x v="0"/>
    <n v="28"/>
    <n v="0.67898699520876116"/>
    <s v="Shahlo Ismoilova"/>
    <n v="0"/>
    <x v="2"/>
  </r>
  <r>
    <s v="EMP-0358"/>
    <s v="Akmal Nazarov"/>
    <s v="Erkak"/>
    <d v="1989-11-15T00:00:00"/>
    <d v="2017-10-20T00:00:00"/>
    <x v="6"/>
    <s v="Call-markaz operatori"/>
    <s v="Middle"/>
    <s v="Toshkent"/>
    <n v="5530000"/>
    <n v="3"/>
    <x v="1"/>
    <n v="16"/>
    <x v="0"/>
    <s v="O'rta maxsus"/>
    <x v="0"/>
    <m/>
    <x v="0"/>
    <n v="36"/>
    <n v="8.944558521560575"/>
    <s v="Shahlo Ismoilova"/>
    <n v="0"/>
    <x v="0"/>
  </r>
  <r>
    <s v="EMP-0586"/>
    <s v="Madina Yusupova"/>
    <s v="Ayol"/>
    <d v="1992-07-03T00:00:00"/>
    <d v="2024-04-28T00:00:00"/>
    <x v="5"/>
    <s v="Haydovchi-ekspeditor"/>
    <s v="Middle"/>
    <s v="Toshkent"/>
    <n v="5530000"/>
    <n v="3"/>
    <x v="1"/>
    <n v="30"/>
    <x v="0"/>
    <m/>
    <x v="0"/>
    <m/>
    <x v="0"/>
    <n v="34"/>
    <n v="2.4229979466119098"/>
    <s v="Sardor Nazarov"/>
    <n v="0"/>
    <x v="1"/>
  </r>
  <r>
    <s v="EMP-0581"/>
    <s v="Malika Yusupova"/>
    <s v="Ayol"/>
    <d v="2003-09-24T00:00:00"/>
    <d v="2025-01-12T00:00:00"/>
    <x v="6"/>
    <s v="Call-markaz operatori"/>
    <s v="Middle"/>
    <s v="Qarshi"/>
    <n v="5520000"/>
    <n v="2"/>
    <x v="3"/>
    <n v="22"/>
    <x v="0"/>
    <s v="Magistr"/>
    <x v="1"/>
    <d v="2026-09-15T00:00:00"/>
    <x v="6"/>
    <n v="23"/>
    <n v="1.6728268309377139"/>
    <s v="Shahlo Ismoilova"/>
    <n v="1"/>
    <x v="1"/>
  </r>
  <r>
    <s v="EMP-0390"/>
    <s v="Doniyor Yusupov"/>
    <s v="Erkak"/>
    <d v="1985-03-13T00:00:00"/>
    <d v="2022-06-18T00:00:00"/>
    <x v="6"/>
    <s v="Mijozlar bilan ishlash mutaxassisi"/>
    <s v="Middle"/>
    <s v="Toshkent"/>
    <n v="5510000"/>
    <n v="4"/>
    <x v="2"/>
    <n v="6"/>
    <x v="2"/>
    <s v="Magistr"/>
    <x v="0"/>
    <m/>
    <x v="0"/>
    <n v="41"/>
    <n v="4.2847364818617386"/>
    <s v="Shahlo Ismoilova"/>
    <n v="0"/>
    <x v="0"/>
  </r>
  <r>
    <s v="EMP-0261"/>
    <s v="Sardor Qodirov"/>
    <s v="Erkak"/>
    <d v="1994-11-03T00:00:00"/>
    <d v="2017-09-02T00:00:00"/>
    <x v="6"/>
    <s v="Mijozlar bilan ishlash mutaxassisi"/>
    <s v="Middle"/>
    <s v="Buxoro"/>
    <n v="5500000"/>
    <n v="2"/>
    <x v="2"/>
    <n v="9"/>
    <x v="0"/>
    <s v="Bakalavr"/>
    <x v="0"/>
    <m/>
    <x v="0"/>
    <n v="31"/>
    <n v="9.075975359342916"/>
    <s v="Shahlo Ismoilova"/>
    <n v="0"/>
    <x v="0"/>
  </r>
  <r>
    <s v="EMP-0761"/>
    <s v="Timur Tursunov"/>
    <s v="Erkak"/>
    <d v="1993-07-11T00:00:00"/>
    <d v="2021-06-25T00:00:00"/>
    <x v="5"/>
    <s v="Haydovchi-ekspeditor"/>
    <s v="Middle"/>
    <s v="Samarqand"/>
    <n v="5480000"/>
    <n v="4"/>
    <x v="2"/>
    <n v="16"/>
    <x v="0"/>
    <s v="O'rta maxsus"/>
    <x v="0"/>
    <m/>
    <x v="0"/>
    <n v="33"/>
    <n v="5.2648870636550305"/>
    <s v="Sardor Nazarov"/>
    <n v="0"/>
    <x v="0"/>
  </r>
  <r>
    <s v="EMP-0230"/>
    <s v="Malika Tursunova"/>
    <s v="Ayol"/>
    <d v="1996-08-20T00:00:00"/>
    <d v="2017-02-16T00:00:00"/>
    <x v="4"/>
    <s v="Rekruter"/>
    <s v="Middle"/>
    <s v="Toshkent"/>
    <n v="5470000"/>
    <n v="2"/>
    <x v="0"/>
    <n v="19"/>
    <x v="2"/>
    <s v="Bakalavr"/>
    <x v="0"/>
    <m/>
    <x v="0"/>
    <n v="30"/>
    <n v="9.6180698151950725"/>
    <s v="Nodira Tursunova"/>
    <n v="0"/>
    <x v="0"/>
  </r>
  <r>
    <s v="EMP-0766"/>
    <s v="Rustam Ismoilov"/>
    <s v="Erkak"/>
    <d v="1996-12-10T00:00:00"/>
    <d v="2021-04-04T00:00:00"/>
    <x v="6"/>
    <s v="Mijozlar bilan ishlash mutaxassisi"/>
    <s v="Middle"/>
    <s v="Farg'ona"/>
    <n v="5460000"/>
    <n v="5"/>
    <x v="0"/>
    <n v="12"/>
    <x v="0"/>
    <s v="Bakalavr"/>
    <x v="0"/>
    <m/>
    <x v="0"/>
    <n v="29"/>
    <n v="5.4893908281998627"/>
    <s v="Shahlo Ismoilova"/>
    <n v="0"/>
    <x v="0"/>
  </r>
  <r>
    <s v="EMP-0680"/>
    <s v="Sherzod Tursunov"/>
    <s v="Erkak"/>
    <d v="1990-07-23T00:00:00"/>
    <d v="2018-09-02T00:00:00"/>
    <x v="6"/>
    <s v="Mijozlar bilan ishlash mutaxassisi"/>
    <s v="Middle"/>
    <s v="Buxoro"/>
    <n v="5450000"/>
    <n v="2"/>
    <x v="3"/>
    <n v="24"/>
    <x v="2"/>
    <s v="Bakalavr"/>
    <x v="0"/>
    <m/>
    <x v="0"/>
    <n v="36"/>
    <n v="8.0766598220396997"/>
    <s v="Shahlo Ismoilova"/>
    <n v="0"/>
    <x v="0"/>
  </r>
  <r>
    <s v="EMP-0775"/>
    <s v="Dilfuza Ergasheva"/>
    <s v="Ayol"/>
    <d v="1989-09-05T00:00:00"/>
    <d v="2019-01-29T00:00:00"/>
    <x v="5"/>
    <s v="Ombor mudiri"/>
    <s v="Middle"/>
    <s v="Toshkent"/>
    <n v="5430000"/>
    <n v="3"/>
    <x v="2"/>
    <n v="20"/>
    <x v="0"/>
    <s v="O'rta maxsus"/>
    <x v="0"/>
    <m/>
    <x v="0"/>
    <n v="37"/>
    <n v="7.6687200547570153"/>
    <s v="Sardor Nazarov"/>
    <n v="0"/>
    <x v="0"/>
  </r>
  <r>
    <s v="EMP-0694"/>
    <s v="Rustam Hasanov"/>
    <s v="Erkak"/>
    <d v="1996-04-11T00:00:00"/>
    <d v="2020-09-27T00:00:00"/>
    <x v="6"/>
    <s v="Mijozlar bilan ishlash mutaxassisi"/>
    <s v="Middle"/>
    <s v="Toshkent"/>
    <n v="5420000"/>
    <n v="4"/>
    <x v="3"/>
    <n v="17"/>
    <x v="2"/>
    <s v="Bakalavr"/>
    <x v="0"/>
    <m/>
    <x v="0"/>
    <n v="30"/>
    <n v="6.0068446269678306"/>
    <s v="Shahlo Ismoilova"/>
    <n v="0"/>
    <x v="0"/>
  </r>
  <r>
    <s v="EMP-0023"/>
    <s v="Dilnoza Karimova"/>
    <s v="Ayol"/>
    <d v="1985-04-17T00:00:00"/>
    <d v="2025-05-06T00:00:00"/>
    <x v="0"/>
    <s v="Tizim administratori"/>
    <s v="Junior"/>
    <s v="Buxoro"/>
    <n v="5410000"/>
    <n v="3"/>
    <x v="0"/>
    <n v="13"/>
    <x v="0"/>
    <s v="Magistr"/>
    <x v="0"/>
    <m/>
    <x v="0"/>
    <n v="41"/>
    <n v="1.4017796030116358"/>
    <s v="Jasur Yusupov"/>
    <n v="0"/>
    <x v="1"/>
  </r>
  <r>
    <s v="EMP-0316"/>
    <s v="Jahongir Umarov"/>
    <s v="Erkak"/>
    <d v="2004-10-20T00:00:00"/>
    <d v="2025-03-19T00:00:00"/>
    <x v="3"/>
    <s v="Moliyaviy tahlilchi"/>
    <s v="Junior"/>
    <s v="Toshkent"/>
    <n v="5400000"/>
    <n v="3"/>
    <x v="1"/>
    <n v="24"/>
    <x v="2"/>
    <s v="Bakalavr"/>
    <x v="0"/>
    <m/>
    <x v="0"/>
    <n v="21"/>
    <n v="1.5331964407939767"/>
    <s v="Madina Abdullayeva"/>
    <n v="0"/>
    <x v="1"/>
  </r>
  <r>
    <s v="EMP-0660"/>
    <s v="Ulugbek Tursunov"/>
    <s v="Erkak"/>
    <d v="1988-08-09T00:00:00"/>
    <d v="2025-04-15T00:00:00"/>
    <x v="5"/>
    <s v="Haydovchi-ekspeditor"/>
    <s v="Middle"/>
    <s v="Qarshi"/>
    <n v="5390000"/>
    <n v="3"/>
    <x v="0"/>
    <n v="23"/>
    <x v="2"/>
    <s v="Bakalavr"/>
    <x v="1"/>
    <d v="2025-11-06T00:00:00"/>
    <x v="5"/>
    <n v="38"/>
    <n v="0.5612594113620808"/>
    <s v="Sardor Nazarov"/>
    <n v="1"/>
    <x v="2"/>
  </r>
  <r>
    <s v="EMP-0255"/>
    <s v="Sherzod Yusupov"/>
    <s v="Erkak"/>
    <d v="1994-01-23T00:00:00"/>
    <d v="2024-08-24T00:00:00"/>
    <x v="6"/>
    <s v="Call-markaz operatori"/>
    <s v="Middle"/>
    <s v="Farg'ona"/>
    <n v="5360000"/>
    <n v="3"/>
    <x v="1"/>
    <n v="23"/>
    <x v="2"/>
    <s v="Bakalavr"/>
    <x v="0"/>
    <m/>
    <x v="0"/>
    <n v="32"/>
    <n v="2.0999315537303218"/>
    <s v="Shahlo Ismoilova"/>
    <n v="0"/>
    <x v="1"/>
  </r>
  <r>
    <s v="EMP-0202"/>
    <s v="Dilfuza Hasanova"/>
    <s v="Ayol"/>
    <d v="2000-07-13T00:00:00"/>
    <d v="2026-01-14T00:00:00"/>
    <x v="6"/>
    <s v="Call-markaz operatori"/>
    <s v="Middle"/>
    <s v="Toshkent"/>
    <n v="5350000"/>
    <n v="4"/>
    <x v="0"/>
    <n v="4"/>
    <x v="0"/>
    <s v="O'rta maxsus"/>
    <x v="0"/>
    <m/>
    <x v="0"/>
    <n v="26"/>
    <n v="0.70910335386721424"/>
    <s v="Shahlo Ismoilova"/>
    <n v="0"/>
    <x v="2"/>
  </r>
  <r>
    <s v="EMP-0702"/>
    <s v="Otabek Ergashev"/>
    <s v="Erkak"/>
    <d v="1998-02-07T00:00:00"/>
    <d v="2026-01-24T00:00:00"/>
    <x v="3"/>
    <s v="Moliyaviy tahlilchi"/>
    <s v="Junior"/>
    <s v="Toshkent"/>
    <n v="5340000"/>
    <n v="4"/>
    <x v="3"/>
    <n v="19"/>
    <x v="2"/>
    <s v="Bakalavr"/>
    <x v="0"/>
    <m/>
    <x v="0"/>
    <n v="28"/>
    <n v="0.68172484599589322"/>
    <s v="Madina Abdullayeva"/>
    <n v="0"/>
    <x v="2"/>
  </r>
  <r>
    <s v="EMP-0161"/>
    <s v="Sardor Yusupov"/>
    <s v="Erkak"/>
    <d v="1995-12-19T00:00:00"/>
    <d v="2019-11-28T00:00:00"/>
    <x v="3"/>
    <s v="Moliyaviy tahlilchi"/>
    <s v="Junior"/>
    <s v="Qarshi"/>
    <n v="5330000"/>
    <n v="4"/>
    <x v="3"/>
    <n v="20"/>
    <x v="0"/>
    <s v="Bakalavr"/>
    <x v="0"/>
    <m/>
    <x v="0"/>
    <n v="30"/>
    <n v="6.839151266255989"/>
    <s v="Madina Abdullayeva"/>
    <n v="0"/>
    <x v="0"/>
  </r>
  <r>
    <s v="EMP-0619"/>
    <s v="Malika Ergasheva"/>
    <s v="Ayol"/>
    <d v="1990-05-14T00:00:00"/>
    <d v="2022-12-29T00:00:00"/>
    <x v="5"/>
    <s v="Logist"/>
    <s v="Middle"/>
    <s v="Samarqand"/>
    <n v="5320000"/>
    <n v="3"/>
    <x v="3"/>
    <n v="7"/>
    <x v="2"/>
    <s v="Bakalavr"/>
    <x v="0"/>
    <m/>
    <x v="0"/>
    <n v="36"/>
    <n v="3.7535934291581108"/>
    <s v="Sardor Nazarov"/>
    <n v="0"/>
    <x v="0"/>
  </r>
  <r>
    <s v="EMP-0526"/>
    <s v="Nodira Umarova"/>
    <s v="Ayol"/>
    <d v="1986-12-02T00:00:00"/>
    <d v="2020-08-10T00:00:00"/>
    <x v="5"/>
    <s v="Logist"/>
    <s v="Middle"/>
    <s v="Qarshi"/>
    <n v="5290000"/>
    <n v="3"/>
    <x v="2"/>
    <n v="35"/>
    <x v="0"/>
    <s v="Bakalavr"/>
    <x v="0"/>
    <m/>
    <x v="0"/>
    <n v="39"/>
    <n v="6.1382614647501708"/>
    <s v="Sardor Nazarov"/>
    <n v="0"/>
    <x v="0"/>
  </r>
  <r>
    <s v="EMP-0401"/>
    <s v="Jahongir Karimov"/>
    <s v="Erkak"/>
    <d v="1992-03-13T00:00:00"/>
    <d v="2022-12-12T00:00:00"/>
    <x v="3"/>
    <s v="Buxgalter"/>
    <s v="Junior"/>
    <s v="Qarshi"/>
    <n v="5280000"/>
    <n v="4"/>
    <x v="3"/>
    <n v="27"/>
    <x v="0"/>
    <s v="Bakalavr"/>
    <x v="0"/>
    <m/>
    <x v="0"/>
    <n v="34"/>
    <n v="3.8001368925393568"/>
    <s v="Madina Abdullayeva"/>
    <n v="0"/>
    <x v="0"/>
  </r>
  <r>
    <s v="EMP-0632"/>
    <s v="Akmal Mirzayev"/>
    <s v="Erkak"/>
    <d v="2003-05-27T00:00:00"/>
    <d v="2025-05-06T00:00:00"/>
    <x v="3"/>
    <s v="Moliyaviy tahlilchi"/>
    <s v="Junior"/>
    <s v="Toshkent"/>
    <n v="5280000"/>
    <n v="5"/>
    <x v="0"/>
    <n v="5"/>
    <x v="1"/>
    <s v="Bakalavr"/>
    <x v="0"/>
    <m/>
    <x v="0"/>
    <n v="23"/>
    <n v="1.4017796030116358"/>
    <s v="Madina Abdullayeva"/>
    <n v="0"/>
    <x v="1"/>
  </r>
  <r>
    <s v="EMP-0735"/>
    <s v="Sevara Yusupova"/>
    <s v="Ayol"/>
    <d v="1998-08-21T00:00:00"/>
    <d v="2022-01-31T00:00:00"/>
    <x v="6"/>
    <s v="Call-markaz operatori"/>
    <s v="Middle"/>
    <s v="Toshkent"/>
    <n v="5230000"/>
    <n v="5"/>
    <x v="3"/>
    <n v="17"/>
    <x v="2"/>
    <s v="Bakalavr"/>
    <x v="1"/>
    <d v="2025-04-24T00:00:00"/>
    <x v="1"/>
    <n v="28"/>
    <n v="3.2279260780287475"/>
    <s v="Shahlo Ismoilova"/>
    <n v="1"/>
    <x v="0"/>
  </r>
  <r>
    <s v="EMP-0097"/>
    <s v="Sevara Karimova"/>
    <s v="Ayol"/>
    <d v="2000-12-15T00:00:00"/>
    <d v="2025-12-08T00:00:00"/>
    <x v="0"/>
    <s v="Dasturchi"/>
    <s v="Junior"/>
    <s v="Farg'ona"/>
    <n v="5220000"/>
    <n v="4"/>
    <x v="0"/>
    <n v="34"/>
    <x v="0"/>
    <s v="Magistr"/>
    <x v="0"/>
    <m/>
    <x v="0"/>
    <n v="25"/>
    <n v="0.81040383299110197"/>
    <s v="Jasur Yusupov"/>
    <n v="0"/>
    <x v="2"/>
  </r>
  <r>
    <s v="EMP-0179"/>
    <s v="Ulugbek Ismoilov"/>
    <s v="Erkak"/>
    <d v="2003-07-04T00:00:00"/>
    <d v="2024-04-19T00:00:00"/>
    <x v="0"/>
    <s v="QA muhandisi"/>
    <s v="Junior"/>
    <s v="Toshkent"/>
    <n v="5200000"/>
    <n v="4"/>
    <x v="3"/>
    <n v="27"/>
    <x v="0"/>
    <s v="O'rta maxsus"/>
    <x v="1"/>
    <d v="2026-02-10T00:00:00"/>
    <x v="6"/>
    <n v="23"/>
    <n v="1.8124572210814511"/>
    <s v="Jasur Yusupov"/>
    <n v="1"/>
    <x v="1"/>
  </r>
  <r>
    <s v="EMP-0025"/>
    <s v="Sevara Abdullayeva"/>
    <s v="Ayol"/>
    <d v="1994-03-06T00:00:00"/>
    <d v="2026-05-24T00:00:00"/>
    <x v="1"/>
    <s v="Marketolog"/>
    <s v="Junior"/>
    <s v="Toshkent"/>
    <n v="5190000"/>
    <n v="4"/>
    <x v="1"/>
    <n v="9"/>
    <x v="1"/>
    <s v="O'rta maxsus"/>
    <x v="0"/>
    <m/>
    <x v="0"/>
    <n v="32"/>
    <n v="0.35318275154004108"/>
    <s v="Dilnoza Rahimova"/>
    <n v="0"/>
    <x v="2"/>
  </r>
  <r>
    <s v="EMP-0050"/>
    <s v="Feruza Mirzayeva"/>
    <s v="Ayol"/>
    <d v="1990-09-28T00:00:00"/>
    <d v="2020-08-05T00:00:00"/>
    <x v="6"/>
    <s v="Call-markaz operatori"/>
    <s v="Middle"/>
    <s v="Toshkent"/>
    <n v="5180000"/>
    <n v="3"/>
    <x v="3"/>
    <n v="11"/>
    <x v="0"/>
    <s v="O'rta maxsus"/>
    <x v="0"/>
    <m/>
    <x v="0"/>
    <n v="36"/>
    <n v="6.151950718685832"/>
    <s v="Shahlo Ismoilova"/>
    <n v="0"/>
    <x v="0"/>
  </r>
  <r>
    <s v="EMP-0642"/>
    <s v="Mohira Mirzayeva"/>
    <s v="Ayol"/>
    <d v="2000-04-14T00:00:00"/>
    <d v="2024-08-11T00:00:00"/>
    <x v="0"/>
    <s v="QA muhandisi"/>
    <s v="Junior"/>
    <s v="Toshkent"/>
    <n v="5180000"/>
    <n v="3"/>
    <x v="1"/>
    <n v="13"/>
    <x v="0"/>
    <s v="Bakalavr"/>
    <x v="0"/>
    <m/>
    <x v="0"/>
    <n v="26"/>
    <n v="2.1355236139630391"/>
    <s v="Jasur Yusupov"/>
    <n v="0"/>
    <x v="1"/>
  </r>
  <r>
    <s v="EMP-0569"/>
    <s v="Jasur Sobirov"/>
    <s v="Erkak"/>
    <d v="2000-02-07T00:00:00"/>
    <d v="2024-07-31T00:00:00"/>
    <x v="0"/>
    <s v="Tizim administratori"/>
    <s v="Junior"/>
    <s v="Andijon"/>
    <n v="5170000"/>
    <n v="4"/>
    <x v="3"/>
    <n v="0"/>
    <x v="0"/>
    <s v="Magistr"/>
    <x v="0"/>
    <m/>
    <x v="0"/>
    <n v="26"/>
    <n v="2.1656399726214923"/>
    <s v="Jasur Yusupov"/>
    <n v="0"/>
    <x v="1"/>
  </r>
  <r>
    <s v="EMP-0609"/>
    <s v="Mohira Normatova"/>
    <s v="Ayol"/>
    <d v="1997-06-03T00:00:00"/>
    <d v="2023-11-22T00:00:00"/>
    <x v="5"/>
    <s v="Ombor mudiri"/>
    <s v="Middle"/>
    <s v="Toshkent"/>
    <n v="5170000"/>
    <n v="3"/>
    <x v="3"/>
    <n v="9"/>
    <x v="1"/>
    <s v="Magistr"/>
    <x v="0"/>
    <m/>
    <x v="0"/>
    <n v="29"/>
    <n v="2.8555783709787819"/>
    <s v="Sardor Nazarov"/>
    <n v="0"/>
    <x v="1"/>
  </r>
  <r>
    <s v="EMP-0111"/>
    <s v="Islom Normatov"/>
    <s v="Erkak"/>
    <d v="1994-10-22T00:00:00"/>
    <d v="2019-06-22T00:00:00"/>
    <x v="5"/>
    <s v="Logist"/>
    <s v="Middle"/>
    <s v="Toshkent"/>
    <n v="5160000"/>
    <n v="4"/>
    <x v="3"/>
    <n v="18"/>
    <x v="0"/>
    <s v="Bakalavr"/>
    <x v="0"/>
    <m/>
    <x v="0"/>
    <n v="31"/>
    <n v="7.2744695414099931"/>
    <s v="Sardor Nazarov"/>
    <n v="0"/>
    <x v="0"/>
  </r>
  <r>
    <s v="EMP-0727"/>
    <s v="Dilnoza Nazarova"/>
    <s v="Ayol"/>
    <d v="1998-10-24T00:00:00"/>
    <d v="2025-10-01T00:00:00"/>
    <x v="6"/>
    <s v="Call-markaz operatori"/>
    <s v="Middle"/>
    <s v="Toshkent"/>
    <n v="5150000"/>
    <n v="3"/>
    <x v="4"/>
    <n v="7"/>
    <x v="2"/>
    <s v="Bakalavr"/>
    <x v="1"/>
    <d v="2026-03-21T00:00:00"/>
    <x v="7"/>
    <n v="27"/>
    <n v="0.46817248459958932"/>
    <s v="Shahlo Ismoilova"/>
    <n v="1"/>
    <x v="2"/>
  </r>
  <r>
    <s v="EMP-0266"/>
    <s v="Otabek Sobirov"/>
    <s v="Erkak"/>
    <d v="1996-06-13T00:00:00"/>
    <d v="2023-06-30T00:00:00"/>
    <x v="0"/>
    <s v="Tizim administratori"/>
    <s v="Junior"/>
    <s v="Namangan"/>
    <n v="5140000"/>
    <n v="4"/>
    <x v="3"/>
    <n v="23"/>
    <x v="2"/>
    <s v="O'rta maxsus"/>
    <x v="0"/>
    <m/>
    <x v="0"/>
    <n v="30"/>
    <n v="3.2525667351129361"/>
    <s v="Jasur Yusupov"/>
    <n v="0"/>
    <x v="0"/>
  </r>
  <r>
    <s v="EMP-0518"/>
    <s v="Islom Umarov"/>
    <s v="Erkak"/>
    <d v="1980-11-13T00:00:00"/>
    <d v="2020-08-07T00:00:00"/>
    <x v="5"/>
    <s v="Logist"/>
    <s v="Middle"/>
    <s v="Toshkent"/>
    <n v="5140000"/>
    <n v="4"/>
    <x v="0"/>
    <n v="33"/>
    <x v="0"/>
    <s v="O'rta maxsus"/>
    <x v="0"/>
    <m/>
    <x v="0"/>
    <n v="45"/>
    <n v="6.1464750171115679"/>
    <s v="Sardor Nazarov"/>
    <n v="0"/>
    <x v="0"/>
  </r>
  <r>
    <s v="EMP-0757"/>
    <s v="Jahongir Yusupov"/>
    <s v="Erkak"/>
    <d v="1997-07-25T00:00:00"/>
    <d v="2024-07-05T00:00:00"/>
    <x v="6"/>
    <s v="Mijozlar bilan ishlash mutaxassisi"/>
    <s v="Middle"/>
    <s v="Toshkent"/>
    <n v="5140000"/>
    <n v="1"/>
    <x v="2"/>
    <n v="18"/>
    <x v="1"/>
    <s v="O'rta maxsus"/>
    <x v="0"/>
    <m/>
    <x v="0"/>
    <n v="29"/>
    <n v="2.236824093086927"/>
    <s v="Shahlo Ismoilova"/>
    <n v="0"/>
    <x v="1"/>
  </r>
  <r>
    <s v="EMP-0603"/>
    <s v="Shaxzod Normatov"/>
    <s v="Erkak"/>
    <d v="1993-04-11T00:00:00"/>
    <d v="2025-09-08T00:00:00"/>
    <x v="0"/>
    <s v="QA muhandisi"/>
    <s v="Junior"/>
    <s v="Toshkent"/>
    <n v="5130000"/>
    <n v="5"/>
    <x v="0"/>
    <n v="6"/>
    <x v="2"/>
    <s v="Magistr"/>
    <x v="0"/>
    <m/>
    <x v="0"/>
    <n v="33"/>
    <n v="1.0595482546201231"/>
    <s v="Jasur Yusupov"/>
    <n v="0"/>
    <x v="1"/>
  </r>
  <r>
    <s v="EMP-0424"/>
    <s v="Sardor Rahimov"/>
    <s v="Erkak"/>
    <d v="1982-11-05T00:00:00"/>
    <d v="2015-07-20T00:00:00"/>
    <x v="6"/>
    <s v="Call-markaz operatori"/>
    <s v="Middle"/>
    <s v="Farg'ona"/>
    <n v="5120000"/>
    <n v="3"/>
    <x v="1"/>
    <n v="11"/>
    <x v="2"/>
    <m/>
    <x v="0"/>
    <m/>
    <x v="0"/>
    <n v="43"/>
    <n v="11.197809719370294"/>
    <s v="Shahlo Ismoilova"/>
    <n v="0"/>
    <x v="0"/>
  </r>
  <r>
    <s v="EMP-0139"/>
    <s v="Nodira Ismoilova"/>
    <s v="Ayol"/>
    <d v="1994-11-21T00:00:00"/>
    <d v="2024-07-20T00:00:00"/>
    <x v="6"/>
    <s v="Call-markaz operatori"/>
    <s v="Middle"/>
    <s v="Namangan"/>
    <n v="5110000"/>
    <n v="3"/>
    <x v="0"/>
    <n v="5"/>
    <x v="1"/>
    <s v="Bakalavr"/>
    <x v="1"/>
    <d v="2025-10-21T00:00:00"/>
    <x v="3"/>
    <n v="31"/>
    <n v="1.2539356605065024"/>
    <s v="Shahlo Ismoilova"/>
    <n v="1"/>
    <x v="1"/>
  </r>
  <r>
    <s v="EMP-0690"/>
    <s v="Gulnora Tursunova"/>
    <s v="Ayol"/>
    <d v="1992-10-13T00:00:00"/>
    <d v="2023-08-20T00:00:00"/>
    <x v="1"/>
    <s v="SMM mutaxassisi"/>
    <s v="Junior"/>
    <s v="Farg'ona"/>
    <n v="5090000"/>
    <n v="3"/>
    <x v="0"/>
    <n v="10"/>
    <x v="0"/>
    <s v="O'rta maxsus"/>
    <x v="0"/>
    <m/>
    <x v="0"/>
    <n v="33"/>
    <n v="3.1129363449691994"/>
    <s v="Dilnoza Rahimova"/>
    <n v="0"/>
    <x v="0"/>
  </r>
  <r>
    <s v="EMP-0197"/>
    <s v="Dilnoza Ismoilova"/>
    <s v="Ayol"/>
    <d v="2000-05-19T00:00:00"/>
    <d v="2022-11-21T00:00:00"/>
    <x v="6"/>
    <s v="Call-markaz operatori"/>
    <s v="Middle"/>
    <s v="Toshkent"/>
    <n v="5080000"/>
    <m/>
    <x v="3"/>
    <n v="19"/>
    <x v="2"/>
    <s v="Bakalavr"/>
    <x v="1"/>
    <d v="2025-12-12T00:00:00"/>
    <x v="2"/>
    <n v="26"/>
    <n v="3.0581793292265571"/>
    <s v="Shahlo Ismoilova"/>
    <n v="1"/>
    <x v="0"/>
  </r>
  <r>
    <s v="EMP-0201"/>
    <s v="Mohira Mirzayeva"/>
    <s v="Ayol"/>
    <d v="2006-02-03T00:00:00"/>
    <d v="2026-08-10T00:00:00"/>
    <x v="6"/>
    <s v="Mijozlar bilan ishlash mutaxassisi"/>
    <s v="Middle"/>
    <s v="Namangan"/>
    <n v="5070000"/>
    <n v="4"/>
    <x v="0"/>
    <n v="14"/>
    <x v="2"/>
    <s v="O'rta maxsus"/>
    <x v="0"/>
    <m/>
    <x v="0"/>
    <n v="20"/>
    <n v="0.13963039014373715"/>
    <s v="Shahlo Ismoilova"/>
    <n v="0"/>
    <x v="2"/>
  </r>
  <r>
    <s v="EMP-0077"/>
    <s v="Dilfuza Ergasheva"/>
    <s v="Ayol"/>
    <d v="1989-12-05T00:00:00"/>
    <d v="2021-03-13T00:00:00"/>
    <x v="6"/>
    <s v="Mijozlar bilan ishlash mutaxassisi"/>
    <s v="Middle"/>
    <s v="Toshkent"/>
    <n v="5060000"/>
    <n v="5"/>
    <x v="3"/>
    <n v="1"/>
    <x v="0"/>
    <s v="O'rta maxsus"/>
    <x v="0"/>
    <m/>
    <x v="0"/>
    <n v="36"/>
    <n v="5.5496235455167691"/>
    <s v="Shahlo Ismoilova"/>
    <n v="0"/>
    <x v="0"/>
  </r>
  <r>
    <s v="EMP-0321"/>
    <s v="Doniyor Saidov"/>
    <s v="Erkak"/>
    <d v="1993-06-21T00:00:00"/>
    <d v="2021-06-14T00:00:00"/>
    <x v="1"/>
    <s v="Marketolog"/>
    <s v="Junior"/>
    <s v="Buxoro"/>
    <n v="5060000"/>
    <n v="1"/>
    <x v="0"/>
    <n v="18"/>
    <x v="0"/>
    <s v="Bakalavr"/>
    <x v="0"/>
    <m/>
    <x v="0"/>
    <n v="33"/>
    <n v="5.2950034223134841"/>
    <s v="Dilnoza Rahimova"/>
    <n v="0"/>
    <x v="0"/>
  </r>
  <r>
    <s v="EMP-0489"/>
    <s v="Ulugbek Umarov"/>
    <s v="Erkak"/>
    <d v="1990-02-28T00:00:00"/>
    <d v="2022-08-17T00:00:00"/>
    <x v="6"/>
    <s v="Call-markaz operatori"/>
    <s v="Middle"/>
    <s v="Namangan"/>
    <n v="5060000"/>
    <n v="4"/>
    <x v="1"/>
    <n v="20"/>
    <x v="0"/>
    <s v="Bakalavr"/>
    <x v="1"/>
    <d v="2026-01-09T00:00:00"/>
    <x v="1"/>
    <n v="36"/>
    <n v="3.3976728268309375"/>
    <s v="Shahlo Ismoilova"/>
    <n v="1"/>
    <x v="0"/>
  </r>
  <r>
    <s v="EMP-0170"/>
    <s v="Islom Sobirov"/>
    <s v="Erkak"/>
    <d v="1983-03-27T00:00:00"/>
    <d v="2022-07-24T00:00:00"/>
    <x v="1"/>
    <s v="Marketolog"/>
    <s v="Junior"/>
    <s v="Samarqand"/>
    <n v="5020000"/>
    <n v="3"/>
    <x v="0"/>
    <n v="5"/>
    <x v="2"/>
    <s v="Magistr"/>
    <x v="0"/>
    <m/>
    <x v="0"/>
    <n v="43"/>
    <n v="4.1861738535249833"/>
    <s v="Dilnoza Rahimova"/>
    <n v="0"/>
    <x v="0"/>
  </r>
  <r>
    <s v="EMP-0204"/>
    <s v="Rustam Hasanov"/>
    <s v="Erkak"/>
    <d v="1998-03-13T00:00:00"/>
    <d v="2021-08-22T00:00:00"/>
    <x v="1"/>
    <s v="Marketolog"/>
    <s v="Junior"/>
    <s v="Qarshi"/>
    <n v="5020000"/>
    <n v="4"/>
    <x v="2"/>
    <n v="5"/>
    <x v="0"/>
    <s v="Bakalavr"/>
    <x v="0"/>
    <m/>
    <x v="0"/>
    <n v="28"/>
    <n v="5.1060917180013687"/>
    <s v="Dilnoza Rahimova"/>
    <n v="0"/>
    <x v="0"/>
  </r>
  <r>
    <s v="EMP-0516"/>
    <s v="Zilola Rahimova"/>
    <s v="Ayol"/>
    <d v="1994-09-23T00:00:00"/>
    <d v="2023-07-20T00:00:00"/>
    <x v="6"/>
    <s v="Call-markaz operatori"/>
    <s v="Middle"/>
    <s v="Toshkent"/>
    <n v="5020000"/>
    <n v="2"/>
    <x v="0"/>
    <n v="28"/>
    <x v="0"/>
    <s v="Magistr"/>
    <x v="1"/>
    <d v="2025-04-26T00:00:00"/>
    <x v="1"/>
    <n v="32"/>
    <n v="1.7686516084873374"/>
    <s v="Shahlo Ismoilova"/>
    <n v="1"/>
    <x v="1"/>
  </r>
  <r>
    <s v="EMP-0191"/>
    <s v="Malika Nazarova"/>
    <s v="Ayol"/>
    <d v="1998-11-08T00:00:00"/>
    <d v="2021-05-28T00:00:00"/>
    <x v="0"/>
    <s v="Dasturchi"/>
    <s v="Junior"/>
    <s v="Toshkent"/>
    <n v="5010000"/>
    <n v="4"/>
    <x v="0"/>
    <n v="9"/>
    <x v="0"/>
    <s v="Bakalavr"/>
    <x v="0"/>
    <m/>
    <x v="0"/>
    <n v="27"/>
    <n v="5.3415468856947292"/>
    <s v="Jasur Yusupov"/>
    <n v="0"/>
    <x v="0"/>
  </r>
  <r>
    <s v="EMP-0076"/>
    <s v="Behruz Mirzayev"/>
    <s v="Erkak"/>
    <d v="1995-08-22T00:00:00"/>
    <d v="2022-05-11T00:00:00"/>
    <x v="3"/>
    <s v="Moliyaviy tahlilchi"/>
    <s v="Junior"/>
    <s v="Toshkent"/>
    <n v="5000000"/>
    <n v="4"/>
    <x v="1"/>
    <n v="17"/>
    <x v="0"/>
    <s v="O'rta maxsus"/>
    <x v="0"/>
    <m/>
    <x v="0"/>
    <n v="31"/>
    <n v="4.3887748117727581"/>
    <s v="Madina Abdullayeva"/>
    <n v="0"/>
    <x v="0"/>
  </r>
  <r>
    <s v="EMP-0196"/>
    <s v="Zilola Abdullayeva"/>
    <s v="Ayol"/>
    <d v="1995-03-08T00:00:00"/>
    <d v="2025-11-22T00:00:00"/>
    <x v="5"/>
    <s v="Haydovchi-ekspeditor"/>
    <s v="Middle"/>
    <s v="Toshkent"/>
    <n v="5000000"/>
    <n v="5"/>
    <x v="3"/>
    <n v="33"/>
    <x v="0"/>
    <s v="O'rta maxsus"/>
    <x v="0"/>
    <m/>
    <x v="0"/>
    <n v="31"/>
    <n v="0.85420944558521561"/>
    <s v="Sardor Nazarov"/>
    <n v="0"/>
    <x v="2"/>
  </r>
  <r>
    <s v="EMP-0659"/>
    <s v="Aziza Normatova"/>
    <s v="Ayol"/>
    <d v="1992-01-02T00:00:00"/>
    <d v="2017-07-16T00:00:00"/>
    <x v="6"/>
    <s v="Mijozlar bilan ishlash mutaxassisi"/>
    <s v="Middle"/>
    <s v="Namangan"/>
    <n v="5000000"/>
    <n v="2"/>
    <x v="4"/>
    <n v="13"/>
    <x v="0"/>
    <s v="O'rta maxsus"/>
    <x v="0"/>
    <m/>
    <x v="0"/>
    <n v="34"/>
    <n v="9.207392197125257"/>
    <s v="Shahlo Ismoilova"/>
    <n v="0"/>
    <x v="0"/>
  </r>
  <r>
    <s v="EMP-0166"/>
    <s v="Dilfuza Karimova"/>
    <s v="Ayol"/>
    <d v="1993-09-23T00:00:00"/>
    <d v="2022-12-19T00:00:00"/>
    <x v="0"/>
    <s v="Tizim administratori"/>
    <s v="Junior"/>
    <s v="Qarshi"/>
    <n v="4970000"/>
    <n v="3"/>
    <x v="0"/>
    <n v="3"/>
    <x v="0"/>
    <s v="O'rta maxsus"/>
    <x v="0"/>
    <m/>
    <x v="0"/>
    <n v="33"/>
    <n v="3.7809719370294319"/>
    <s v="Jasur Yusupov"/>
    <n v="0"/>
    <x v="0"/>
  </r>
  <r>
    <s v="EMP-0138"/>
    <s v="Gulnora Karimova"/>
    <s v="Ayol"/>
    <d v="1999-04-28T00:00:00"/>
    <d v="2022-10-26T00:00:00"/>
    <x v="0"/>
    <s v="QA muhandisi"/>
    <s v="Junior"/>
    <s v="Samarqand"/>
    <n v="4960000"/>
    <n v="4"/>
    <x v="1"/>
    <n v="0"/>
    <x v="2"/>
    <s v="Bakalavr"/>
    <x v="0"/>
    <m/>
    <x v="0"/>
    <n v="27"/>
    <n v="3.9288158795345653"/>
    <s v="Jasur Yusupov"/>
    <n v="0"/>
    <x v="0"/>
  </r>
  <r>
    <s v="EMP-0412"/>
    <s v="Aziz Normatov"/>
    <s v="Erkak"/>
    <d v="1980-06-01T00:00:00"/>
    <d v="2023-06-25T00:00:00"/>
    <x v="2"/>
    <s v="Savdo vakili"/>
    <s v="Junior"/>
    <s v="Toshkent"/>
    <n v="4960000"/>
    <n v="3"/>
    <x v="4"/>
    <n v="18"/>
    <x v="0"/>
    <s v="Bakalavr"/>
    <x v="1"/>
    <d v="2026-03-26T00:00:00"/>
    <x v="4"/>
    <n v="46"/>
    <n v="2.751540041067762"/>
    <s v="Aziz Karimov"/>
    <n v="1"/>
    <x v="1"/>
  </r>
  <r>
    <s v="EMP-0666"/>
    <s v="Gulnora Tursunova"/>
    <s v="Ayol"/>
    <d v="1986-09-13T00:00:00"/>
    <d v="2023-07-30T00:00:00"/>
    <x v="0"/>
    <s v="Dasturchi"/>
    <s v="Junior"/>
    <s v="Toshkent"/>
    <n v="4960000"/>
    <n v="3"/>
    <x v="3"/>
    <n v="30"/>
    <x v="0"/>
    <s v="Magistr"/>
    <x v="0"/>
    <m/>
    <x v="0"/>
    <n v="40"/>
    <n v="3.1704312114989732"/>
    <s v="Jasur Yusupov"/>
    <n v="0"/>
    <x v="0"/>
  </r>
  <r>
    <s v="EMP-0544"/>
    <s v="Jasur Rahimov"/>
    <s v="Erkak"/>
    <d v="1996-11-13T00:00:00"/>
    <d v="2025-10-16T00:00:00"/>
    <x v="2"/>
    <s v="Sotuv menejeri"/>
    <s v="Junior"/>
    <s v="Toshkent"/>
    <n v="4950000"/>
    <n v="3"/>
    <x v="3"/>
    <n v="25"/>
    <x v="0"/>
    <s v="O'rta maxsus"/>
    <x v="0"/>
    <m/>
    <x v="0"/>
    <n v="29"/>
    <n v="0.95550992470910334"/>
    <s v="Aziz Karimov"/>
    <n v="0"/>
    <x v="2"/>
  </r>
  <r>
    <s v="EMP-0075"/>
    <s v="Ulugbek Nazarov"/>
    <s v="Erkak"/>
    <d v="1980-12-03T00:00:00"/>
    <d v="2019-07-10T00:00:00"/>
    <x v="0"/>
    <s v="QA muhandisi"/>
    <s v="Junior"/>
    <s v="Toshkent"/>
    <n v="4940000"/>
    <n v="5"/>
    <x v="3"/>
    <n v="24"/>
    <x v="0"/>
    <s v="Bakalavr"/>
    <x v="0"/>
    <m/>
    <x v="0"/>
    <n v="45"/>
    <n v="7.225188227241615"/>
    <s v="Jasur Yusupov"/>
    <n v="0"/>
    <x v="0"/>
  </r>
  <r>
    <s v="EMP-0532"/>
    <s v="Timur Mirzayev"/>
    <s v="Erkak"/>
    <d v="2001-12-11T00:00:00"/>
    <d v="2026-03-09T00:00:00"/>
    <x v="1"/>
    <s v="Kontent menejer"/>
    <s v="Junior"/>
    <s v="Toshkent"/>
    <n v="4930000"/>
    <n v="4"/>
    <x v="0"/>
    <n v="4"/>
    <x v="0"/>
    <s v="O'rta maxsus"/>
    <x v="0"/>
    <m/>
    <x v="0"/>
    <n v="24"/>
    <n v="0.5612594113620808"/>
    <s v="Dilnoza Rahimova"/>
    <n v="0"/>
    <x v="2"/>
  </r>
  <r>
    <s v="EMP-0041"/>
    <s v="Timur Tursunov"/>
    <s v="Erkak"/>
    <d v="1992-01-18T00:00:00"/>
    <d v="2020-11-05T00:00:00"/>
    <x v="1"/>
    <s v="SMM mutaxassisi"/>
    <s v="Junior"/>
    <s v="Toshkent"/>
    <n v="4910000"/>
    <n v="3"/>
    <x v="3"/>
    <n v="25"/>
    <x v="0"/>
    <s v="O'rta maxsus"/>
    <x v="1"/>
    <d v="2026-02-26T00:00:00"/>
    <x v="5"/>
    <n v="34"/>
    <n v="5.3086926762491444"/>
    <s v="Dilnoza Rahimova"/>
    <n v="1"/>
    <x v="0"/>
  </r>
  <r>
    <s v="EMP-0293"/>
    <s v="Islom Mirzayev"/>
    <s v="Erkak"/>
    <d v="1995-10-18T00:00:00"/>
    <d v="2022-08-06T00:00:00"/>
    <x v="2"/>
    <s v="Sotuv menejeri"/>
    <s v="Junior"/>
    <s v="Namangan"/>
    <n v="4910000"/>
    <n v="3"/>
    <x v="3"/>
    <n v="30"/>
    <x v="2"/>
    <s v="O'rta maxsus"/>
    <x v="0"/>
    <m/>
    <x v="0"/>
    <n v="30"/>
    <n v="4.1505817932922655"/>
    <s v="Aziz Karimov"/>
    <n v="0"/>
    <x v="0"/>
  </r>
  <r>
    <s v="EMP-0509"/>
    <s v="Timur Hasanov"/>
    <s v="Erkak"/>
    <d v="1988-12-18T00:00:00"/>
    <d v="2026-05-13T00:00:00"/>
    <x v="2"/>
    <s v="Hudud menejeri"/>
    <s v="Junior"/>
    <s v="Toshkent"/>
    <n v="4910000"/>
    <n v="3"/>
    <x v="0"/>
    <n v="12"/>
    <x v="1"/>
    <s v="Bakalavr"/>
    <x v="0"/>
    <m/>
    <x v="0"/>
    <n v="37"/>
    <n v="0.38329911019849416"/>
    <s v="Aziz Karimov"/>
    <n v="0"/>
    <x v="2"/>
  </r>
  <r>
    <s v="EMP-0514"/>
    <s v="Dilshod Rahimov"/>
    <s v="Erkak"/>
    <d v="2000-10-19T00:00:00"/>
    <d v="2025-08-15T00:00:00"/>
    <x v="2"/>
    <s v="Savdo vakili"/>
    <s v="Junior"/>
    <s v="Toshkent"/>
    <n v="4910000"/>
    <n v="4"/>
    <x v="4"/>
    <n v="17"/>
    <x v="1"/>
    <s v="Bakalavr"/>
    <x v="1"/>
    <d v="2026-02-21T00:00:00"/>
    <x v="2"/>
    <n v="25"/>
    <n v="0.52019164955509922"/>
    <s v="Aziz Karimov"/>
    <n v="1"/>
    <x v="2"/>
  </r>
  <r>
    <s v="EMP-0458"/>
    <s v="Aziza Ergasheva"/>
    <s v="Ayol"/>
    <d v="1992-09-02T00:00:00"/>
    <d v="2017-07-05T00:00:00"/>
    <x v="2"/>
    <s v="Savdo vakili"/>
    <s v="Junior"/>
    <s v="Toshkent"/>
    <n v="4900000"/>
    <n v="3"/>
    <x v="3"/>
    <n v="4"/>
    <x v="0"/>
    <s v="Bakalavr"/>
    <x v="0"/>
    <m/>
    <x v="0"/>
    <n v="34"/>
    <n v="9.2375085557837107"/>
    <s v="Aziz Karimov"/>
    <n v="0"/>
    <x v="0"/>
  </r>
  <r>
    <s v="EMP-0478"/>
    <s v="Dilshod Qodirov"/>
    <s v="Erkak"/>
    <d v="1981-10-22T00:00:00"/>
    <d v="2018-04-28T00:00:00"/>
    <x v="3"/>
    <s v="Buxgalter"/>
    <s v="Junior"/>
    <s v="Namangan"/>
    <n v="4890000"/>
    <n v="3"/>
    <x v="4"/>
    <n v="1"/>
    <x v="0"/>
    <s v="Bakalavr"/>
    <x v="0"/>
    <m/>
    <x v="0"/>
    <n v="44"/>
    <n v="8.424366872005475"/>
    <s v="Madina Abdullayeva"/>
    <n v="0"/>
    <x v="0"/>
  </r>
  <r>
    <s v="EMP-0675"/>
    <s v="Feruza Abdullayeva"/>
    <s v="Ayol"/>
    <d v="1986-04-06T00:00:00"/>
    <d v="2025-03-03T00:00:00"/>
    <x v="2"/>
    <s v="Sotuv menejeri"/>
    <s v="Junior"/>
    <s v="Andijon"/>
    <n v="4870000"/>
    <n v="3"/>
    <x v="1"/>
    <n v="6"/>
    <x v="1"/>
    <s v="O'rta maxsus"/>
    <x v="0"/>
    <m/>
    <x v="0"/>
    <n v="40"/>
    <n v="1.5770020533880904"/>
    <s v="Aziz Karimov"/>
    <n v="0"/>
    <x v="1"/>
  </r>
  <r>
    <s v="EMP-0645"/>
    <s v="Dilfuza Yusupova"/>
    <s v="Ayol"/>
    <d v="2005-02-24T00:00:00"/>
    <d v="2025-10-28T00:00:00"/>
    <x v="3"/>
    <s v="Kassir"/>
    <s v="Junior"/>
    <s v="Toshkent"/>
    <n v="4860000"/>
    <n v="4"/>
    <x v="2"/>
    <n v="0"/>
    <x v="2"/>
    <s v="Bakalavr"/>
    <x v="0"/>
    <m/>
    <x v="0"/>
    <n v="21"/>
    <n v="0.92265571526351808"/>
    <s v="Madina Abdullayeva"/>
    <n v="0"/>
    <x v="2"/>
  </r>
  <r>
    <s v="EMP-0223"/>
    <s v="Malika Hasanova"/>
    <s v="Ayol"/>
    <d v="1978-12-09T00:00:00"/>
    <d v="2024-08-15T00:00:00"/>
    <x v="6"/>
    <s v="Mijozlar bilan ishlash mutaxassisi"/>
    <s v="Middle"/>
    <s v="Toshkent"/>
    <n v="4850000"/>
    <n v="5"/>
    <x v="3"/>
    <n v="16"/>
    <x v="0"/>
    <s v="Bakalavr"/>
    <x v="1"/>
    <d v="2026-08-23T00:00:00"/>
    <x v="7"/>
    <n v="47"/>
    <n v="2.020533880903491"/>
    <s v="Shahlo Ismoilova"/>
    <n v="1"/>
    <x v="1"/>
  </r>
  <r>
    <s v="EMP-0257"/>
    <s v="Bobur Sobirov"/>
    <s v="Erkak"/>
    <d v="1997-05-17T00:00:00"/>
    <d v="2019-01-11T00:00:00"/>
    <x v="0"/>
    <s v="QA muhandisi"/>
    <s v="Junior"/>
    <s v="Toshkent"/>
    <n v="4840000"/>
    <n v="1"/>
    <x v="3"/>
    <n v="6"/>
    <x v="0"/>
    <s v="O'rta maxsus"/>
    <x v="0"/>
    <m/>
    <x v="0"/>
    <n v="29"/>
    <n v="7.7180013689253935"/>
    <s v="Jasur Yusupov"/>
    <n v="0"/>
    <x v="0"/>
  </r>
  <r>
    <s v="EMP-0136"/>
    <s v="Sherzod Ergashev"/>
    <s v="Erkak"/>
    <d v="1993-11-23T00:00:00"/>
    <d v="2024-07-02T00:00:00"/>
    <x v="3"/>
    <s v="Moliyaviy tahlilchi"/>
    <s v="Junior"/>
    <s v="Toshkent"/>
    <n v="4830000"/>
    <n v="4"/>
    <x v="1"/>
    <n v="2"/>
    <x v="0"/>
    <s v="Magistr"/>
    <x v="0"/>
    <m/>
    <x v="0"/>
    <n v="32"/>
    <n v="2.2450376454483232"/>
    <s v="Madina Abdullayeva"/>
    <n v="0"/>
    <x v="1"/>
  </r>
  <r>
    <s v="EMP-0171"/>
    <s v="Behruz Karimov"/>
    <s v="Erkak"/>
    <d v="1991-03-14T00:00:00"/>
    <d v="2025-03-29T00:00:00"/>
    <x v="6"/>
    <s v="Mijozlar bilan ishlash mutaxassisi"/>
    <s v="Middle"/>
    <s v="Toshkent"/>
    <n v="4830000"/>
    <n v="5"/>
    <x v="1"/>
    <n v="4"/>
    <x v="0"/>
    <s v="O'rta maxsus"/>
    <x v="0"/>
    <m/>
    <x v="0"/>
    <n v="35"/>
    <n v="1.5058179329226558"/>
    <s v="Shahlo Ismoilova"/>
    <n v="0"/>
    <x v="1"/>
  </r>
  <r>
    <s v="EMP-0473"/>
    <s v="Rustam Nazarov"/>
    <s v="Erkak"/>
    <d v="2006-04-15T00:00:00"/>
    <d v="2026-07-03T00:00:00"/>
    <x v="0"/>
    <s v="Tizim administratori"/>
    <s v="Junior"/>
    <s v="Toshkent"/>
    <n v="4830000"/>
    <n v="3"/>
    <x v="0"/>
    <n v="0"/>
    <x v="0"/>
    <s v="O'rta maxsus"/>
    <x v="0"/>
    <m/>
    <x v="0"/>
    <n v="20"/>
    <n v="0.24366872005475701"/>
    <s v="Jasur Yusupov"/>
    <n v="0"/>
    <x v="2"/>
  </r>
  <r>
    <s v="EMP-0435"/>
    <s v="Bobur Normatov"/>
    <s v="Erkak"/>
    <d v="1988-04-16T00:00:00"/>
    <d v="2025-08-05T00:00:00"/>
    <x v="2"/>
    <s v="Savdo vakili"/>
    <s v="Junior"/>
    <s v="Toshkent"/>
    <n v="4820000"/>
    <n v="2"/>
    <x v="0"/>
    <n v="9"/>
    <x v="2"/>
    <s v="Bakalavr"/>
    <x v="0"/>
    <m/>
    <x v="0"/>
    <n v="38"/>
    <n v="1.1526351813826146"/>
    <s v="Aziz Karimov"/>
    <n v="0"/>
    <x v="1"/>
  </r>
  <r>
    <s v="EMP-0730"/>
    <s v="Jahongir Sobirov"/>
    <s v="Erkak"/>
    <d v="1994-10-17T00:00:00"/>
    <d v="2021-06-09T00:00:00"/>
    <x v="6"/>
    <s v="Mijozlar bilan ishlash mutaxassisi"/>
    <s v="Middle"/>
    <s v="Samarqand"/>
    <n v="4820000"/>
    <n v="3"/>
    <x v="0"/>
    <n v="3"/>
    <x v="0"/>
    <s v="O'rta maxsus"/>
    <x v="0"/>
    <m/>
    <x v="0"/>
    <n v="31"/>
    <n v="5.3086926762491444"/>
    <s v="Shahlo Ismoilova"/>
    <n v="0"/>
    <x v="0"/>
  </r>
  <r>
    <s v="EMP-0020"/>
    <s v="Nigora Mirzayeva"/>
    <s v="Ayol"/>
    <d v="1999-02-26T00:00:00"/>
    <d v="2022-08-02T00:00:00"/>
    <x v="2"/>
    <s v="Sotuv menejeri"/>
    <s v="Junior"/>
    <s v="Namangan"/>
    <n v="4810000"/>
    <n v="3"/>
    <x v="0"/>
    <n v="42"/>
    <x v="2"/>
    <s v="Bakalavr"/>
    <x v="0"/>
    <m/>
    <x v="0"/>
    <n v="27"/>
    <n v="4.1615331964407938"/>
    <s v="Aziz Karimov"/>
    <n v="0"/>
    <x v="0"/>
  </r>
  <r>
    <s v="EMP-0036"/>
    <s v="Gulnora Hasanova"/>
    <s v="Ayol"/>
    <d v="1993-11-13T00:00:00"/>
    <d v="2019-07-18T00:00:00"/>
    <x v="2"/>
    <s v="Hudud menejeri"/>
    <s v="Junior"/>
    <s v="Toshkent"/>
    <n v="4810000"/>
    <n v="3"/>
    <x v="1"/>
    <n v="28"/>
    <x v="1"/>
    <s v="O'rta maxsus"/>
    <x v="0"/>
    <m/>
    <x v="0"/>
    <n v="32"/>
    <n v="7.2032854209445585"/>
    <s v="Aziz Karimov"/>
    <n v="0"/>
    <x v="0"/>
  </r>
  <r>
    <s v="EMP-0445"/>
    <s v="Aziz Sobirov"/>
    <s v="Erkak"/>
    <d v="1989-10-15T00:00:00"/>
    <d v="2021-05-15T00:00:00"/>
    <x v="1"/>
    <s v="SMM mutaxassisi"/>
    <s v="Junior"/>
    <s v="Toshkent"/>
    <n v="4800000"/>
    <n v="4"/>
    <x v="0"/>
    <n v="6"/>
    <x v="0"/>
    <s v="O'rta maxsus"/>
    <x v="0"/>
    <m/>
    <x v="0"/>
    <n v="36"/>
    <n v="5.377138945927447"/>
    <s v="Dilnoza Rahimova"/>
    <n v="0"/>
    <x v="0"/>
  </r>
  <r>
    <s v="EMP-0714"/>
    <s v="Feruza Ergasheva"/>
    <s v="Ayol"/>
    <d v="1994-02-25T00:00:00"/>
    <d v="2019-11-09T00:00:00"/>
    <x v="2"/>
    <s v="Hudud menejeri"/>
    <s v="Junior"/>
    <s v="Toshkent"/>
    <n v="4800000"/>
    <n v="3"/>
    <x v="1"/>
    <n v="30"/>
    <x v="0"/>
    <s v="O'rta maxsus"/>
    <x v="1"/>
    <d v="2025-09-16T00:00:00"/>
    <x v="3"/>
    <n v="32"/>
    <n v="5.8535249828884321"/>
    <s v="Aziz Karimov"/>
    <n v="1"/>
    <x v="0"/>
  </r>
  <r>
    <s v="EMP-0122"/>
    <s v="Aziza Qodirova"/>
    <s v="Ayol"/>
    <d v="2001-09-08T00:00:00"/>
    <d v="2025-08-04T00:00:00"/>
    <x v="6"/>
    <s v="Call-markaz operatori"/>
    <s v="Middle"/>
    <s v="Andijon"/>
    <n v="4790000"/>
    <n v="3"/>
    <x v="0"/>
    <n v="29"/>
    <x v="2"/>
    <s v="Bakalavr"/>
    <x v="0"/>
    <m/>
    <x v="0"/>
    <n v="25"/>
    <n v="1.1553730321697468"/>
    <s v="Shahlo Ismoilova"/>
    <n v="0"/>
    <x v="1"/>
  </r>
  <r>
    <s v="EMP-0099"/>
    <s v="Doniyor Tursunov"/>
    <s v="Erkak"/>
    <d v="1996-05-14T00:00:00"/>
    <d v="2019-07-13T00:00:00"/>
    <x v="2"/>
    <s v="Sotuv menejeri"/>
    <s v="Junior"/>
    <s v="Toshkent"/>
    <n v="4780000"/>
    <n v="5"/>
    <x v="1"/>
    <n v="11"/>
    <x v="2"/>
    <s v="O'rta maxsus"/>
    <x v="0"/>
    <m/>
    <x v="0"/>
    <n v="30"/>
    <n v="7.2169746748802188"/>
    <s v="Aziz Karimov"/>
    <n v="0"/>
    <x v="0"/>
  </r>
  <r>
    <s v="EMP-0423"/>
    <s v="Doniyor Tursunov"/>
    <s v="Erkak"/>
    <d v="1986-05-07T00:00:00"/>
    <d v="2025-12-25T00:00:00"/>
    <x v="3"/>
    <s v="Moliyaviy tahlilchi"/>
    <s v="Junior"/>
    <s v="Andijon"/>
    <n v="4760000"/>
    <n v="4"/>
    <x v="0"/>
    <n v="9"/>
    <x v="2"/>
    <s v="Bakalavr"/>
    <x v="0"/>
    <m/>
    <x v="0"/>
    <n v="40"/>
    <n v="0.76386036960985626"/>
    <s v="Madina Abdullayeva"/>
    <n v="0"/>
    <x v="2"/>
  </r>
  <r>
    <s v="EMP-0305"/>
    <s v="Sherzod Ergashev"/>
    <s v="Erkak"/>
    <d v="1984-02-22T00:00:00"/>
    <d v="2021-04-02T00:00:00"/>
    <x v="2"/>
    <s v="Sotuv menejeri"/>
    <s v="Junior"/>
    <s v="Qarshi"/>
    <n v="4750000"/>
    <n v="5"/>
    <x v="3"/>
    <n v="32"/>
    <x v="1"/>
    <s v="Bakalavr"/>
    <x v="0"/>
    <m/>
    <x v="0"/>
    <n v="42"/>
    <n v="5.4948665297741277"/>
    <s v="Aziz Karimov"/>
    <n v="0"/>
    <x v="0"/>
  </r>
  <r>
    <s v="EMP-0245"/>
    <s v="Kamola Abdullayeva"/>
    <s v="Ayol"/>
    <d v="1997-08-07T00:00:00"/>
    <d v="2026-07-11T00:00:00"/>
    <x v="1"/>
    <s v="SMM mutaxassisi"/>
    <s v="Junior"/>
    <s v="Samarqand"/>
    <n v="4740000"/>
    <n v="1"/>
    <x v="1"/>
    <n v="7"/>
    <x v="0"/>
    <s v="Bakalavr"/>
    <x v="0"/>
    <m/>
    <x v="0"/>
    <n v="29"/>
    <n v="0.22176591375770022"/>
    <s v="Dilnoza Rahimova"/>
    <n v="0"/>
    <x v="2"/>
  </r>
  <r>
    <s v="EMP-0259"/>
    <s v="Madina Tursunova"/>
    <s v="Ayol"/>
    <d v="1985-03-06T00:00:00"/>
    <d v="2019-05-30T00:00:00"/>
    <x v="6"/>
    <s v="Call-markaz operatori"/>
    <s v="Middle"/>
    <s v="Toshkent"/>
    <n v="4730000"/>
    <n v="3"/>
    <x v="3"/>
    <n v="20"/>
    <x v="2"/>
    <s v="O'rta maxsus"/>
    <x v="0"/>
    <m/>
    <x v="0"/>
    <n v="41"/>
    <n v="7.3374401095140316"/>
    <s v="Shahlo Ismoilova"/>
    <n v="0"/>
    <x v="0"/>
  </r>
  <r>
    <s v="EMP-0647"/>
    <s v="Dilnoza Abdullayeva"/>
    <s v="Ayol"/>
    <d v="1989-06-25T00:00:00"/>
    <d v="2019-07-18T00:00:00"/>
    <x v="1"/>
    <s v="Marketolog"/>
    <s v="Junior"/>
    <s v="Toshkent"/>
    <n v="4720000"/>
    <n v="3"/>
    <x v="2"/>
    <n v="10"/>
    <x v="0"/>
    <s v="O'rta maxsus"/>
    <x v="0"/>
    <m/>
    <x v="0"/>
    <n v="37"/>
    <n v="7.2032854209445585"/>
    <s v="Dilnoza Rahimova"/>
    <n v="0"/>
    <x v="0"/>
  </r>
  <r>
    <s v="EMP-0008"/>
    <s v="Doniyor Umarov"/>
    <s v="Erkak"/>
    <d v="1982-11-26T00:00:00"/>
    <d v="2017-12-28T00:00:00"/>
    <x v="3"/>
    <s v="Moliyaviy tahlilchi"/>
    <s v="Junior"/>
    <s v="Toshkent"/>
    <n v="4700000"/>
    <n v="2"/>
    <x v="4"/>
    <n v="0"/>
    <x v="0"/>
    <s v="Bakalavr"/>
    <x v="1"/>
    <d v="2025-12-15T00:00:00"/>
    <x v="4"/>
    <n v="43"/>
    <n v="7.9644079397672831"/>
    <s v="Madina Abdullayeva"/>
    <n v="1"/>
    <x v="0"/>
  </r>
  <r>
    <s v="EMP-0724"/>
    <s v="Otabek Abdullayev"/>
    <s v="Erkak"/>
    <d v="1993-11-06T00:00:00"/>
    <d v="2024-06-23T00:00:00"/>
    <x v="4"/>
    <s v="Rekruter"/>
    <s v="Junior"/>
    <s v="Andijon"/>
    <n v="4700000"/>
    <n v="4"/>
    <x v="3"/>
    <n v="15"/>
    <x v="0"/>
    <s v="Bakalavr"/>
    <x v="0"/>
    <m/>
    <x v="0"/>
    <n v="32"/>
    <n v="2.2696783025325118"/>
    <s v="Nodira Tursunova"/>
    <n v="0"/>
    <x v="1"/>
  </r>
  <r>
    <s v="EMP-0507"/>
    <s v="Dilfuza Nazarova"/>
    <s v="Ayol"/>
    <d v="1992-09-13T00:00:00"/>
    <d v="2023-04-22T00:00:00"/>
    <x v="4"/>
    <s v="Rekruter"/>
    <s v="Junior"/>
    <s v="Toshkent"/>
    <n v="4690000"/>
    <n v="3"/>
    <x v="0"/>
    <n v="15"/>
    <x v="1"/>
    <s v="Bakalavr"/>
    <x v="0"/>
    <m/>
    <x v="0"/>
    <n v="34"/>
    <n v="3.4414784394250515"/>
    <s v="Nodira Tursunova"/>
    <n v="0"/>
    <x v="0"/>
  </r>
  <r>
    <s v="EMP-0535"/>
    <s v="Ulugbek Ergashev"/>
    <s v="Erkak"/>
    <d v="1994-06-24T00:00:00"/>
    <d v="2016-06-20T00:00:00"/>
    <x v="2"/>
    <s v="Hudud menejeri"/>
    <s v="Junior"/>
    <s v="Toshkent"/>
    <n v="4690000"/>
    <n v="4"/>
    <x v="0"/>
    <n v="38"/>
    <x v="2"/>
    <m/>
    <x v="0"/>
    <m/>
    <x v="0"/>
    <n v="32"/>
    <n v="10.277891854893909"/>
    <s v="Aziz Karimov"/>
    <n v="0"/>
    <x v="0"/>
  </r>
  <r>
    <s v="EMP-0631"/>
    <s v="Sevara Umarova"/>
    <s v="Ayol"/>
    <d v="1998-05-22T00:00:00"/>
    <d v="2022-12-14T00:00:00"/>
    <x v="3"/>
    <s v="Kassir"/>
    <s v="Junior"/>
    <s v="Toshkent"/>
    <n v="4690000"/>
    <n v="2"/>
    <x v="4"/>
    <n v="2"/>
    <x v="1"/>
    <s v="O'rta maxsus"/>
    <x v="0"/>
    <m/>
    <x v="0"/>
    <n v="28"/>
    <n v="3.7946611909650922"/>
    <s v="Madina Abdullayeva"/>
    <n v="0"/>
    <x v="0"/>
  </r>
  <r>
    <s v="EMP-0681"/>
    <s v="Zilola Tursunova"/>
    <s v="Ayol"/>
    <d v="1988-05-21T00:00:00"/>
    <d v="2024-06-06T00:00:00"/>
    <x v="1"/>
    <s v="Kontent menejer"/>
    <s v="Junior"/>
    <s v="Toshkent"/>
    <n v="4690000"/>
    <n v="1"/>
    <x v="2"/>
    <n v="17"/>
    <x v="2"/>
    <s v="Magistr"/>
    <x v="0"/>
    <m/>
    <x v="0"/>
    <n v="38"/>
    <n v="2.3162217659137578"/>
    <s v="Dilnoza Rahimova"/>
    <n v="0"/>
    <x v="1"/>
  </r>
  <r>
    <s v="EMP-0413"/>
    <s v="Nodira Normatova"/>
    <s v="Ayol"/>
    <d v="2002-06-13T00:00:00"/>
    <d v="2025-10-15T00:00:00"/>
    <x v="6"/>
    <s v="Call-markaz operatori"/>
    <s v="Middle"/>
    <s v="Toshkent"/>
    <n v="4670000"/>
    <n v="4"/>
    <x v="3"/>
    <n v="21"/>
    <x v="2"/>
    <s v="O'rta maxsus"/>
    <x v="0"/>
    <m/>
    <x v="0"/>
    <n v="24"/>
    <n v="0.95824777549623541"/>
    <s v="Shahlo Ismoilova"/>
    <n v="0"/>
    <x v="2"/>
  </r>
  <r>
    <s v="EMP-0451"/>
    <s v="Sherzod Umarov"/>
    <s v="Erkak"/>
    <d v="1993-02-04T00:00:00"/>
    <d v="2024-06-11T00:00:00"/>
    <x v="3"/>
    <s v="Moliyaviy tahlilchi"/>
    <s v="Junior"/>
    <s v="Andijon"/>
    <n v="4670000"/>
    <n v="3"/>
    <x v="0"/>
    <n v="3"/>
    <x v="0"/>
    <s v="O'rta maxsus"/>
    <x v="0"/>
    <m/>
    <x v="0"/>
    <n v="33"/>
    <n v="2.3025325119780971"/>
    <s v="Madina Abdullayeva"/>
    <n v="0"/>
    <x v="1"/>
  </r>
  <r>
    <s v="EMP-0649"/>
    <s v="Rustam Normatov"/>
    <s v="Erkak"/>
    <d v="1991-05-16T00:00:00"/>
    <d v="2026-02-26T00:00:00"/>
    <x v="0"/>
    <s v="QA muhandisi"/>
    <s v="Junior"/>
    <s v="Andijon"/>
    <n v="4650000"/>
    <m/>
    <x v="3"/>
    <n v="6"/>
    <x v="0"/>
    <s v="Bakalavr"/>
    <x v="1"/>
    <d v="2026-07-19T00:00:00"/>
    <x v="3"/>
    <n v="35"/>
    <n v="0.39151266255989048"/>
    <s v="Jasur Yusupov"/>
    <n v="1"/>
    <x v="2"/>
  </r>
  <r>
    <s v="EMP-0039"/>
    <s v="Sevara Qodirova"/>
    <s v="Ayol"/>
    <d v="1987-09-28T00:00:00"/>
    <d v="2018-02-01T00:00:00"/>
    <x v="0"/>
    <s v="Tizim administratori"/>
    <s v="Junior"/>
    <s v="Buxoro"/>
    <n v="4630000"/>
    <n v="3"/>
    <x v="0"/>
    <n v="12"/>
    <x v="1"/>
    <s v="Bakalavr"/>
    <x v="0"/>
    <m/>
    <x v="0"/>
    <n v="39"/>
    <n v="8.6598220396988363"/>
    <s v="Jasur Yusupov"/>
    <n v="0"/>
    <x v="0"/>
  </r>
  <r>
    <s v="EMP-0483"/>
    <s v="Aziz Umarov"/>
    <s v="Erkak"/>
    <d v="2006-04-12T00:00:00"/>
    <d v="2026-07-06T00:00:00"/>
    <x v="0"/>
    <s v="Dasturchi"/>
    <s v="Junior"/>
    <s v="Toshkent"/>
    <n v="4620000"/>
    <n v="3"/>
    <x v="0"/>
    <n v="21"/>
    <x v="0"/>
    <s v="Bakalavr"/>
    <x v="1"/>
    <d v="2026-09-20T00:00:00"/>
    <x v="2"/>
    <n v="20"/>
    <n v="0.20807665982203971"/>
    <s v="Jasur Yusupov"/>
    <n v="1"/>
    <x v="2"/>
  </r>
  <r>
    <s v="EMP-0256"/>
    <s v="Mohira Karimova"/>
    <s v="Ayol"/>
    <d v="1992-08-04T00:00:00"/>
    <d v="2024-06-24T00:00:00"/>
    <x v="2"/>
    <s v="Sotuv menejeri"/>
    <s v="Junior"/>
    <s v="Toshkent"/>
    <n v="4610000"/>
    <n v="4"/>
    <x v="1"/>
    <n v="30"/>
    <x v="2"/>
    <m/>
    <x v="0"/>
    <m/>
    <x v="0"/>
    <n v="34"/>
    <n v="2.2669404517453797"/>
    <s v="Aziz Karimov"/>
    <n v="0"/>
    <x v="1"/>
  </r>
  <r>
    <s v="EMP-0352"/>
    <s v="Behruz Mirzayev"/>
    <s v="Erkak"/>
    <d v="1997-11-25T00:00:00"/>
    <d v="2023-12-21T00:00:00"/>
    <x v="4"/>
    <s v="HR menejer"/>
    <s v="Junior"/>
    <s v="Toshkent"/>
    <n v="4610000"/>
    <n v="4"/>
    <x v="2"/>
    <n v="12"/>
    <x v="2"/>
    <s v="Bakalavr"/>
    <x v="0"/>
    <m/>
    <x v="0"/>
    <n v="28"/>
    <n v="2.7761806981519506"/>
    <s v="Nodira Tursunova"/>
    <n v="0"/>
    <x v="1"/>
  </r>
  <r>
    <s v="EMP-0408"/>
    <s v="Aziz Nazarov"/>
    <s v="Erkak"/>
    <d v="1992-05-11T00:00:00"/>
    <d v="2022-12-31T00:00:00"/>
    <x v="1"/>
    <s v="Marketolog"/>
    <s v="Junior"/>
    <s v="Toshkent"/>
    <n v="4610000"/>
    <n v="4"/>
    <x v="4"/>
    <n v="22"/>
    <x v="2"/>
    <s v="Bakalavr"/>
    <x v="0"/>
    <m/>
    <x v="0"/>
    <n v="34"/>
    <n v="3.7481177275838466"/>
    <s v="Dilnoza Rahimova"/>
    <n v="0"/>
    <x v="0"/>
  </r>
  <r>
    <s v="EMP-0055"/>
    <s v="Nodira Ismoilova"/>
    <s v="Ayol"/>
    <d v="1991-10-12T00:00:00"/>
    <d v="2016-12-21T00:00:00"/>
    <x v="0"/>
    <s v="Dasturchi"/>
    <s v="Junior"/>
    <s v="Andijon"/>
    <n v="4600000"/>
    <n v="4"/>
    <x v="3"/>
    <n v="14"/>
    <x v="2"/>
    <s v="O'rta maxsus"/>
    <x v="0"/>
    <m/>
    <x v="0"/>
    <n v="34"/>
    <n v="9.7741273100616013"/>
    <s v="Jasur Yusupov"/>
    <n v="0"/>
    <x v="0"/>
  </r>
  <r>
    <s v="EMP-0499"/>
    <s v="Dilfuza Qodirova"/>
    <s v="Ayol"/>
    <d v="1989-08-14T00:00:00"/>
    <d v="2025-08-22T00:00:00"/>
    <x v="2"/>
    <s v="Savdo vakili"/>
    <s v="Junior"/>
    <s v="Toshkent"/>
    <n v="4600000"/>
    <n v="3"/>
    <x v="0"/>
    <n v="13"/>
    <x v="2"/>
    <s v="Magistr"/>
    <x v="1"/>
    <d v="2026-07-12T00:00:00"/>
    <x v="7"/>
    <n v="37"/>
    <n v="0.88706365503080087"/>
    <s v="Aziz Karimov"/>
    <n v="1"/>
    <x v="2"/>
  </r>
  <r>
    <s v="EMP-0696"/>
    <s v="Sevara Ismoilova"/>
    <s v="Ayol"/>
    <d v="1998-03-13T00:00:00"/>
    <d v="2021-08-21T00:00:00"/>
    <x v="1"/>
    <s v="Marketolog"/>
    <s v="Junior"/>
    <s v="Buxoro"/>
    <n v="4600000"/>
    <n v="5"/>
    <x v="3"/>
    <n v="6"/>
    <x v="0"/>
    <s v="Bakalavr"/>
    <x v="0"/>
    <m/>
    <x v="0"/>
    <n v="28"/>
    <n v="5.1088295687885008"/>
    <s v="Dilnoza Rahimova"/>
    <n v="0"/>
    <x v="0"/>
  </r>
  <r>
    <s v="EMP-0611"/>
    <s v="Jahongir Karimov"/>
    <s v="Erkak"/>
    <d v="1986-11-17T00:00:00"/>
    <d v="2026-04-08T00:00:00"/>
    <x v="0"/>
    <s v="QA muhandisi"/>
    <s v="Junior"/>
    <s v="Andijon"/>
    <n v="4590000"/>
    <n v="4"/>
    <x v="0"/>
    <n v="14"/>
    <x v="0"/>
    <s v="Bakalavr"/>
    <x v="0"/>
    <m/>
    <x v="0"/>
    <n v="39"/>
    <n v="0.4791238877481177"/>
    <s v="Jasur Yusupov"/>
    <n v="0"/>
    <x v="2"/>
  </r>
  <r>
    <s v="EMP-0378"/>
    <s v="Dilfuza Nazarova"/>
    <s v="Ayol"/>
    <d v="1996-01-07T00:00:00"/>
    <d v="2021-08-16T00:00:00"/>
    <x v="3"/>
    <s v="Buxgalter"/>
    <s v="Junior"/>
    <s v="Samarqand"/>
    <n v="4580000"/>
    <n v="3"/>
    <x v="0"/>
    <n v="23"/>
    <x v="0"/>
    <s v="Bakalavr"/>
    <x v="0"/>
    <m/>
    <x v="0"/>
    <n v="30"/>
    <n v="5.1225188227241611"/>
    <s v="Madina Abdullayeva"/>
    <n v="0"/>
    <x v="0"/>
  </r>
  <r>
    <s v="EMP-0536"/>
    <s v="Sevara Mirzayeva"/>
    <s v="Ayol"/>
    <d v="2006-07-20T00:00:00"/>
    <d v="2026-08-30T00:00:00"/>
    <x v="2"/>
    <s v="Hudud menejeri"/>
    <s v="Junior"/>
    <s v="Toshkent"/>
    <n v="4580000"/>
    <n v="4"/>
    <x v="3"/>
    <n v="26"/>
    <x v="0"/>
    <s v="O'rta maxsus"/>
    <x v="0"/>
    <m/>
    <x v="0"/>
    <n v="20"/>
    <n v="8.4873374401095145E-2"/>
    <s v="Aziz Karimov"/>
    <n v="0"/>
    <x v="2"/>
  </r>
  <r>
    <s v="EMP-0279"/>
    <s v="Behruz Saidov"/>
    <s v="Erkak"/>
    <d v="2006-11-16T00:00:00"/>
    <d v="2026-09-19T00:00:00"/>
    <x v="2"/>
    <s v="Savdo vakili"/>
    <s v="Junior"/>
    <s v="Buxoro"/>
    <n v="4570000"/>
    <n v="3"/>
    <x v="3"/>
    <n v="13"/>
    <x v="0"/>
    <s v="O'rta maxsus"/>
    <x v="0"/>
    <m/>
    <x v="0"/>
    <n v="19"/>
    <n v="3.0116358658453114E-2"/>
    <s v="Aziz Karimov"/>
    <n v="0"/>
    <x v="2"/>
  </r>
  <r>
    <s v="EMP-0723"/>
    <s v="Feruza Karimova"/>
    <s v="Ayol"/>
    <d v="1995-05-02T00:00:00"/>
    <d v="2022-10-18T00:00:00"/>
    <x v="6"/>
    <s v="Mijozlar bilan ishlash mutaxassisi"/>
    <s v="Middle"/>
    <s v="Toshkent"/>
    <n v="4570000"/>
    <n v="3"/>
    <x v="0"/>
    <n v="22"/>
    <x v="0"/>
    <s v="Magistr"/>
    <x v="0"/>
    <m/>
    <x v="0"/>
    <n v="31"/>
    <n v="3.9507186858316223"/>
    <s v="Shahlo Ismoilova"/>
    <n v="0"/>
    <x v="0"/>
  </r>
  <r>
    <s v="EMP-0365"/>
    <s v="Malika Ismoilova"/>
    <s v="Ayol"/>
    <d v="1997-08-02T00:00:00"/>
    <d v="2025-08-08T00:00:00"/>
    <x v="6"/>
    <s v="Call-markaz operatori"/>
    <s v="Middle"/>
    <s v="Toshkent"/>
    <n v="4560000"/>
    <n v="3"/>
    <x v="4"/>
    <n v="25"/>
    <x v="0"/>
    <s v="Bakalavr"/>
    <x v="0"/>
    <m/>
    <x v="0"/>
    <n v="29"/>
    <n v="1.1444216290212184"/>
    <s v="Shahlo Ismoilova"/>
    <n v="0"/>
    <x v="1"/>
  </r>
  <r>
    <s v="EMP-0356"/>
    <s v="Rustam Umarov"/>
    <s v="Erkak"/>
    <d v="1982-04-01T00:00:00"/>
    <d v="2024-12-10T00:00:00"/>
    <x v="2"/>
    <s v="Savdo vakili"/>
    <s v="Junior"/>
    <s v="Toshkent"/>
    <n v="4550000"/>
    <n v="4"/>
    <x v="0"/>
    <n v="10"/>
    <x v="1"/>
    <s v="Bakalavr"/>
    <x v="0"/>
    <m/>
    <x v="0"/>
    <n v="44"/>
    <n v="1.8042436687200547"/>
    <s v="Aziz Karimov"/>
    <n v="0"/>
    <x v="1"/>
  </r>
  <r>
    <s v="EMP-0246"/>
    <s v="Aziz Yusupov"/>
    <s v="Erkak"/>
    <d v="1998-08-16T00:00:00"/>
    <d v="2022-03-17T00:00:00"/>
    <x v="3"/>
    <s v="Kassir"/>
    <s v="Junior"/>
    <s v="Toshkent"/>
    <n v="4540000"/>
    <n v="3"/>
    <x v="3"/>
    <n v="7"/>
    <x v="1"/>
    <s v="Bakalavr"/>
    <x v="0"/>
    <m/>
    <x v="0"/>
    <n v="28"/>
    <n v="4.5393566050650236"/>
    <s v="Madina Abdullayeva"/>
    <n v="0"/>
    <x v="0"/>
  </r>
  <r>
    <s v="EMP-0692"/>
    <s v="Mohira Sobirova"/>
    <s v="Ayol"/>
    <d v="1988-04-20T00:00:00"/>
    <d v="2026-02-18T00:00:00"/>
    <x v="6"/>
    <s v="Mijozlar bilan ishlash mutaxassisi"/>
    <s v="Middle"/>
    <s v="Namangan"/>
    <n v="4540000"/>
    <n v="5"/>
    <x v="3"/>
    <n v="8"/>
    <x v="1"/>
    <s v="O'rta maxsus"/>
    <x v="0"/>
    <m/>
    <x v="0"/>
    <n v="38"/>
    <n v="0.61327857631759064"/>
    <s v="Shahlo Ismoilova"/>
    <n v="0"/>
    <x v="2"/>
  </r>
  <r>
    <s v="EMP-0107"/>
    <s v="Madina Umarova"/>
    <s v="Ayol"/>
    <d v="1981-11-03T00:00:00"/>
    <d v="2019-11-17T00:00:00"/>
    <x v="0"/>
    <s v="Tizim administratori"/>
    <s v="Junior"/>
    <s v="Toshkent"/>
    <n v="4520000"/>
    <n v="3"/>
    <x v="3"/>
    <n v="3"/>
    <x v="2"/>
    <s v="Magistr"/>
    <x v="1"/>
    <d v="2026-04-08T00:00:00"/>
    <x v="7"/>
    <n v="44"/>
    <n v="6.3901437371663246"/>
    <s v="Jasur Yusupov"/>
    <n v="1"/>
    <x v="0"/>
  </r>
  <r>
    <s v="EMP-0265"/>
    <s v="Zilola Tursunova"/>
    <s v="Ayol"/>
    <d v="1998-07-10T00:00:00"/>
    <d v="2024-12-14T00:00:00"/>
    <x v="2"/>
    <s v="Sotuv menejeri"/>
    <s v="Junior"/>
    <s v="Toshkent"/>
    <n v="4510000"/>
    <n v="4"/>
    <x v="0"/>
    <n v="21"/>
    <x v="2"/>
    <s v="Magistr"/>
    <x v="0"/>
    <m/>
    <x v="0"/>
    <n v="28"/>
    <n v="1.7932922655715264"/>
    <s v="Aziz Karimov"/>
    <n v="0"/>
    <x v="1"/>
  </r>
  <r>
    <s v="EMP-0553"/>
    <s v="Gulnora Ergasheva"/>
    <s v="Ayol"/>
    <d v="1992-11-15T00:00:00"/>
    <d v="2021-01-14T00:00:00"/>
    <x v="6"/>
    <s v="Mijozlar bilan ishlash mutaxassisi"/>
    <s v="Middle"/>
    <s v="Toshkent"/>
    <n v="4510000"/>
    <n v="3"/>
    <x v="0"/>
    <n v="16"/>
    <x v="2"/>
    <s v="Bakalavr"/>
    <x v="0"/>
    <m/>
    <x v="0"/>
    <n v="33"/>
    <n v="5.7084188911704308"/>
    <s v="Shahlo Ismoilova"/>
    <n v="0"/>
    <x v="0"/>
  </r>
  <r>
    <s v="EMP-0657"/>
    <s v="Jahongir Mirzayev"/>
    <s v="Erkak"/>
    <d v="1997-01-26T00:00:00"/>
    <d v="2019-09-26T00:00:00"/>
    <x v="2"/>
    <s v="Hudud menejeri"/>
    <s v="Junior"/>
    <s v="Samarqand"/>
    <n v="4510000"/>
    <n v="2"/>
    <x v="2"/>
    <n v="7"/>
    <x v="2"/>
    <s v="O'rta maxsus"/>
    <x v="0"/>
    <m/>
    <x v="0"/>
    <n v="29"/>
    <n v="7.0116358658453111"/>
    <s v="Aziz Karimov"/>
    <n v="0"/>
    <x v="0"/>
  </r>
  <r>
    <s v="EMP-0089"/>
    <s v="Aziz Mirzayev"/>
    <s v="Erkak"/>
    <d v="1983-06-26T00:00:00"/>
    <d v="2025-12-06T00:00:00"/>
    <x v="6"/>
    <s v="Mijozlar bilan ishlash mutaxassisi"/>
    <s v="Middle"/>
    <s v="Toshkent"/>
    <n v="4490000"/>
    <n v="4"/>
    <x v="0"/>
    <n v="21"/>
    <x v="0"/>
    <s v="Bakalavr"/>
    <x v="0"/>
    <m/>
    <x v="0"/>
    <n v="43"/>
    <n v="0.81587953456536622"/>
    <s v="Shahlo Ismoilova"/>
    <n v="0"/>
    <x v="2"/>
  </r>
  <r>
    <s v="EMP-0759"/>
    <s v="Dilnoza Qodirova"/>
    <s v="Ayol"/>
    <d v="1984-02-06T00:00:00"/>
    <d v="2019-08-09T00:00:00"/>
    <x v="6"/>
    <s v="Mijozlar bilan ishlash mutaxassisi"/>
    <s v="Middle"/>
    <s v="Andijon"/>
    <n v="4490000"/>
    <n v="4"/>
    <x v="0"/>
    <n v="2"/>
    <x v="2"/>
    <s v="O'rta maxsus"/>
    <x v="0"/>
    <m/>
    <x v="0"/>
    <n v="42"/>
    <n v="7.1430527036276521"/>
    <s v="Shahlo Ismoilova"/>
    <n v="0"/>
    <x v="0"/>
  </r>
  <r>
    <s v="EMP-0154"/>
    <s v="Nodira Nazarova"/>
    <s v="Ayol"/>
    <d v="1994-12-22T00:00:00"/>
    <d v="2021-06-15T00:00:00"/>
    <x v="2"/>
    <s v="Savdo vakili"/>
    <s v="Junior"/>
    <s v="Toshkent"/>
    <n v="4470000"/>
    <n v="5"/>
    <x v="0"/>
    <n v="2"/>
    <x v="2"/>
    <s v="Bakalavr"/>
    <x v="0"/>
    <m/>
    <x v="0"/>
    <n v="31"/>
    <n v="5.292265571526352"/>
    <s v="Aziz Karimov"/>
    <n v="0"/>
    <x v="0"/>
  </r>
  <r>
    <s v="EMP-0431"/>
    <s v="Mohira Hasanova"/>
    <s v="Ayol"/>
    <d v="1986-01-15T00:00:00"/>
    <d v="2022-06-01T00:00:00"/>
    <x v="3"/>
    <s v="Kassir"/>
    <s v="Junior"/>
    <s v="Qarshi"/>
    <n v="4470000"/>
    <n v="3"/>
    <x v="1"/>
    <n v="0"/>
    <x v="0"/>
    <s v="Bakalavr"/>
    <x v="1"/>
    <d v="2025-06-25T00:00:00"/>
    <x v="7"/>
    <n v="40"/>
    <n v="3.0663928815879533"/>
    <s v="Madina Abdullayeva"/>
    <n v="1"/>
    <x v="0"/>
  </r>
  <r>
    <s v="EMP-0652"/>
    <s v="Akmal Karimov"/>
    <s v="Erkak"/>
    <d v="1990-09-09T00:00:00"/>
    <d v="2025-03-13T00:00:00"/>
    <x v="2"/>
    <s v="Savdo vakili"/>
    <s v="Junior"/>
    <s v="Samarqand"/>
    <n v="4470000"/>
    <n v="4"/>
    <x v="0"/>
    <n v="12"/>
    <x v="1"/>
    <s v="Bakalavr"/>
    <x v="0"/>
    <m/>
    <x v="0"/>
    <n v="36"/>
    <n v="1.5496235455167693"/>
    <s v="Aziz Karimov"/>
    <n v="0"/>
    <x v="1"/>
  </r>
  <r>
    <s v="EMP-0582"/>
    <s v="Malika Abdullayeva"/>
    <s v="Ayol"/>
    <d v="1989-09-15T00:00:00"/>
    <d v="2022-03-18T00:00:00"/>
    <x v="5"/>
    <s v="Logist"/>
    <s v="Junior"/>
    <s v="Farg'ona"/>
    <n v="4460000"/>
    <n v="3"/>
    <x v="3"/>
    <n v="31"/>
    <x v="2"/>
    <s v="Bakalavr"/>
    <x v="1"/>
    <d v="2026-01-02T00:00:00"/>
    <x v="6"/>
    <n v="37"/>
    <n v="3.7946611909650922"/>
    <s v="Sardor Nazarov"/>
    <n v="1"/>
    <x v="0"/>
  </r>
  <r>
    <s v="EMP-0021"/>
    <s v="Mohira Nazarova"/>
    <s v="Ayol"/>
    <d v="1991-12-06T00:00:00"/>
    <d v="2016-01-03T00:00:00"/>
    <x v="0"/>
    <s v="Dasturchi"/>
    <s v="Junior"/>
    <s v="Toshkent"/>
    <n v="4450000"/>
    <n v="3"/>
    <x v="0"/>
    <n v="13"/>
    <x v="0"/>
    <s v="O'rta maxsus"/>
    <x v="0"/>
    <m/>
    <x v="0"/>
    <n v="34"/>
    <n v="10.740588637919233"/>
    <s v="Jasur Yusupov"/>
    <n v="0"/>
    <x v="0"/>
  </r>
  <r>
    <s v="EMP-0441"/>
    <s v="Madina Abdullayeva"/>
    <s v="Ayol"/>
    <d v="1993-10-05T00:00:00"/>
    <d v="2015-09-23T00:00:00"/>
    <x v="5"/>
    <s v="Haydovchi-ekspeditor"/>
    <s v="Junior"/>
    <s v="Toshkent"/>
    <n v="4450000"/>
    <n v="3"/>
    <x v="3"/>
    <n v="18"/>
    <x v="0"/>
    <s v="Magistr"/>
    <x v="0"/>
    <m/>
    <x v="0"/>
    <n v="32"/>
    <n v="11.019849418206707"/>
    <s v="Sardor Nazarov"/>
    <n v="0"/>
    <x v="0"/>
  </r>
  <r>
    <s v="EMP-0096"/>
    <s v="Akmal Hasanov"/>
    <s v="Erkak"/>
    <d v="2001-11-09T00:00:00"/>
    <d v="2022-03-04T00:00:00"/>
    <x v="6"/>
    <s v="Call-markaz operatori"/>
    <s v="Middle"/>
    <s v="Samarqand"/>
    <n v="4440000"/>
    <n v="4"/>
    <x v="0"/>
    <n v="8"/>
    <x v="0"/>
    <s v="Magistr"/>
    <x v="0"/>
    <m/>
    <x v="0"/>
    <n v="24"/>
    <n v="4.5749486652977414"/>
    <s v="Shahlo Ismoilova"/>
    <n v="0"/>
    <x v="0"/>
  </r>
  <r>
    <s v="EMP-0470"/>
    <s v="Nigora Sobirova"/>
    <s v="Ayol"/>
    <d v="1985-10-26T00:00:00"/>
    <d v="2022-01-19T00:00:00"/>
    <x v="4"/>
    <s v="Rekruter"/>
    <s v="Junior"/>
    <s v="Samarqand"/>
    <n v="4440000"/>
    <n v="4"/>
    <x v="1"/>
    <n v="13"/>
    <x v="1"/>
    <s v="Bakalavr"/>
    <x v="0"/>
    <m/>
    <x v="0"/>
    <n v="40"/>
    <n v="4.6954140999315541"/>
    <s v="Nodira Tursunova"/>
    <n v="0"/>
    <x v="0"/>
  </r>
  <r>
    <s v="EMP-0465"/>
    <s v="Aziza Ismoilova"/>
    <s v="Ayol"/>
    <d v="2006-05-27T00:00:00"/>
    <d v="2026-06-12T00:00:00"/>
    <x v="4"/>
    <s v="Rekruter"/>
    <s v="Junior"/>
    <s v="Namangan"/>
    <n v="4430000"/>
    <n v="2"/>
    <x v="0"/>
    <n v="2"/>
    <x v="0"/>
    <s v="Bakalavr"/>
    <x v="0"/>
    <m/>
    <x v="0"/>
    <n v="20"/>
    <n v="0.30116358658453113"/>
    <s v="Nodira Tursunova"/>
    <n v="0"/>
    <x v="2"/>
  </r>
  <r>
    <s v="EMP-0466"/>
    <s v="Timur Yusupov"/>
    <s v="Erkak"/>
    <d v="1998-01-08T00:00:00"/>
    <d v="2019-12-09T00:00:00"/>
    <x v="2"/>
    <s v="Sotuv menejeri"/>
    <s v="Junior"/>
    <s v="Andijon"/>
    <n v="4420000"/>
    <n v="3"/>
    <x v="1"/>
    <n v="18"/>
    <x v="0"/>
    <s v="O'rta maxsus"/>
    <x v="0"/>
    <m/>
    <x v="0"/>
    <n v="28"/>
    <n v="6.8090349075975363"/>
    <s v="Aziz Karimov"/>
    <n v="0"/>
    <x v="0"/>
  </r>
  <r>
    <s v="EMP-0646"/>
    <s v="Islom Saidov"/>
    <s v="Erkak"/>
    <d v="1995-11-21T00:00:00"/>
    <d v="2025-12-17T00:00:00"/>
    <x v="2"/>
    <s v="Sotuv menejeri"/>
    <s v="Junior"/>
    <s v="Toshkent"/>
    <n v="4410000"/>
    <n v="5"/>
    <x v="0"/>
    <n v="31"/>
    <x v="1"/>
    <s v="O'rta maxsus"/>
    <x v="1"/>
    <d v="2026-09-07T00:00:00"/>
    <x v="3"/>
    <n v="30"/>
    <n v="0.7227926078028748"/>
    <s v="Aziz Karimov"/>
    <n v="1"/>
    <x v="2"/>
  </r>
  <r>
    <s v="EMP-0144"/>
    <s v="Bobur Ergashev"/>
    <s v="Erkak"/>
    <d v="2000-03-11T00:00:00"/>
    <d v="2022-05-27T00:00:00"/>
    <x v="0"/>
    <s v="QA muhandisi"/>
    <s v="Junior"/>
    <s v="Samarqand"/>
    <n v="4400000"/>
    <n v="1"/>
    <x v="2"/>
    <n v="35"/>
    <x v="2"/>
    <s v="O'rta maxsus"/>
    <x v="1"/>
    <d v="2025-12-06T00:00:00"/>
    <x v="2"/>
    <n v="26"/>
    <n v="3.5290896646132786"/>
    <s v="Jasur Yusupov"/>
    <n v="1"/>
    <x v="0"/>
  </r>
  <r>
    <s v="EMP-0193"/>
    <s v="Rustam Yusupov"/>
    <s v="Erkak"/>
    <d v="2005-04-19T00:00:00"/>
    <d v="2025-08-19T00:00:00"/>
    <x v="6"/>
    <s v="Call-markaz operatori"/>
    <s v="Middle"/>
    <s v="Toshkent"/>
    <n v="4400000"/>
    <n v="3"/>
    <x v="1"/>
    <n v="19"/>
    <x v="0"/>
    <s v="Bakalavr"/>
    <x v="1"/>
    <d v="2026-06-05T00:00:00"/>
    <x v="7"/>
    <n v="21"/>
    <n v="0.79397672826830934"/>
    <s v="Shahlo Ismoilova"/>
    <n v="1"/>
    <x v="2"/>
  </r>
  <r>
    <s v="EMP-0498"/>
    <s v="Doniyor Ergashev"/>
    <s v="Erkak"/>
    <d v="1994-12-22T00:00:00"/>
    <d v="2023-12-04T00:00:00"/>
    <x v="2"/>
    <s v="Savdo vakili"/>
    <s v="Junior"/>
    <s v="Buxoro"/>
    <n v="4390000"/>
    <n v="1"/>
    <x v="0"/>
    <n v="37"/>
    <x v="0"/>
    <s v="Magistr"/>
    <x v="0"/>
    <m/>
    <x v="0"/>
    <n v="31"/>
    <n v="2.8227241615331966"/>
    <s v="Aziz Karimov"/>
    <n v="0"/>
    <x v="1"/>
  </r>
  <r>
    <s v="EMP-0554"/>
    <s v="Sevara Normatova"/>
    <s v="Ayol"/>
    <d v="1990-10-22T00:00:00"/>
    <d v="2025-08-29T00:00:00"/>
    <x v="1"/>
    <s v="SMM mutaxassisi"/>
    <s v="Junior"/>
    <s v="Samarqand"/>
    <n v="4390000"/>
    <n v="3"/>
    <x v="2"/>
    <n v="22"/>
    <x v="1"/>
    <s v="Bakalavr"/>
    <x v="0"/>
    <m/>
    <x v="0"/>
    <n v="35"/>
    <n v="1.0869267624914443"/>
    <s v="Dilnoza Rahimova"/>
    <n v="0"/>
    <x v="1"/>
  </r>
  <r>
    <s v="EMP-0640"/>
    <s v="Nigora Tursunova"/>
    <s v="Ayol"/>
    <d v="1990-12-15T00:00:00"/>
    <d v="2022-05-07T00:00:00"/>
    <x v="4"/>
    <s v="HR menejer"/>
    <s v="Junior"/>
    <s v="Toshkent"/>
    <n v="4390000"/>
    <n v="3"/>
    <x v="3"/>
    <n v="8"/>
    <x v="2"/>
    <s v="O'rta maxsus"/>
    <x v="0"/>
    <m/>
    <x v="0"/>
    <n v="35"/>
    <n v="4.3997262149212863"/>
    <s v="Nodira Tursunova"/>
    <n v="0"/>
    <x v="0"/>
  </r>
  <r>
    <s v="EMP-0389"/>
    <s v="Ulugbek Saidov"/>
    <s v="Erkak"/>
    <d v="1990-09-20T00:00:00"/>
    <d v="2026-01-14T00:00:00"/>
    <x v="2"/>
    <s v="Hudud menejeri"/>
    <s v="Junior"/>
    <s v="Namangan"/>
    <n v="4370000"/>
    <n v="3"/>
    <x v="0"/>
    <n v="35"/>
    <x v="0"/>
    <s v="O'rta maxsus"/>
    <x v="0"/>
    <m/>
    <x v="0"/>
    <n v="36"/>
    <n v="0.70910335386721424"/>
    <s v="Aziz Karimov"/>
    <n v="0"/>
    <x v="2"/>
  </r>
  <r>
    <s v="EMP-0302"/>
    <s v="Shahlo Tursunova"/>
    <s v="Ayol"/>
    <d v="1997-01-13T00:00:00"/>
    <d v="2019-03-20T00:00:00"/>
    <x v="0"/>
    <s v="Tizim administratori"/>
    <s v="Junior"/>
    <s v="Buxoro"/>
    <n v="4360000"/>
    <n v="3"/>
    <x v="3"/>
    <n v="4"/>
    <x v="2"/>
    <s v="Bakalavr"/>
    <x v="0"/>
    <m/>
    <x v="0"/>
    <n v="29"/>
    <n v="7.5318275154004111"/>
    <s v="Jasur Yusupov"/>
    <n v="0"/>
    <x v="0"/>
  </r>
  <r>
    <s v="EMP-0310"/>
    <s v="Aziza Qodirova"/>
    <s v="Ayol"/>
    <d v="1994-03-21T00:00:00"/>
    <d v="2017-03-03T00:00:00"/>
    <x v="2"/>
    <s v="Sotuv menejeri"/>
    <s v="Junior"/>
    <s v="Toshkent"/>
    <n v="4350000"/>
    <n v="3"/>
    <x v="4"/>
    <n v="19"/>
    <x v="1"/>
    <s v="Bakalavr"/>
    <x v="0"/>
    <m/>
    <x v="0"/>
    <n v="32"/>
    <n v="9.5770020533880906"/>
    <s v="Aziz Karimov"/>
    <n v="0"/>
    <x v="0"/>
  </r>
  <r>
    <s v="EMP-0718"/>
    <s v="Doniyor Hasanov"/>
    <s v="Erkak"/>
    <d v="2002-08-21T00:00:00"/>
    <d v="2026-04-30T00:00:00"/>
    <x v="2"/>
    <s v="Savdo vakili"/>
    <s v="Junior"/>
    <s v="Buxoro"/>
    <n v="4350000"/>
    <n v="1"/>
    <x v="1"/>
    <n v="25"/>
    <x v="2"/>
    <s v="O'rta maxsus"/>
    <x v="1"/>
    <d v="2026-09-11T00:00:00"/>
    <x v="4"/>
    <n v="24"/>
    <n v="0.36687200547570159"/>
    <s v="Aziz Karimov"/>
    <n v="1"/>
    <x v="2"/>
  </r>
  <r>
    <s v="EMP-0463"/>
    <s v="Mohira Rahimova"/>
    <s v="Ayol"/>
    <d v="1989-06-04T00:00:00"/>
    <d v="2017-03-18T00:00:00"/>
    <x v="5"/>
    <s v="Logist"/>
    <s v="Junior"/>
    <s v="Toshkent"/>
    <n v="4330000"/>
    <n v="3"/>
    <x v="2"/>
    <n v="6"/>
    <x v="0"/>
    <s v="Magistr"/>
    <x v="0"/>
    <m/>
    <x v="0"/>
    <n v="37"/>
    <n v="9.5359342915811087"/>
    <s v="Sardor Nazarov"/>
    <n v="0"/>
    <x v="0"/>
  </r>
  <r>
    <s v="EMP-0710"/>
    <s v="Nigora Mirzayeva"/>
    <s v="Ayol"/>
    <d v="1993-08-26T00:00:00"/>
    <d v="2023-06-16T00:00:00"/>
    <x v="2"/>
    <s v="Savdo vakili"/>
    <s v="Junior"/>
    <s v="Toshkent"/>
    <n v="4320000"/>
    <n v="3"/>
    <x v="3"/>
    <n v="19"/>
    <x v="1"/>
    <m/>
    <x v="0"/>
    <m/>
    <x v="0"/>
    <n v="33"/>
    <n v="3.2908966461327855"/>
    <s v="Aziz Karimov"/>
    <n v="0"/>
    <x v="0"/>
  </r>
  <r>
    <s v="EMP-0027"/>
    <s v="Dilfuza Nazarova"/>
    <s v="Ayol"/>
    <d v="1995-05-24T00:00:00"/>
    <d v="2025-07-05T00:00:00"/>
    <x v="5"/>
    <s v="Logist"/>
    <s v="Junior"/>
    <s v="Samarqand"/>
    <n v="4310000"/>
    <n v="4"/>
    <x v="0"/>
    <n v="8"/>
    <x v="0"/>
    <s v="Bakalavr"/>
    <x v="0"/>
    <m/>
    <x v="0"/>
    <n v="31"/>
    <n v="1.2375085557837098"/>
    <s v="Sardor Nazarov"/>
    <n v="0"/>
    <x v="1"/>
  </r>
  <r>
    <s v="EMP-0409"/>
    <s v="Behruz Ismoilov"/>
    <s v="Erkak"/>
    <d v="1988-01-12T00:00:00"/>
    <d v="2024-06-25T00:00:00"/>
    <x v="2"/>
    <s v="Sotuv menejeri"/>
    <s v="Junior"/>
    <s v="Toshkent"/>
    <n v="4310000"/>
    <n v="2"/>
    <x v="2"/>
    <n v="14"/>
    <x v="0"/>
    <s v="Magistr"/>
    <x v="0"/>
    <m/>
    <x v="0"/>
    <n v="38"/>
    <n v="2.2642026009582477"/>
    <s v="Aziz Karimov"/>
    <n v="0"/>
    <x v="1"/>
  </r>
  <r>
    <s v="EMP-0564"/>
    <s v="Shaxzod Normatov"/>
    <s v="Erkak"/>
    <d v="2004-06-26T00:00:00"/>
    <d v="2026-08-28T00:00:00"/>
    <x v="2"/>
    <s v="Sotuv menejeri"/>
    <s v="Junior"/>
    <s v="Namangan"/>
    <n v="4310000"/>
    <n v="3"/>
    <x v="3"/>
    <n v="9"/>
    <x v="2"/>
    <s v="O'rta maxsus"/>
    <x v="0"/>
    <m/>
    <x v="0"/>
    <n v="22"/>
    <n v="9.034907597535935E-2"/>
    <s v="Aziz Karimov"/>
    <n v="0"/>
    <x v="2"/>
  </r>
  <r>
    <s v="EMP-0439"/>
    <s v="Jahongir Abdullayev"/>
    <s v="Erkak"/>
    <d v="1991-02-25T00:00:00"/>
    <d v="2024-07-20T00:00:00"/>
    <x v="0"/>
    <s v="QA muhandisi"/>
    <s v="Junior"/>
    <s v="Toshkent"/>
    <n v="4300000"/>
    <n v="3"/>
    <x v="3"/>
    <n v="13"/>
    <x v="0"/>
    <s v="Bakalavr"/>
    <x v="0"/>
    <m/>
    <x v="0"/>
    <n v="35"/>
    <n v="2.1957563312799451"/>
    <s v="Jasur Yusupov"/>
    <n v="0"/>
    <x v="1"/>
  </r>
  <r>
    <s v="EMP-0460"/>
    <s v="Gulnora Ergasheva"/>
    <s v="Ayol"/>
    <d v="2000-09-28T00:00:00"/>
    <d v="2022-06-29T00:00:00"/>
    <x v="1"/>
    <s v="Kontent menejer"/>
    <s v="Junior"/>
    <s v="Toshkent"/>
    <n v="4300000"/>
    <n v="3"/>
    <x v="0"/>
    <n v="16"/>
    <x v="0"/>
    <s v="Magistr"/>
    <x v="0"/>
    <m/>
    <x v="0"/>
    <n v="26"/>
    <n v="4.2546201232032859"/>
    <s v="Dilnoza Rahimova"/>
    <n v="0"/>
    <x v="0"/>
  </r>
  <r>
    <s v="EMP-0150"/>
    <s v="Sevara Hasanova"/>
    <s v="Ayol"/>
    <d v="1996-06-16T00:00:00"/>
    <d v="2021-10-28T00:00:00"/>
    <x v="5"/>
    <s v="Logist"/>
    <s v="Junior"/>
    <s v="Toshkent"/>
    <n v="4290000"/>
    <n v="1"/>
    <x v="1"/>
    <n v="34"/>
    <x v="2"/>
    <s v="Bakalavr"/>
    <x v="0"/>
    <m/>
    <x v="0"/>
    <n v="30"/>
    <n v="4.9226557152635184"/>
    <s v="Sardor Nazarov"/>
    <n v="0"/>
    <x v="0"/>
  </r>
  <r>
    <s v="EMP-0416"/>
    <s v="Aziz Saidov"/>
    <s v="Erkak"/>
    <d v="1990-06-14T00:00:00"/>
    <d v="2023-10-03T00:00:00"/>
    <x v="1"/>
    <s v="Marketolog"/>
    <s v="Junior"/>
    <s v="Toshkent"/>
    <n v="4290000"/>
    <m/>
    <x v="0"/>
    <n v="10"/>
    <x v="0"/>
    <s v="Magistr"/>
    <x v="0"/>
    <m/>
    <x v="0"/>
    <n v="36"/>
    <n v="2.9924709103353866"/>
    <s v="Dilnoza Rahimova"/>
    <n v="0"/>
    <x v="1"/>
  </r>
  <r>
    <s v="EMP-0163"/>
    <s v="Otabek Mirzayev"/>
    <s v="Erkak"/>
    <d v="1991-10-11T00:00:00"/>
    <d v="2023-01-12T00:00:00"/>
    <x v="5"/>
    <s v="Logist"/>
    <s v="Junior"/>
    <s v="Toshkent"/>
    <n v="4280000"/>
    <n v="4"/>
    <x v="2"/>
    <n v="16"/>
    <x v="0"/>
    <m/>
    <x v="0"/>
    <m/>
    <x v="0"/>
    <n v="34"/>
    <n v="3.7152635181382614"/>
    <s v="Sardor Nazarov"/>
    <n v="0"/>
    <x v="0"/>
  </r>
  <r>
    <s v="EMP-0281"/>
    <s v="Sardor Normatov"/>
    <s v="Erkak"/>
    <d v="1987-04-02T00:00:00"/>
    <d v="2017-10-22T00:00:00"/>
    <x v="5"/>
    <s v="Haydovchi-ekspeditor"/>
    <s v="Junior"/>
    <s v="Toshkent"/>
    <n v="4270000"/>
    <n v="4"/>
    <x v="0"/>
    <n v="11"/>
    <x v="0"/>
    <s v="Bakalavr"/>
    <x v="1"/>
    <d v="2025-05-08T00:00:00"/>
    <x v="1"/>
    <n v="39"/>
    <n v="7.5427789185489393"/>
    <s v="Sardor Nazarov"/>
    <n v="1"/>
    <x v="0"/>
  </r>
  <r>
    <s v="EMP-0771"/>
    <s v="Timur Rahimov"/>
    <s v="Erkak"/>
    <d v="1990-10-20T00:00:00"/>
    <d v="2026-08-25T00:00:00"/>
    <x v="5"/>
    <s v="Logist"/>
    <s v="Junior"/>
    <s v="Qarshi"/>
    <n v="4270000"/>
    <n v="1"/>
    <x v="1"/>
    <n v="22"/>
    <x v="1"/>
    <s v="Magistr"/>
    <x v="0"/>
    <m/>
    <x v="0"/>
    <n v="35"/>
    <n v="9.856262833675565E-2"/>
    <s v="Sardor Nazarov"/>
    <n v="0"/>
    <x v="2"/>
  </r>
  <r>
    <s v="EMP-0559"/>
    <s v="Nodira Umarova"/>
    <s v="Ayol"/>
    <d v="1990-03-06T00:00:00"/>
    <d v="2023-04-28T00:00:00"/>
    <x v="2"/>
    <s v="Sotuv menejeri"/>
    <s v="Junior"/>
    <s v="Toshkent"/>
    <n v="4240000"/>
    <n v="3"/>
    <x v="0"/>
    <n v="29"/>
    <x v="2"/>
    <s v="Magistr"/>
    <x v="0"/>
    <m/>
    <x v="0"/>
    <n v="36"/>
    <n v="3.4250513347022586"/>
    <s v="Aziz Karimov"/>
    <n v="0"/>
    <x v="0"/>
  </r>
  <r>
    <s v="EMP-0340"/>
    <s v="Otabek Saidov"/>
    <s v="Erkak"/>
    <d v="2001-09-01T00:00:00"/>
    <d v="2023-11-18T00:00:00"/>
    <x v="2"/>
    <s v="Hudud menejeri"/>
    <s v="Junior"/>
    <s v="Toshkent"/>
    <n v="4230000"/>
    <n v="3"/>
    <x v="3"/>
    <n v="10"/>
    <x v="0"/>
    <s v="Bakalavr"/>
    <x v="0"/>
    <m/>
    <x v="0"/>
    <n v="25"/>
    <n v="2.8665297741273101"/>
    <s v="Aziz Karimov"/>
    <n v="0"/>
    <x v="1"/>
  </r>
  <r>
    <s v="EMP-0672"/>
    <s v="Rustam Yusupov"/>
    <s v="Erkak"/>
    <d v="1997-04-08T00:00:00"/>
    <d v="2021-02-07T00:00:00"/>
    <x v="3"/>
    <s v="Kassir"/>
    <s v="Junior"/>
    <s v="Toshkent"/>
    <n v="4220000"/>
    <n v="3"/>
    <x v="0"/>
    <n v="0"/>
    <x v="0"/>
    <s v="O'rta maxsus"/>
    <x v="0"/>
    <m/>
    <x v="0"/>
    <n v="29"/>
    <n v="5.6427104722792611"/>
    <s v="Madina Abdullayeva"/>
    <n v="0"/>
    <x v="0"/>
  </r>
  <r>
    <s v="EMP-0061"/>
    <s v="Nodira Nazarova"/>
    <s v="Ayol"/>
    <d v="1989-08-05T00:00:00"/>
    <d v="2020-03-25T00:00:00"/>
    <x v="1"/>
    <s v="SMM mutaxassisi"/>
    <s v="Junior"/>
    <s v="Namangan"/>
    <n v="4210000"/>
    <n v="3"/>
    <x v="4"/>
    <n v="7"/>
    <x v="0"/>
    <s v="O'rta maxsus"/>
    <x v="1"/>
    <d v="2025-10-12T00:00:00"/>
    <x v="4"/>
    <n v="37"/>
    <n v="5.5496235455167691"/>
    <s v="Dilnoza Rahimova"/>
    <n v="1"/>
    <x v="0"/>
  </r>
  <r>
    <s v="EMP-0414"/>
    <s v="Feruza Qodirova"/>
    <s v="Ayol"/>
    <d v="1996-07-16T00:00:00"/>
    <d v="2018-12-31T00:00:00"/>
    <x v="2"/>
    <s v="Savdo vakili"/>
    <s v="Junior"/>
    <s v="Andijon"/>
    <n v="4200000"/>
    <n v="5"/>
    <x v="1"/>
    <n v="20"/>
    <x v="0"/>
    <s v="O'rta maxsus"/>
    <x v="0"/>
    <m/>
    <x v="0"/>
    <n v="30"/>
    <n v="7.7481177275838471"/>
    <s v="Aziz Karimov"/>
    <n v="0"/>
    <x v="0"/>
  </r>
  <r>
    <s v="EMP-0511"/>
    <s v="Ulugbek Umarov"/>
    <s v="Erkak"/>
    <d v="1991-10-04T00:00:00"/>
    <d v="2024-05-28T00:00:00"/>
    <x v="3"/>
    <s v="Moliyaviy tahlilchi"/>
    <s v="Junior"/>
    <s v="Toshkent"/>
    <n v="4200000"/>
    <n v="3"/>
    <x v="1"/>
    <n v="0"/>
    <x v="1"/>
    <s v="O'rta maxsus"/>
    <x v="0"/>
    <m/>
    <x v="0"/>
    <n v="34"/>
    <n v="2.3408624229979464"/>
    <s v="Madina Abdullayeva"/>
    <n v="0"/>
    <x v="1"/>
  </r>
  <r>
    <s v="EMP-0422"/>
    <s v="Nigora Rahimova"/>
    <s v="Ayol"/>
    <d v="2006-02-24T00:00:00"/>
    <d v="2026-07-27T00:00:00"/>
    <x v="5"/>
    <s v="Logist"/>
    <s v="Junior"/>
    <s v="Farg'ona"/>
    <n v="4190000"/>
    <n v="4"/>
    <x v="1"/>
    <n v="22"/>
    <x v="0"/>
    <s v="Bakalavr"/>
    <x v="1"/>
    <d v="2026-09-27T00:00:00"/>
    <x v="7"/>
    <n v="20"/>
    <n v="0.16974674880219029"/>
    <s v="Sardor Nazarov"/>
    <n v="1"/>
    <x v="2"/>
  </r>
  <r>
    <s v="EMP-0779"/>
    <s v="Sardor Rahimov"/>
    <s v="Erkak"/>
    <d v="1991-07-07T00:00:00"/>
    <d v="2023-01-20T00:00:00"/>
    <x v="1"/>
    <s v="Kontent menejer"/>
    <s v="Junior"/>
    <s v="Toshkent"/>
    <n v="4180000"/>
    <n v="3"/>
    <x v="2"/>
    <n v="0"/>
    <x v="2"/>
    <s v="Magistr"/>
    <x v="0"/>
    <m/>
    <x v="0"/>
    <n v="35"/>
    <n v="3.6933607118412048"/>
    <s v="Dilnoza Rahimova"/>
    <n v="0"/>
    <x v="0"/>
  </r>
  <r>
    <s v="EMP-0030"/>
    <s v="Sardor Mirzayev"/>
    <s v="Erkak"/>
    <d v="1990-12-23T00:00:00"/>
    <d v="2022-07-13T00:00:00"/>
    <x v="1"/>
    <s v="Kontent menejer"/>
    <s v="Junior"/>
    <s v="Andijon"/>
    <n v="4170000"/>
    <n v="5"/>
    <x v="1"/>
    <n v="18"/>
    <x v="0"/>
    <s v="Bakalavr"/>
    <x v="0"/>
    <m/>
    <x v="0"/>
    <n v="35"/>
    <n v="4.216290212183436"/>
    <s v="Dilnoza Rahimova"/>
    <n v="0"/>
    <x v="0"/>
  </r>
  <r>
    <s v="EMP-0053"/>
    <s v="Aziz Sobirov"/>
    <s v="Erkak"/>
    <d v="1998-03-20T00:00:00"/>
    <d v="2023-10-03T00:00:00"/>
    <x v="1"/>
    <s v="Marketolog"/>
    <s v="Junior"/>
    <s v="Samarqand"/>
    <n v="4170000"/>
    <n v="3"/>
    <x v="0"/>
    <n v="25"/>
    <x v="2"/>
    <s v="Bakalavr"/>
    <x v="0"/>
    <m/>
    <x v="0"/>
    <n v="28"/>
    <n v="2.9924709103353866"/>
    <s v="Dilnoza Rahimova"/>
    <n v="0"/>
    <x v="1"/>
  </r>
  <r>
    <s v="EMP-0522"/>
    <s v="Sherzod Ismoilov"/>
    <s v="Erkak"/>
    <d v="2002-05-07T00:00:00"/>
    <d v="2023-03-16T00:00:00"/>
    <x v="4"/>
    <s v="Rekruter"/>
    <s v="Junior"/>
    <s v="Toshkent"/>
    <n v="4160000"/>
    <n v="5"/>
    <x v="1"/>
    <n v="0"/>
    <x v="0"/>
    <s v="O'rta maxsus"/>
    <x v="1"/>
    <d v="2026-08-02T00:00:00"/>
    <x v="7"/>
    <n v="24"/>
    <n v="3.3812457221081451"/>
    <s v="Nodira Tursunova"/>
    <n v="1"/>
    <x v="0"/>
  </r>
  <r>
    <s v="EMP-0057"/>
    <s v="Jahongir Mirzayev"/>
    <s v="Erkak"/>
    <d v="2005-08-06T00:00:00"/>
    <d v="2026-04-24T00:00:00"/>
    <x v="3"/>
    <s v="Buxgalter"/>
    <s v="Junior"/>
    <s v="Toshkent"/>
    <n v="4140000"/>
    <n v="2"/>
    <x v="1"/>
    <n v="22"/>
    <x v="2"/>
    <s v="Bakalavr"/>
    <x v="0"/>
    <m/>
    <x v="0"/>
    <n v="21"/>
    <n v="0.43531827515400412"/>
    <s v="Madina Abdullayeva"/>
    <n v="0"/>
    <x v="2"/>
  </r>
  <r>
    <s v="EMP-0181"/>
    <s v="Zilola Tursunova"/>
    <s v="Ayol"/>
    <d v="1993-02-17T00:00:00"/>
    <d v="2021-12-17T00:00:00"/>
    <x v="5"/>
    <s v="Logist"/>
    <s v="Junior"/>
    <s v="Toshkent"/>
    <n v="4130000"/>
    <n v="4"/>
    <x v="3"/>
    <n v="30"/>
    <x v="2"/>
    <s v="Bakalavr"/>
    <x v="0"/>
    <m/>
    <x v="0"/>
    <n v="33"/>
    <n v="4.7857631759069132"/>
    <s v="Sardor Nazarov"/>
    <n v="0"/>
    <x v="0"/>
  </r>
  <r>
    <s v="EMP-0134"/>
    <s v="Dilnoza Tursunova"/>
    <s v="Ayol"/>
    <d v="1997-03-08T00:00:00"/>
    <d v="2023-10-07T00:00:00"/>
    <x v="5"/>
    <s v="Logist"/>
    <s v="Junior"/>
    <s v="Andijon"/>
    <n v="4120000"/>
    <n v="4"/>
    <x v="3"/>
    <n v="7"/>
    <x v="0"/>
    <s v="Bakalavr"/>
    <x v="0"/>
    <m/>
    <x v="0"/>
    <n v="29"/>
    <n v="2.9815195071868583"/>
    <s v="Sardor Nazarov"/>
    <n v="0"/>
    <x v="1"/>
  </r>
  <r>
    <s v="EMP-0108"/>
    <s v="Gulnora Ismoilova"/>
    <s v="Ayol"/>
    <d v="1993-10-27T00:00:00"/>
    <d v="2018-02-02T00:00:00"/>
    <x v="1"/>
    <s v="Marketolog"/>
    <s v="Junior"/>
    <s v="Farg'ona"/>
    <n v="4110000"/>
    <n v="3"/>
    <x v="1"/>
    <n v="14"/>
    <x v="0"/>
    <s v="Magistr"/>
    <x v="0"/>
    <m/>
    <x v="0"/>
    <n v="32"/>
    <n v="8.6570841889117052"/>
    <s v="Dilnoza Rahimova"/>
    <n v="0"/>
    <x v="0"/>
  </r>
  <r>
    <s v="EMP-0668"/>
    <s v="Aziza Umarova"/>
    <s v="Ayol"/>
    <d v="1989-04-05T00:00:00"/>
    <d v="2021-11-12T00:00:00"/>
    <x v="2"/>
    <s v="Sotuv menejeri"/>
    <s v="Junior"/>
    <s v="Namangan"/>
    <n v="4100000"/>
    <n v="4"/>
    <x v="2"/>
    <n v="20"/>
    <x v="0"/>
    <s v="Bakalavr"/>
    <x v="1"/>
    <d v="2026-03-29T00:00:00"/>
    <x v="4"/>
    <n v="37"/>
    <n v="4.3750855578370977"/>
    <s v="Aziz Karimov"/>
    <n v="1"/>
    <x v="0"/>
  </r>
  <r>
    <s v="EMP-0620"/>
    <s v="Nodira Tursunova"/>
    <s v="Ayol"/>
    <d v="1994-02-10T00:00:00"/>
    <d v="2025-01-29T00:00:00"/>
    <x v="5"/>
    <s v="Haydovchi-ekspeditor"/>
    <s v="Junior"/>
    <s v="Toshkent"/>
    <n v="4090000"/>
    <n v="3"/>
    <x v="4"/>
    <n v="4"/>
    <x v="0"/>
    <s v="Bakalavr"/>
    <x v="0"/>
    <m/>
    <x v="0"/>
    <n v="32"/>
    <n v="1.6673511293634498"/>
    <s v="Sardor Nazarov"/>
    <n v="0"/>
    <x v="1"/>
  </r>
  <r>
    <s v="EMP-0038"/>
    <s v="Nodira Hasanova"/>
    <s v="Ayol"/>
    <d v="2003-04-03T00:00:00"/>
    <d v="2025-11-15T00:00:00"/>
    <x v="1"/>
    <s v="Marketolog"/>
    <s v="Junior"/>
    <s v="Toshkent"/>
    <n v="4060000"/>
    <n v="3"/>
    <x v="0"/>
    <n v="11"/>
    <x v="1"/>
    <s v="Bakalavr"/>
    <x v="0"/>
    <m/>
    <x v="0"/>
    <n v="23"/>
    <n v="0.87337440109514031"/>
    <s v="Dilnoza Rahimova"/>
    <n v="0"/>
    <x v="2"/>
  </r>
  <r>
    <s v="EMP-0572"/>
    <s v="Zilola Karimova"/>
    <s v="Ayol"/>
    <d v="1985-07-20T00:00:00"/>
    <d v="2019-07-10T00:00:00"/>
    <x v="3"/>
    <s v="Buxgalter"/>
    <s v="Junior"/>
    <s v="Qarshi"/>
    <n v="4060000"/>
    <n v="4"/>
    <x v="3"/>
    <n v="3"/>
    <x v="0"/>
    <s v="Bakalavr"/>
    <x v="0"/>
    <m/>
    <x v="0"/>
    <n v="41"/>
    <n v="7.225188227241615"/>
    <s v="Madina Abdullayeva"/>
    <n v="0"/>
    <x v="0"/>
  </r>
  <r>
    <s v="EMP-0604"/>
    <s v="Zilola Saidova"/>
    <s v="Ayol"/>
    <d v="2006-10-14T00:00:00"/>
    <d v="2026-09-18T00:00:00"/>
    <x v="1"/>
    <s v="Kontent menejer"/>
    <s v="Junior"/>
    <s v="Samarqand"/>
    <n v="4050000"/>
    <n v="3"/>
    <x v="4"/>
    <n v="0"/>
    <x v="0"/>
    <s v="O'rta maxsus"/>
    <x v="0"/>
    <m/>
    <x v="0"/>
    <n v="19"/>
    <n v="3.2854209445585217E-2"/>
    <s v="Dilnoza Rahimova"/>
    <n v="0"/>
    <x v="2"/>
  </r>
  <r>
    <s v="EMP-0052"/>
    <s v="Rustam Umarov"/>
    <s v="Erkak"/>
    <d v="1986-03-15T00:00:00"/>
    <d v="2023-07-21T00:00:00"/>
    <x v="4"/>
    <s v="HR menejer"/>
    <s v="Junior"/>
    <s v="Toshkent"/>
    <n v="4030000"/>
    <n v="3"/>
    <x v="3"/>
    <n v="17"/>
    <x v="0"/>
    <s v="Bakalavr"/>
    <x v="0"/>
    <m/>
    <x v="0"/>
    <n v="40"/>
    <n v="3.1950718685831623"/>
    <s v="Nodira Tursunova"/>
    <n v="0"/>
    <x v="0"/>
  </r>
  <r>
    <s v="EMP-0474"/>
    <s v="Malika Normatova"/>
    <s v="Ayol"/>
    <d v="2006-04-03T00:00:00"/>
    <d v="2026-08-16T00:00:00"/>
    <x v="2"/>
    <s v="Savdo vakili"/>
    <s v="Junior"/>
    <s v="Toshkent"/>
    <n v="4030000"/>
    <n v="2"/>
    <x v="3"/>
    <n v="12"/>
    <x v="0"/>
    <s v="Magistr"/>
    <x v="0"/>
    <m/>
    <x v="0"/>
    <n v="20"/>
    <n v="0.12320328542094455"/>
    <s v="Aziz Karimov"/>
    <n v="0"/>
    <x v="2"/>
  </r>
  <r>
    <s v="EMP-0756"/>
    <s v="Dilnoza Mirzayeva"/>
    <s v="Ayol"/>
    <d v="1990-02-17T00:00:00"/>
    <d v="2024-10-26T00:00:00"/>
    <x v="5"/>
    <s v="Ombor mudiri"/>
    <s v="Junior"/>
    <s v="Buxoro"/>
    <n v="4030000"/>
    <n v="2"/>
    <x v="0"/>
    <n v="30"/>
    <x v="0"/>
    <s v="Bakalavr"/>
    <x v="0"/>
    <m/>
    <x v="0"/>
    <n v="36"/>
    <n v="1.9274469541409993"/>
    <s v="Sardor Nazarov"/>
    <n v="0"/>
    <x v="1"/>
  </r>
  <r>
    <s v="EMP-0208"/>
    <s v="Nodira Ergasheva"/>
    <s v="Ayol"/>
    <d v="2006-11-25T00:00:00"/>
    <d v="2026-09-25T00:00:00"/>
    <x v="1"/>
    <s v="Kontent menejer"/>
    <s v="Junior"/>
    <s v="Qarshi"/>
    <n v="4010000"/>
    <n v="2"/>
    <x v="2"/>
    <n v="0"/>
    <x v="2"/>
    <s v="Bakalavr"/>
    <x v="0"/>
    <m/>
    <x v="0"/>
    <n v="19"/>
    <n v="1.3689253935660506E-2"/>
    <s v="Dilnoza Rahimova"/>
    <n v="0"/>
    <x v="2"/>
  </r>
  <r>
    <s v="EMP-0373"/>
    <s v="Rustam Nazarov"/>
    <s v="Erkak"/>
    <d v="1989-02-17T00:00:00"/>
    <d v="2026-02-16T00:00:00"/>
    <x v="2"/>
    <s v="Savdo vakili"/>
    <s v="Junior"/>
    <s v="Farg'ona"/>
    <n v="4000000"/>
    <n v="3"/>
    <x v="3"/>
    <n v="18"/>
    <x v="0"/>
    <s v="Bakalavr"/>
    <x v="0"/>
    <m/>
    <x v="0"/>
    <n v="37"/>
    <n v="0.61875427789185489"/>
    <s v="Aziz Karimov"/>
    <n v="0"/>
    <x v="2"/>
  </r>
  <r>
    <s v="EMP-0432"/>
    <s v="Nigora Nazarova"/>
    <s v="Ayol"/>
    <d v="1996-01-21T00:00:00"/>
    <d v="2021-09-18T00:00:00"/>
    <x v="3"/>
    <s v="Moliyaviy tahlilchi"/>
    <s v="Junior"/>
    <s v="Namangan"/>
    <n v="4000000"/>
    <n v="4"/>
    <x v="3"/>
    <n v="15"/>
    <x v="2"/>
    <s v="O'rta maxsus"/>
    <x v="1"/>
    <d v="2025-05-16T00:00:00"/>
    <x v="2"/>
    <n v="30"/>
    <n v="3.6577686516084875"/>
    <s v="Madina Abdullayeva"/>
    <n v="1"/>
    <x v="0"/>
  </r>
  <r>
    <s v="EMP-0534"/>
    <s v="Akmal Normatov"/>
    <s v="Erkak"/>
    <d v="1985-08-26T00:00:00"/>
    <d v="2022-12-21T00:00:00"/>
    <x v="2"/>
    <s v="Savdo vakili"/>
    <s v="Junior"/>
    <s v="Toshkent"/>
    <n v="4000000"/>
    <n v="4"/>
    <x v="0"/>
    <n v="25"/>
    <x v="2"/>
    <s v="O'rta maxsus"/>
    <x v="0"/>
    <m/>
    <x v="0"/>
    <n v="41"/>
    <n v="3.7754962354551678"/>
    <s v="Aziz Karimov"/>
    <n v="0"/>
    <x v="0"/>
  </r>
  <r>
    <s v="EMP-0729"/>
    <s v="Dilshod Qodirov"/>
    <s v="Erkak"/>
    <d v="1992-03-27T00:00:00"/>
    <d v="2023-05-31T00:00:00"/>
    <x v="3"/>
    <s v="Kassir"/>
    <s v="Junior"/>
    <s v="Farg'ona"/>
    <n v="3990000"/>
    <n v="4"/>
    <x v="3"/>
    <n v="0"/>
    <x v="0"/>
    <s v="Bakalavr"/>
    <x v="0"/>
    <m/>
    <x v="0"/>
    <n v="34"/>
    <n v="3.3347022587268995"/>
    <s v="Madina Abdullayeva"/>
    <n v="0"/>
    <x v="0"/>
  </r>
  <r>
    <s v="EMP-0058"/>
    <s v="Ulugbek Rahimov"/>
    <s v="Erkak"/>
    <d v="1999-11-25T00:00:00"/>
    <d v="2022-10-30T00:00:00"/>
    <x v="1"/>
    <s v="SMM mutaxassisi"/>
    <s v="Junior"/>
    <s v="Toshkent"/>
    <n v="3970000"/>
    <n v="3"/>
    <x v="3"/>
    <n v="19"/>
    <x v="0"/>
    <s v="Bakalavr"/>
    <x v="1"/>
    <d v="2026-05-17T00:00:00"/>
    <x v="4"/>
    <n v="26"/>
    <n v="3.5455167693360714"/>
    <s v="Dilnoza Rahimova"/>
    <n v="1"/>
    <x v="0"/>
  </r>
  <r>
    <s v="EMP-0382"/>
    <s v="Otabek Karimov"/>
    <s v="Erkak"/>
    <d v="1989-04-04T00:00:00"/>
    <d v="2026-02-06T00:00:00"/>
    <x v="2"/>
    <s v="Sotuv menejeri"/>
    <s v="Junior"/>
    <s v="Andijon"/>
    <n v="3970000"/>
    <n v="5"/>
    <x v="0"/>
    <n v="18"/>
    <x v="2"/>
    <s v="O'rta maxsus"/>
    <x v="0"/>
    <m/>
    <x v="0"/>
    <n v="37"/>
    <n v="0.6461327857631759"/>
    <s v="Aziz Karimov"/>
    <n v="0"/>
    <x v="2"/>
  </r>
  <r>
    <s v="EMP-0794"/>
    <s v="Shaxzod Saidov"/>
    <s v="Erkak"/>
    <d v="1987-01-15T00:00:00"/>
    <d v="2024-08-10T00:00:00"/>
    <x v="2"/>
    <s v="Sotuv menejeri"/>
    <s v="Junior"/>
    <s v="Samarqand"/>
    <n v="3970000"/>
    <n v="5"/>
    <x v="2"/>
    <n v="31"/>
    <x v="2"/>
    <s v="O'rta maxsus"/>
    <x v="1"/>
    <d v="2025-10-04T00:00:00"/>
    <x v="6"/>
    <n v="39"/>
    <n v="1.1498973305954825"/>
    <s v="Aziz Karimov"/>
    <n v="1"/>
    <x v="1"/>
  </r>
  <r>
    <s v="EMP-0334"/>
    <s v="Bobur Saidov"/>
    <s v="Erkak"/>
    <d v="2001-08-13T00:00:00"/>
    <d v="2023-07-12T00:00:00"/>
    <x v="2"/>
    <s v="Sotuv menejeri"/>
    <s v="Junior"/>
    <s v="Toshkent"/>
    <n v="3960000"/>
    <m/>
    <x v="3"/>
    <n v="22"/>
    <x v="2"/>
    <s v="O'rta maxsus"/>
    <x v="0"/>
    <m/>
    <x v="0"/>
    <n v="25"/>
    <n v="3.2197125256673513"/>
    <s v="Aziz Karimov"/>
    <n v="0"/>
    <x v="0"/>
  </r>
  <r>
    <s v="EMP-0415"/>
    <s v="Nigora Qodirova"/>
    <s v="Ayol"/>
    <d v="2003-03-07T00:00:00"/>
    <d v="2024-11-19T00:00:00"/>
    <x v="2"/>
    <s v="Savdo vakili"/>
    <s v="Junior"/>
    <s v="Samarqand"/>
    <n v="3950000"/>
    <n v="4"/>
    <x v="0"/>
    <n v="27"/>
    <x v="0"/>
    <s v="Bakalavr"/>
    <x v="0"/>
    <m/>
    <x v="0"/>
    <n v="23"/>
    <n v="1.8617385352498288"/>
    <s v="Aziz Karimov"/>
    <n v="0"/>
    <x v="1"/>
  </r>
  <r>
    <s v="EMP-0602"/>
    <s v="Aziz Mirzayev"/>
    <s v="Erkak"/>
    <d v="1995-09-14T00:00:00"/>
    <d v="2016-07-28T00:00:00"/>
    <x v="2"/>
    <s v="Savdo vakili"/>
    <s v="Junior"/>
    <s v="Qarshi"/>
    <n v="3950000"/>
    <n v="3"/>
    <x v="3"/>
    <n v="13"/>
    <x v="2"/>
    <s v="Bakalavr"/>
    <x v="0"/>
    <m/>
    <x v="0"/>
    <n v="31"/>
    <n v="10.173853524982889"/>
    <s v="Aziz Karimov"/>
    <n v="0"/>
    <x v="0"/>
  </r>
  <r>
    <s v="EMP-0542"/>
    <s v="Islom Sobirov"/>
    <s v="Erkak"/>
    <d v="1995-09-25T00:00:00"/>
    <d v="2024-06-11T00:00:00"/>
    <x v="2"/>
    <s v="Hudud menejeri"/>
    <s v="Junior"/>
    <s v="Samarqand"/>
    <n v="3940000"/>
    <n v="4"/>
    <x v="3"/>
    <n v="16"/>
    <x v="1"/>
    <s v="Bakalavr"/>
    <x v="0"/>
    <m/>
    <x v="0"/>
    <n v="31"/>
    <n v="2.3025325119780971"/>
    <s v="Aziz Karimov"/>
    <n v="0"/>
    <x v="1"/>
  </r>
  <r>
    <s v="EMP-0357"/>
    <s v="Kamola Yusupova"/>
    <s v="Ayol"/>
    <d v="1988-05-26T00:00:00"/>
    <d v="2023-09-17T00:00:00"/>
    <x v="1"/>
    <s v="Kontent menejer"/>
    <s v="Junior"/>
    <s v="Toshkent"/>
    <n v="3930000"/>
    <n v="2"/>
    <x v="0"/>
    <n v="1"/>
    <x v="0"/>
    <s v="Bakalavr"/>
    <x v="0"/>
    <m/>
    <x v="0"/>
    <n v="38"/>
    <n v="3.0362765229295001"/>
    <s v="Dilnoza Rahimova"/>
    <n v="0"/>
    <x v="0"/>
  </r>
  <r>
    <s v="EMP-0433"/>
    <s v="Gulnora Yusupova"/>
    <s v="Ayol"/>
    <d v="1986-10-17T00:00:00"/>
    <d v="2016-08-02T00:00:00"/>
    <x v="6"/>
    <s v="Call-markaz operatori"/>
    <s v="Junior"/>
    <s v="Toshkent"/>
    <n v="3930000"/>
    <n v="3"/>
    <x v="0"/>
    <n v="10"/>
    <x v="1"/>
    <s v="Bakalavr"/>
    <x v="0"/>
    <m/>
    <x v="0"/>
    <n v="39"/>
    <n v="10.160164271047227"/>
    <s v="Shahlo Ismoilova"/>
    <n v="0"/>
    <x v="0"/>
  </r>
  <r>
    <s v="EMP-0506"/>
    <s v="Rustam Yusupov"/>
    <s v="Erkak"/>
    <d v="1999-02-01T00:00:00"/>
    <d v="2023-02-13T00:00:00"/>
    <x v="6"/>
    <s v="Call-markaz operatori"/>
    <s v="Junior"/>
    <s v="Toshkent"/>
    <n v="3920000"/>
    <n v="5"/>
    <x v="4"/>
    <n v="42"/>
    <x v="0"/>
    <s v="Bakalavr"/>
    <x v="0"/>
    <m/>
    <x v="0"/>
    <n v="27"/>
    <n v="3.6276522929500343"/>
    <s v="Shahlo Ismoilova"/>
    <n v="0"/>
    <x v="0"/>
  </r>
  <r>
    <s v="EMP-0301"/>
    <s v="Bobur Saidov"/>
    <s v="Erkak"/>
    <d v="1994-09-13T00:00:00"/>
    <d v="2020-03-08T00:00:00"/>
    <x v="2"/>
    <s v="Hudud menejeri"/>
    <s v="Junior"/>
    <s v="Buxoro"/>
    <n v="3910000"/>
    <n v="3"/>
    <x v="3"/>
    <n v="3"/>
    <x v="2"/>
    <s v="Magistr"/>
    <x v="1"/>
    <d v="2026-02-22T00:00:00"/>
    <x v="1"/>
    <n v="32"/>
    <n v="5.9603011635865846"/>
    <s v="Aziz Karimov"/>
    <n v="1"/>
    <x v="0"/>
  </r>
  <r>
    <s v="EMP-0618"/>
    <s v="Gulnora Saidova"/>
    <s v="Ayol"/>
    <d v="1992-12-11T00:00:00"/>
    <d v="2025-04-16T00:00:00"/>
    <x v="6"/>
    <s v="Call-markaz operatori"/>
    <s v="Junior"/>
    <s v="Toshkent"/>
    <n v="3900000"/>
    <n v="4"/>
    <x v="0"/>
    <n v="9"/>
    <x v="1"/>
    <s v="O'rta maxsus"/>
    <x v="0"/>
    <m/>
    <x v="0"/>
    <n v="33"/>
    <n v="1.4565366187542779"/>
    <s v="Shahlo Ismoilova"/>
    <n v="0"/>
    <x v="1"/>
  </r>
  <r>
    <s v="EMP-0795"/>
    <s v="Bobur Abdullayev"/>
    <s v="Erkak"/>
    <d v="1996-02-19T00:00:00"/>
    <d v="2022-04-16T00:00:00"/>
    <x v="6"/>
    <s v="Call-markaz operatori"/>
    <s v="Junior"/>
    <s v="Toshkent"/>
    <n v="3900000"/>
    <n v="4"/>
    <x v="3"/>
    <n v="18"/>
    <x v="0"/>
    <s v="Bakalavr"/>
    <x v="0"/>
    <m/>
    <x v="0"/>
    <n v="30"/>
    <n v="4.4572210814510607"/>
    <s v="Shahlo Ismoilova"/>
    <n v="0"/>
    <x v="0"/>
  </r>
  <r>
    <s v="EMP-0119"/>
    <s v="Madina Tursunova"/>
    <s v="Ayol"/>
    <d v="1996-01-20T00:00:00"/>
    <d v="2023-10-13T00:00:00"/>
    <x v="6"/>
    <s v="Mijozlar bilan ishlash mutaxassisi"/>
    <s v="Junior"/>
    <s v="Toshkent"/>
    <n v="3890000"/>
    <n v="3"/>
    <x v="3"/>
    <n v="20"/>
    <x v="1"/>
    <s v="Bakalavr"/>
    <x v="0"/>
    <m/>
    <x v="0"/>
    <n v="30"/>
    <n v="2.9650924024640659"/>
    <s v="Shahlo Ismoilova"/>
    <n v="0"/>
    <x v="1"/>
  </r>
  <r>
    <s v="EMP-0322"/>
    <s v="Rustam Qodirov"/>
    <s v="Erkak"/>
    <d v="2006-09-01T00:00:00"/>
    <d v="2026-08-27T00:00:00"/>
    <x v="6"/>
    <s v="Mijozlar bilan ishlash mutaxassisi"/>
    <s v="Junior"/>
    <s v="Toshkent"/>
    <n v="3880000"/>
    <n v="4"/>
    <x v="0"/>
    <n v="2"/>
    <x v="0"/>
    <s v="Bakalavr"/>
    <x v="0"/>
    <m/>
    <x v="0"/>
    <n v="20"/>
    <n v="9.3086926762491445E-2"/>
    <s v="Shahlo Ismoilova"/>
    <n v="0"/>
    <x v="2"/>
  </r>
  <r>
    <s v="EMP-0555"/>
    <s v="Gulnora Qodirova"/>
    <s v="Ayol"/>
    <d v="2001-07-25T00:00:00"/>
    <d v="2023-10-29T00:00:00"/>
    <x v="1"/>
    <s v="SMM mutaxassisi"/>
    <s v="Junior"/>
    <s v="Andijon"/>
    <n v="3880000"/>
    <n v="5"/>
    <x v="3"/>
    <n v="12"/>
    <x v="0"/>
    <s v="Bakalavr"/>
    <x v="0"/>
    <m/>
    <x v="0"/>
    <n v="25"/>
    <n v="2.9212867898699519"/>
    <s v="Dilnoza Rahimova"/>
    <n v="0"/>
    <x v="1"/>
  </r>
  <r>
    <s v="EMP-0186"/>
    <s v="Kamola Sobirova"/>
    <s v="Ayol"/>
    <d v="1996-07-22T00:00:00"/>
    <d v="2022-03-17T00:00:00"/>
    <x v="2"/>
    <s v="Savdo vakili"/>
    <s v="Junior"/>
    <s v="Toshkent"/>
    <n v="3870000"/>
    <n v="3"/>
    <x v="3"/>
    <n v="23"/>
    <x v="0"/>
    <s v="Bakalavr"/>
    <x v="0"/>
    <m/>
    <x v="0"/>
    <n v="30"/>
    <n v="4.5393566050650236"/>
    <s v="Aziz Karimov"/>
    <n v="0"/>
    <x v="0"/>
  </r>
  <r>
    <s v="EMP-0637"/>
    <s v="Mohira Abdullayeva"/>
    <s v="Ayol"/>
    <d v="1992-02-03T00:00:00"/>
    <d v="2018-11-18T00:00:00"/>
    <x v="6"/>
    <s v="Mijozlar bilan ishlash mutaxassisi"/>
    <s v="Junior"/>
    <s v="Toshkent"/>
    <n v="3860000"/>
    <n v="4"/>
    <x v="3"/>
    <n v="35"/>
    <x v="2"/>
    <s v="Bakalavr"/>
    <x v="1"/>
    <d v="2026-03-01T00:00:00"/>
    <x v="7"/>
    <n v="34"/>
    <n v="7.2826830937713893"/>
    <s v="Shahlo Ismoilova"/>
    <n v="1"/>
    <x v="0"/>
  </r>
  <r>
    <s v="EMP-0137"/>
    <s v="Shahlo Rahimova"/>
    <s v="Ayol"/>
    <d v="1994-05-05T00:00:00"/>
    <d v="2021-10-06T00:00:00"/>
    <x v="6"/>
    <s v="Mijozlar bilan ishlash mutaxassisi"/>
    <s v="Junior"/>
    <s v="Toshkent"/>
    <n v="3850000"/>
    <n v="4"/>
    <x v="2"/>
    <n v="9"/>
    <x v="1"/>
    <s v="Bakalavr"/>
    <x v="0"/>
    <m/>
    <x v="0"/>
    <n v="32"/>
    <n v="4.9828884325804248"/>
    <s v="Shahlo Ismoilova"/>
    <n v="0"/>
    <x v="0"/>
  </r>
  <r>
    <s v="EMP-0362"/>
    <s v="Malika Umarova"/>
    <s v="Ayol"/>
    <d v="1985-10-16T00:00:00"/>
    <d v="2026-02-06T00:00:00"/>
    <x v="5"/>
    <s v="Haydovchi-ekspeditor"/>
    <s v="Junior"/>
    <s v="Toshkent"/>
    <n v="3850000"/>
    <n v="5"/>
    <x v="3"/>
    <n v="0"/>
    <x v="0"/>
    <s v="Magistr"/>
    <x v="0"/>
    <m/>
    <x v="0"/>
    <n v="40"/>
    <n v="0.6461327857631759"/>
    <s v="Sardor Nazarov"/>
    <n v="0"/>
    <x v="2"/>
  </r>
  <r>
    <s v="EMP-0599"/>
    <s v="Madina Umarova"/>
    <s v="Ayol"/>
    <d v="1992-10-22T00:00:00"/>
    <d v="2026-05-07T00:00:00"/>
    <x v="6"/>
    <s v="Mijozlar bilan ishlash mutaxassisi"/>
    <s v="Junior"/>
    <s v="Farg'ona"/>
    <n v="3850000"/>
    <n v="3"/>
    <x v="0"/>
    <n v="13"/>
    <x v="1"/>
    <s v="Bakalavr"/>
    <x v="0"/>
    <m/>
    <x v="0"/>
    <n v="33"/>
    <n v="0.39972621492128679"/>
    <s v="Shahlo Ismoilova"/>
    <n v="0"/>
    <x v="2"/>
  </r>
  <r>
    <s v="EMP-0251"/>
    <s v="Dilfuza Nazarova"/>
    <s v="Ayol"/>
    <d v="1990-04-09T00:00:00"/>
    <d v="2021-10-16T00:00:00"/>
    <x v="2"/>
    <s v="Hudud menejeri"/>
    <s v="Junior"/>
    <s v="Andijon"/>
    <n v="3840000"/>
    <n v="2"/>
    <x v="0"/>
    <n v="22"/>
    <x v="2"/>
    <s v="Bakalavr"/>
    <x v="0"/>
    <m/>
    <x v="0"/>
    <n v="36"/>
    <n v="4.9555099247091032"/>
    <s v="Aziz Karimov"/>
    <n v="0"/>
    <x v="0"/>
  </r>
  <r>
    <s v="EMP-0444"/>
    <s v="Kamola Rahimova"/>
    <s v="Ayol"/>
    <d v="1995-09-01T00:00:00"/>
    <d v="2025-05-18T00:00:00"/>
    <x v="3"/>
    <s v="Buxgalter"/>
    <s v="Junior"/>
    <s v="Toshkent"/>
    <n v="3830000"/>
    <n v="3"/>
    <x v="1"/>
    <n v="19"/>
    <x v="0"/>
    <s v="Bakalavr"/>
    <x v="0"/>
    <m/>
    <x v="0"/>
    <n v="31"/>
    <n v="1.3689253935660506"/>
    <s v="Madina Abdullayeva"/>
    <n v="0"/>
    <x v="1"/>
  </r>
  <r>
    <s v="EMP-0713"/>
    <s v="Behruz Saidov"/>
    <s v="Erkak"/>
    <d v="2001-09-13T00:00:00"/>
    <d v="2025-01-19T00:00:00"/>
    <x v="5"/>
    <s v="Haydovchi-ekspeditor"/>
    <s v="Junior"/>
    <s v="Namangan"/>
    <n v="3830000"/>
    <n v="5"/>
    <x v="0"/>
    <n v="33"/>
    <x v="2"/>
    <s v="Bakalavr"/>
    <x v="1"/>
    <d v="2026-08-31T00:00:00"/>
    <x v="7"/>
    <n v="25"/>
    <n v="1.6125941136208077"/>
    <s v="Sardor Nazarov"/>
    <n v="1"/>
    <x v="1"/>
  </r>
  <r>
    <s v="EMP-0372"/>
    <s v="Malika Normatova"/>
    <s v="Ayol"/>
    <d v="1994-09-11T00:00:00"/>
    <d v="2020-12-30T00:00:00"/>
    <x v="1"/>
    <s v="Kontent menejer"/>
    <s v="Junior"/>
    <s v="Samarqand"/>
    <n v="3820000"/>
    <n v="3"/>
    <x v="3"/>
    <n v="0"/>
    <x v="1"/>
    <s v="Magistr"/>
    <x v="1"/>
    <d v="2025-11-13T00:00:00"/>
    <x v="1"/>
    <n v="32"/>
    <n v="4.8706365503080082"/>
    <s v="Dilnoza Rahimova"/>
    <n v="1"/>
    <x v="0"/>
  </r>
  <r>
    <s v="EMP-0043"/>
    <s v="Akmal Normatov"/>
    <s v="Erkak"/>
    <d v="1991-04-09T00:00:00"/>
    <d v="2023-10-14T00:00:00"/>
    <x v="5"/>
    <s v="Ombor mudiri"/>
    <s v="Junior"/>
    <s v="Namangan"/>
    <n v="3800000"/>
    <n v="5"/>
    <x v="3"/>
    <n v="15"/>
    <x v="0"/>
    <s v="O'rta maxsus"/>
    <x v="0"/>
    <m/>
    <x v="0"/>
    <n v="35"/>
    <n v="2.9623545516769334"/>
    <s v="Sardor Nazarov"/>
    <n v="0"/>
    <x v="1"/>
  </r>
  <r>
    <s v="EMP-0329"/>
    <s v="Rustam Abdullayev"/>
    <s v="Erkak"/>
    <d v="1992-02-09T00:00:00"/>
    <d v="2026-01-29T00:00:00"/>
    <x v="3"/>
    <s v="Moliyaviy tahlilchi"/>
    <s v="Junior"/>
    <s v="Farg'ona"/>
    <n v="3790000"/>
    <n v="3"/>
    <x v="2"/>
    <n v="19"/>
    <x v="0"/>
    <m/>
    <x v="0"/>
    <m/>
    <x v="0"/>
    <n v="34"/>
    <n v="0.66803559206023266"/>
    <s v="Madina Abdullayeva"/>
    <n v="0"/>
    <x v="2"/>
  </r>
  <r>
    <s v="EMP-0121"/>
    <s v="Dilnoza Umarova"/>
    <s v="Ayol"/>
    <d v="2002-04-11T00:00:00"/>
    <d v="2026-05-02T00:00:00"/>
    <x v="3"/>
    <s v="Moliyaviy tahlilchi"/>
    <s v="Junior"/>
    <s v="Toshkent"/>
    <n v="3780000"/>
    <n v="2"/>
    <x v="4"/>
    <n v="27"/>
    <x v="2"/>
    <s v="Bakalavr"/>
    <x v="0"/>
    <m/>
    <x v="0"/>
    <n v="24"/>
    <n v="0.4134154688569473"/>
    <s v="Madina Abdullayeva"/>
    <n v="0"/>
    <x v="2"/>
  </r>
  <r>
    <s v="EMP-0276"/>
    <s v="Feruza Tursunova"/>
    <s v="Ayol"/>
    <d v="1998-10-17T00:00:00"/>
    <d v="2022-12-28T00:00:00"/>
    <x v="2"/>
    <s v="Sotuv menejeri"/>
    <s v="Junior"/>
    <s v="Farg'ona"/>
    <n v="3770000"/>
    <n v="2"/>
    <x v="1"/>
    <n v="19"/>
    <x v="0"/>
    <s v="Bakalavr"/>
    <x v="0"/>
    <m/>
    <x v="0"/>
    <n v="27"/>
    <n v="3.7563312799452429"/>
    <s v="Aziz Karimov"/>
    <n v="0"/>
    <x v="0"/>
  </r>
  <r>
    <s v="EMP-0392"/>
    <s v="Nodira Rahimova"/>
    <s v="Ayol"/>
    <d v="1991-02-27T00:00:00"/>
    <d v="2020-01-22T00:00:00"/>
    <x v="1"/>
    <s v="SMM mutaxassisi"/>
    <s v="Junior"/>
    <s v="Andijon"/>
    <n v="3760000"/>
    <n v="3"/>
    <x v="3"/>
    <n v="10"/>
    <x v="2"/>
    <s v="Magistr"/>
    <x v="0"/>
    <m/>
    <x v="0"/>
    <n v="35"/>
    <n v="6.6885694729637235"/>
    <s v="Dilnoza Rahimova"/>
    <n v="0"/>
    <x v="0"/>
  </r>
  <r>
    <s v="EMP-0664"/>
    <s v="Bobur Ismoilov"/>
    <s v="Erkak"/>
    <d v="1995-10-05T00:00:00"/>
    <d v="2020-12-26T00:00:00"/>
    <x v="3"/>
    <s v="Buxgalter"/>
    <s v="Junior"/>
    <s v="Toshkent"/>
    <n v="3760000"/>
    <n v="5"/>
    <x v="0"/>
    <n v="16"/>
    <x v="0"/>
    <s v="Bakalavr"/>
    <x v="0"/>
    <m/>
    <x v="0"/>
    <n v="30"/>
    <n v="5.760438056125941"/>
    <s v="Madina Abdullayeva"/>
    <n v="0"/>
    <x v="0"/>
  </r>
  <r>
    <s v="EMP-0754"/>
    <s v="Kamola Umarova"/>
    <s v="Ayol"/>
    <d v="1993-03-01T00:00:00"/>
    <d v="2023-03-10T00:00:00"/>
    <x v="1"/>
    <s v="Kontent menejer"/>
    <s v="Junior"/>
    <s v="Farg'ona"/>
    <n v="3760000"/>
    <n v="3"/>
    <x v="0"/>
    <n v="0"/>
    <x v="2"/>
    <s v="Bakalavr"/>
    <x v="0"/>
    <m/>
    <x v="0"/>
    <n v="33"/>
    <n v="3.5592060232717317"/>
    <s v="Dilnoza Rahimova"/>
    <n v="0"/>
    <x v="0"/>
  </r>
  <r>
    <s v="EMP-0268"/>
    <s v="Malika Normatova"/>
    <s v="Ayol"/>
    <d v="2000-11-21T00:00:00"/>
    <d v="2023-12-07T00:00:00"/>
    <x v="6"/>
    <s v="Mijozlar bilan ishlash mutaxassisi"/>
    <s v="Junior"/>
    <s v="Namangan"/>
    <n v="3740000"/>
    <n v="4"/>
    <x v="3"/>
    <n v="14"/>
    <x v="2"/>
    <s v="O'rta maxsus"/>
    <x v="0"/>
    <m/>
    <x v="0"/>
    <n v="25"/>
    <n v="2.8145106091718"/>
    <s v="Shahlo Ismoilova"/>
    <n v="0"/>
    <x v="1"/>
  </r>
  <r>
    <s v="EMP-0101"/>
    <s v="Aziza Saidova"/>
    <s v="Ayol"/>
    <d v="1997-04-07T00:00:00"/>
    <d v="2024-11-09T00:00:00"/>
    <x v="2"/>
    <s v="Sotuv menejeri"/>
    <s v="Junior"/>
    <s v="Namangan"/>
    <n v="3730000"/>
    <n v="4"/>
    <x v="3"/>
    <n v="30"/>
    <x v="1"/>
    <s v="Bakalavr"/>
    <x v="0"/>
    <m/>
    <x v="0"/>
    <n v="29"/>
    <n v="1.8891170431211499"/>
    <s v="Aziz Karimov"/>
    <n v="0"/>
    <x v="1"/>
  </r>
  <r>
    <s v="EMP-0563"/>
    <s v="Feruza Saidova"/>
    <s v="Ayol"/>
    <d v="1996-05-24T00:00:00"/>
    <d v="2021-11-06T00:00:00"/>
    <x v="5"/>
    <s v="Logist"/>
    <s v="Junior"/>
    <s v="Namangan"/>
    <n v="3730000"/>
    <n v="3"/>
    <x v="3"/>
    <n v="8"/>
    <x v="0"/>
    <s v="O'rta maxsus"/>
    <x v="1"/>
    <d v="2025-06-09T00:00:00"/>
    <x v="1"/>
    <n v="30"/>
    <n v="3.5893223819301849"/>
    <s v="Sardor Nazarov"/>
    <n v="1"/>
    <x v="0"/>
  </r>
  <r>
    <s v="EMP-0031"/>
    <s v="Feruza Normatova"/>
    <s v="Ayol"/>
    <d v="1983-04-10T00:00:00"/>
    <d v="2022-04-23T00:00:00"/>
    <x v="6"/>
    <s v="Mijozlar bilan ishlash mutaxassisi"/>
    <s v="Junior"/>
    <s v="Namangan"/>
    <n v="3710000"/>
    <n v="5"/>
    <x v="3"/>
    <n v="30"/>
    <x v="0"/>
    <s v="O'rta maxsus"/>
    <x v="0"/>
    <m/>
    <x v="0"/>
    <n v="43"/>
    <n v="4.4380561259411362"/>
    <s v="Shahlo Ismoilova"/>
    <n v="0"/>
    <x v="0"/>
  </r>
  <r>
    <s v="EMP-0593"/>
    <s v="Islom Sobirov"/>
    <s v="Erkak"/>
    <d v="2000-08-19T00:00:00"/>
    <d v="2025-07-15T00:00:00"/>
    <x v="5"/>
    <s v="Haydovchi-ekspeditor"/>
    <s v="Junior"/>
    <s v="Qarshi"/>
    <n v="3710000"/>
    <n v="3"/>
    <x v="1"/>
    <n v="33"/>
    <x v="1"/>
    <s v="Magistr"/>
    <x v="1"/>
    <d v="2026-07-09T00:00:00"/>
    <x v="3"/>
    <n v="26"/>
    <n v="0.98288843258042435"/>
    <s v="Sardor Nazarov"/>
    <n v="1"/>
    <x v="2"/>
  </r>
  <r>
    <s v="EMP-0643"/>
    <s v="Sevara Ergasheva"/>
    <s v="Ayol"/>
    <d v="1987-02-03T00:00:00"/>
    <d v="2021-11-05T00:00:00"/>
    <x v="2"/>
    <s v="Sotuv menejeri"/>
    <s v="Junior"/>
    <s v="Farg'ona"/>
    <n v="3710000"/>
    <n v="4"/>
    <x v="2"/>
    <n v="25"/>
    <x v="0"/>
    <s v="Bakalavr"/>
    <x v="0"/>
    <m/>
    <x v="0"/>
    <n v="39"/>
    <n v="4.900752908966461"/>
    <s v="Aziz Karimov"/>
    <n v="0"/>
    <x v="0"/>
  </r>
  <r>
    <s v="EMP-0294"/>
    <s v="Behruz Abdullayev"/>
    <s v="Erkak"/>
    <d v="1998-12-08T00:00:00"/>
    <d v="2019-05-28T00:00:00"/>
    <x v="5"/>
    <s v="Haydovchi-ekspeditor"/>
    <s v="Junior"/>
    <s v="Toshkent"/>
    <n v="3700000"/>
    <n v="3"/>
    <x v="3"/>
    <n v="7"/>
    <x v="2"/>
    <s v="Bakalavr"/>
    <x v="0"/>
    <m/>
    <x v="0"/>
    <n v="27"/>
    <n v="7.3429158110882957"/>
    <s v="Sardor Nazarov"/>
    <n v="0"/>
    <x v="0"/>
  </r>
  <r>
    <s v="EMP-0291"/>
    <s v="Akmal Normatov"/>
    <s v="Erkak"/>
    <d v="1987-10-28T00:00:00"/>
    <d v="2026-01-18T00:00:00"/>
    <x v="6"/>
    <s v="Call-markaz operatori"/>
    <s v="Junior"/>
    <s v="Samarqand"/>
    <n v="3690000"/>
    <n v="4"/>
    <x v="0"/>
    <n v="18"/>
    <x v="2"/>
    <s v="O'rta maxsus"/>
    <x v="0"/>
    <m/>
    <x v="0"/>
    <n v="38"/>
    <n v="0.69815195071868585"/>
    <s v="Shahlo Ismoilova"/>
    <n v="0"/>
    <x v="2"/>
  </r>
  <r>
    <s v="EMP-0737"/>
    <s v="Nigora Nazarova"/>
    <s v="Ayol"/>
    <d v="1996-09-18T00:00:00"/>
    <d v="2025-02-05T00:00:00"/>
    <x v="2"/>
    <s v="Hudud menejeri"/>
    <s v="Junior"/>
    <s v="Toshkent"/>
    <n v="3690000"/>
    <n v="3"/>
    <x v="3"/>
    <n v="14"/>
    <x v="0"/>
    <s v="Bakalavr"/>
    <x v="0"/>
    <m/>
    <x v="0"/>
    <n v="30"/>
    <n v="1.6481861738535251"/>
    <s v="Aziz Karimov"/>
    <n v="0"/>
    <x v="1"/>
  </r>
  <r>
    <s v="EMP-0240"/>
    <s v="Islom Qodirov"/>
    <s v="Erkak"/>
    <d v="1997-09-23T00:00:00"/>
    <d v="2023-06-22T00:00:00"/>
    <x v="3"/>
    <s v="Moliyaviy tahlilchi"/>
    <s v="Junior"/>
    <s v="Toshkent"/>
    <n v="3680000"/>
    <n v="3"/>
    <x v="3"/>
    <n v="12"/>
    <x v="0"/>
    <s v="Bakalavr"/>
    <x v="1"/>
    <d v="2026-01-05T00:00:00"/>
    <x v="7"/>
    <n v="29"/>
    <n v="2.5407255304585901"/>
    <s v="Madina Abdullayeva"/>
    <n v="1"/>
    <x v="1"/>
  </r>
  <r>
    <s v="EMP-0263"/>
    <s v="Dilfuza Qodirova"/>
    <s v="Ayol"/>
    <d v="1997-03-24T00:00:00"/>
    <d v="2025-07-24T00:00:00"/>
    <x v="2"/>
    <s v="Savdo vakili"/>
    <s v="Junior"/>
    <s v="Qarshi"/>
    <n v="3680000"/>
    <n v="3"/>
    <x v="3"/>
    <n v="23"/>
    <x v="2"/>
    <s v="Bakalavr"/>
    <x v="0"/>
    <m/>
    <x v="0"/>
    <n v="29"/>
    <n v="1.1854893908281998"/>
    <s v="Aziz Karimov"/>
    <n v="0"/>
    <x v="1"/>
  </r>
  <r>
    <s v="EMP-0335"/>
    <s v="Malika Sobirova"/>
    <s v="Ayol"/>
    <d v="1990-07-25T00:00:00"/>
    <d v="2022-11-14T00:00:00"/>
    <x v="4"/>
    <s v="Rekruter"/>
    <s v="Junior"/>
    <s v="Toshkent"/>
    <n v="3660000"/>
    <n v="5"/>
    <x v="2"/>
    <n v="9"/>
    <x v="0"/>
    <s v="O'rta maxsus"/>
    <x v="0"/>
    <m/>
    <x v="0"/>
    <n v="36"/>
    <n v="3.8767967145790556"/>
    <s v="Nodira Tursunova"/>
    <n v="0"/>
    <x v="0"/>
  </r>
  <r>
    <s v="EMP-0216"/>
    <s v="Behruz Hasanov"/>
    <s v="Erkak"/>
    <d v="2006-02-12T00:00:00"/>
    <d v="2026-08-10T00:00:00"/>
    <x v="2"/>
    <s v="Hudud menejeri"/>
    <s v="Junior"/>
    <s v="Qarshi"/>
    <n v="3650000"/>
    <n v="1"/>
    <x v="0"/>
    <n v="5"/>
    <x v="0"/>
    <s v="Bakalavr"/>
    <x v="0"/>
    <m/>
    <x v="0"/>
    <n v="20"/>
    <n v="0.13963039014373715"/>
    <s v="Aziz Karimov"/>
    <n v="0"/>
    <x v="2"/>
  </r>
  <r>
    <s v="EMP-0387"/>
    <s v="Shaxzod Ergashev"/>
    <s v="Erkak"/>
    <d v="1991-08-22T00:00:00"/>
    <d v="2023-06-27T00:00:00"/>
    <x v="4"/>
    <s v="HR menejer"/>
    <s v="Junior"/>
    <s v="Toshkent"/>
    <n v="3650000"/>
    <n v="3"/>
    <x v="2"/>
    <n v="27"/>
    <x v="2"/>
    <s v="Magistr"/>
    <x v="1"/>
    <d v="2025-08-23T00:00:00"/>
    <x v="5"/>
    <n v="35"/>
    <n v="2.1574264202600957"/>
    <s v="Nodira Tursunova"/>
    <n v="1"/>
    <x v="1"/>
  </r>
  <r>
    <s v="EMP-0299"/>
    <s v="Jahongir Hasanov"/>
    <s v="Erkak"/>
    <d v="1991-09-08T00:00:00"/>
    <d v="2020-03-12T00:00:00"/>
    <x v="6"/>
    <s v="Call-markaz operatori"/>
    <s v="Junior"/>
    <s v="Samarqand"/>
    <n v="3640000"/>
    <n v="4"/>
    <x v="3"/>
    <n v="12"/>
    <x v="0"/>
    <s v="Magistr"/>
    <x v="0"/>
    <m/>
    <x v="0"/>
    <n v="35"/>
    <n v="6.5516769336071183"/>
    <s v="Shahlo Ismoilova"/>
    <n v="0"/>
    <x v="0"/>
  </r>
  <r>
    <s v="EMP-0741"/>
    <s v="Aziz Hasanov"/>
    <s v="Erkak"/>
    <d v="1990-10-03T00:00:00"/>
    <d v="2017-03-08T00:00:00"/>
    <x v="6"/>
    <s v="Mijozlar bilan ishlash mutaxassisi"/>
    <s v="Junior"/>
    <s v="Samarqand"/>
    <n v="3630000"/>
    <n v="3"/>
    <x v="1"/>
    <n v="17"/>
    <x v="2"/>
    <s v="Bakalavr"/>
    <x v="0"/>
    <m/>
    <x v="0"/>
    <n v="35"/>
    <n v="9.5633127994524294"/>
    <s v="Shahlo Ismoilova"/>
    <n v="0"/>
    <x v="0"/>
  </r>
  <r>
    <s v="EMP-0007"/>
    <s v="Otabek Rahimov"/>
    <s v="Erkak"/>
    <d v="1991-04-01T00:00:00"/>
    <d v="2020-06-15T00:00:00"/>
    <x v="3"/>
    <s v="Kassir"/>
    <s v="Junior"/>
    <s v="Farg'ona"/>
    <n v="3620000"/>
    <n v="3"/>
    <x v="0"/>
    <n v="18"/>
    <x v="0"/>
    <s v="Magistr"/>
    <x v="0"/>
    <m/>
    <x v="0"/>
    <n v="35"/>
    <n v="6.2915811088295692"/>
    <s v="Madina Abdullayeva"/>
    <n v="0"/>
    <x v="0"/>
  </r>
  <r>
    <s v="EMP-0339"/>
    <s v="Zilola Abdullayeva"/>
    <s v="Ayol"/>
    <d v="1998-09-10T00:00:00"/>
    <d v="2026-03-30T00:00:00"/>
    <x v="5"/>
    <s v="Ombor mudiri"/>
    <s v="Junior"/>
    <s v="Toshkent"/>
    <n v="3620000"/>
    <n v="4"/>
    <x v="0"/>
    <n v="21"/>
    <x v="1"/>
    <s v="Bakalavr"/>
    <x v="0"/>
    <m/>
    <x v="0"/>
    <n v="28"/>
    <n v="0.50376454483230659"/>
    <s v="Sardor Nazarov"/>
    <n v="0"/>
    <x v="2"/>
  </r>
  <r>
    <s v="EMP-0120"/>
    <s v="Aziza Qodirova"/>
    <s v="Ayol"/>
    <d v="2001-11-13T00:00:00"/>
    <d v="2026-05-06T00:00:00"/>
    <x v="2"/>
    <s v="Hudud menejeri"/>
    <s v="Junior"/>
    <s v="Samarqand"/>
    <n v="3610000"/>
    <n v="3"/>
    <x v="0"/>
    <n v="3"/>
    <x v="0"/>
    <s v="Bakalavr"/>
    <x v="0"/>
    <m/>
    <x v="0"/>
    <n v="24"/>
    <n v="0.40246406570841892"/>
    <s v="Aziz Karimov"/>
    <n v="0"/>
    <x v="2"/>
  </r>
  <r>
    <s v="EMP-0349"/>
    <s v="Otabek Normatov"/>
    <s v="Erkak"/>
    <d v="1987-06-10T00:00:00"/>
    <d v="2023-12-21T00:00:00"/>
    <x v="5"/>
    <s v="Ombor mudiri"/>
    <s v="Junior"/>
    <s v="Toshkent"/>
    <n v="3610000"/>
    <n v="3"/>
    <x v="0"/>
    <n v="21"/>
    <x v="0"/>
    <s v="O'rta maxsus"/>
    <x v="0"/>
    <m/>
    <x v="0"/>
    <n v="39"/>
    <n v="2.7761806981519506"/>
    <s v="Sardor Nazarov"/>
    <n v="0"/>
    <x v="1"/>
  </r>
  <r>
    <s v="EMP-0192"/>
    <s v="Madina Karimova"/>
    <s v="Ayol"/>
    <d v="1992-04-21T00:00:00"/>
    <d v="2021-03-11T00:00:00"/>
    <x v="6"/>
    <s v="Call-markaz operatori"/>
    <s v="Junior"/>
    <s v="Toshkent"/>
    <n v="3600000"/>
    <n v="3"/>
    <x v="2"/>
    <n v="8"/>
    <x v="0"/>
    <s v="Bakalavr"/>
    <x v="0"/>
    <m/>
    <x v="0"/>
    <n v="34"/>
    <n v="5.5550992470910332"/>
    <s v="Shahlo Ismoilova"/>
    <n v="0"/>
    <x v="0"/>
  </r>
  <r>
    <s v="EMP-0479"/>
    <s v="Aziza Tursunova"/>
    <s v="Ayol"/>
    <d v="2003-04-23T00:00:00"/>
    <d v="2024-12-06T00:00:00"/>
    <x v="6"/>
    <s v="Mijozlar bilan ishlash mutaxassisi"/>
    <s v="Junior"/>
    <s v="Toshkent"/>
    <n v="3600000"/>
    <n v="1"/>
    <x v="0"/>
    <n v="19"/>
    <x v="0"/>
    <s v="Bakalavr"/>
    <x v="1"/>
    <d v="2025-02-10T00:00:00"/>
    <x v="6"/>
    <n v="23"/>
    <n v="0.1806981519507187"/>
    <s v="Shahlo Ismoilova"/>
    <n v="1"/>
    <x v="2"/>
  </r>
  <r>
    <s v="EMP-0060"/>
    <s v="Timur Hasanov"/>
    <s v="Erkak"/>
    <d v="1990-02-20T00:00:00"/>
    <d v="2026-07-15T00:00:00"/>
    <x v="5"/>
    <s v="Logist"/>
    <s v="Junior"/>
    <s v="Toshkent"/>
    <n v="3590000"/>
    <n v="5"/>
    <x v="2"/>
    <n v="12"/>
    <x v="2"/>
    <m/>
    <x v="0"/>
    <m/>
    <x v="0"/>
    <n v="36"/>
    <n v="0.21081451060917181"/>
    <s v="Sardor Nazarov"/>
    <n v="0"/>
    <x v="2"/>
  </r>
  <r>
    <s v="EMP-0616"/>
    <s v="Nigora Yusupova"/>
    <s v="Ayol"/>
    <d v="1994-08-16T00:00:00"/>
    <d v="2026-06-10T00:00:00"/>
    <x v="3"/>
    <s v="Buxgalter"/>
    <s v="Junior"/>
    <s v="Samarqand"/>
    <n v="3590000"/>
    <n v="5"/>
    <x v="3"/>
    <n v="0"/>
    <x v="0"/>
    <m/>
    <x v="0"/>
    <m/>
    <x v="0"/>
    <n v="32"/>
    <n v="0.30663928815879532"/>
    <s v="Madina Abdullayeva"/>
    <n v="0"/>
    <x v="2"/>
  </r>
  <r>
    <s v="EMP-0114"/>
    <s v="Jahongir Mirzayev"/>
    <s v="Erkak"/>
    <d v="1992-05-18T00:00:00"/>
    <d v="2026-02-20T00:00:00"/>
    <x v="6"/>
    <s v="Call-markaz operatori"/>
    <s v="Junior"/>
    <s v="Andijon"/>
    <n v="3580000"/>
    <m/>
    <x v="0"/>
    <n v="26"/>
    <x v="2"/>
    <s v="O'rta maxsus"/>
    <x v="0"/>
    <m/>
    <x v="0"/>
    <n v="34"/>
    <n v="0.6078028747433265"/>
    <s v="Shahlo Ismoilova"/>
    <n v="0"/>
    <x v="2"/>
  </r>
  <r>
    <s v="EMP-0436"/>
    <s v="Dilnoza Rahimova"/>
    <s v="Ayol"/>
    <d v="2002-12-24T00:00:00"/>
    <d v="2023-12-05T00:00:00"/>
    <x v="2"/>
    <s v="Hudud menejeri"/>
    <s v="Junior"/>
    <s v="Namangan"/>
    <n v="3580000"/>
    <n v="4"/>
    <x v="3"/>
    <n v="31"/>
    <x v="0"/>
    <s v="Magistr"/>
    <x v="1"/>
    <d v="2025-05-21T00:00:00"/>
    <x v="3"/>
    <n v="23"/>
    <n v="1.4592744695414099"/>
    <s v="Aziz Karimov"/>
    <n v="1"/>
    <x v="1"/>
  </r>
  <r>
    <s v="EMP-0492"/>
    <s v="Dilnoza Saidova"/>
    <s v="Ayol"/>
    <d v="1991-07-04T00:00:00"/>
    <d v="2021-04-04T00:00:00"/>
    <x v="5"/>
    <s v="Ombor mudiri"/>
    <s v="Junior"/>
    <s v="Namangan"/>
    <n v="3580000"/>
    <n v="3"/>
    <x v="2"/>
    <n v="16"/>
    <x v="0"/>
    <s v="O'rta maxsus"/>
    <x v="0"/>
    <m/>
    <x v="0"/>
    <n v="35"/>
    <n v="5.4893908281998627"/>
    <s v="Sardor Nazarov"/>
    <n v="0"/>
    <x v="0"/>
  </r>
  <r>
    <s v="EMP-0606"/>
    <s v="Otabek Rahimov"/>
    <s v="Erkak"/>
    <d v="1992-09-14T00:00:00"/>
    <d v="2022-09-20T00:00:00"/>
    <x v="2"/>
    <s v="Sotuv menejeri"/>
    <s v="Junior"/>
    <s v="Toshkent"/>
    <n v="3580000"/>
    <n v="1"/>
    <x v="2"/>
    <n v="17"/>
    <x v="2"/>
    <s v="Bakalavr"/>
    <x v="1"/>
    <d v="2026-07-16T00:00:00"/>
    <x v="6"/>
    <n v="34"/>
    <n v="3.8193018480492813"/>
    <s v="Aziz Karimov"/>
    <n v="1"/>
    <x v="0"/>
  </r>
  <r>
    <s v="EMP-0706"/>
    <s v="Sardor Normatov"/>
    <s v="Erkak"/>
    <d v="1997-03-21T00:00:00"/>
    <d v="2018-05-24T00:00:00"/>
    <x v="3"/>
    <s v="Buxgalter"/>
    <s v="Junior"/>
    <s v="Toshkent"/>
    <n v="3580000"/>
    <n v="5"/>
    <x v="2"/>
    <n v="26"/>
    <x v="0"/>
    <s v="Magistr"/>
    <x v="0"/>
    <m/>
    <x v="0"/>
    <n v="29"/>
    <n v="8.3531827515400412"/>
    <s v="Madina Abdullayeva"/>
    <n v="0"/>
    <x v="0"/>
  </r>
  <r>
    <s v="EMP-0774"/>
    <s v="Sevara Saidova"/>
    <s v="Ayol"/>
    <d v="1989-08-08T00:00:00"/>
    <d v="2019-07-07T00:00:00"/>
    <x v="2"/>
    <s v="Sotuv menejeri"/>
    <s v="Junior"/>
    <s v="Toshkent"/>
    <n v="3580000"/>
    <n v="3"/>
    <x v="0"/>
    <n v="46"/>
    <x v="0"/>
    <s v="Bakalavr"/>
    <x v="0"/>
    <m/>
    <x v="0"/>
    <n v="37"/>
    <n v="7.2334017796030112"/>
    <s v="Aziz Karimov"/>
    <n v="0"/>
    <x v="0"/>
  </r>
  <r>
    <s v="EMP-0699"/>
    <s v="Sherzod Yusupov"/>
    <s v="Erkak"/>
    <d v="1991-09-09T00:00:00"/>
    <d v="2017-05-26T00:00:00"/>
    <x v="6"/>
    <s v="Call-markaz operatori"/>
    <s v="Junior"/>
    <s v="Toshkent"/>
    <n v="3570000"/>
    <n v="4"/>
    <x v="4"/>
    <n v="25"/>
    <x v="0"/>
    <s v="O'rta maxsus"/>
    <x v="1"/>
    <d v="2025-11-25T00:00:00"/>
    <x v="4"/>
    <n v="35"/>
    <n v="8.5010266940451746"/>
    <s v="Shahlo Ismoilova"/>
    <n v="1"/>
    <x v="0"/>
  </r>
  <r>
    <s v="EMP-0790"/>
    <s v="Zilola Ergasheva"/>
    <s v="Ayol"/>
    <d v="1995-09-25T00:00:00"/>
    <d v="2019-01-31T00:00:00"/>
    <x v="2"/>
    <s v="Hudud menejeri"/>
    <s v="Junior"/>
    <s v="Buxoro"/>
    <n v="3560000"/>
    <n v="1"/>
    <x v="1"/>
    <n v="18"/>
    <x v="0"/>
    <s v="Magistr"/>
    <x v="1"/>
    <d v="2025-01-09T00:00:00"/>
    <x v="5"/>
    <n v="31"/>
    <n v="5.9411362080766601"/>
    <s v="Aziz Karimov"/>
    <n v="1"/>
    <x v="0"/>
  </r>
  <r>
    <s v="EMP-0013"/>
    <s v="Timur Normatov"/>
    <s v="Erkak"/>
    <d v="1995-03-14T00:00:00"/>
    <d v="2026-04-16T00:00:00"/>
    <x v="6"/>
    <s v="Mijozlar bilan ishlash mutaxassisi"/>
    <s v="Junior"/>
    <s v="Samarqand"/>
    <n v="3550000"/>
    <n v="3"/>
    <x v="0"/>
    <n v="6"/>
    <x v="2"/>
    <s v="Bakalavr"/>
    <x v="1"/>
    <d v="2026-07-01T00:00:00"/>
    <x v="1"/>
    <n v="31"/>
    <n v="0.20807665982203971"/>
    <s v="Shahlo Ismoilova"/>
    <n v="1"/>
    <x v="2"/>
  </r>
  <r>
    <s v="EMP-0242"/>
    <s v="Sardor Normatov"/>
    <s v="Erkak"/>
    <d v="1999-04-09T00:00:00"/>
    <d v="2025-04-03T00:00:00"/>
    <x v="5"/>
    <s v="Ombor mudiri"/>
    <s v="Junior"/>
    <s v="Toshkent"/>
    <n v="3550000"/>
    <n v="3"/>
    <x v="3"/>
    <n v="24"/>
    <x v="2"/>
    <s v="Bakalavr"/>
    <x v="0"/>
    <m/>
    <x v="0"/>
    <n v="27"/>
    <n v="1.4921286789869952"/>
    <s v="Sardor Nazarov"/>
    <n v="0"/>
    <x v="1"/>
  </r>
  <r>
    <s v="EMP-0309"/>
    <s v="Gulnora Karimova"/>
    <s v="Ayol"/>
    <d v="2002-11-28T00:00:00"/>
    <d v="2025-04-18T00:00:00"/>
    <x v="6"/>
    <s v="Call-markaz operatori"/>
    <s v="Junior"/>
    <s v="Toshkent"/>
    <n v="3550000"/>
    <n v="4"/>
    <x v="1"/>
    <n v="18"/>
    <x v="0"/>
    <s v="Bakalavr"/>
    <x v="1"/>
    <d v="2026-02-21T00:00:00"/>
    <x v="1"/>
    <n v="23"/>
    <n v="0.8459958932238193"/>
    <s v="Shahlo Ismoilova"/>
    <n v="1"/>
    <x v="2"/>
  </r>
  <r>
    <s v="EMP-0353"/>
    <s v="Islom Tursunov"/>
    <s v="Erkak"/>
    <d v="1999-12-10T00:00:00"/>
    <d v="2025-05-30T00:00:00"/>
    <x v="6"/>
    <s v="Call-markaz operatori"/>
    <s v="Junior"/>
    <s v="Toshkent"/>
    <n v="3520000"/>
    <m/>
    <x v="1"/>
    <n v="12"/>
    <x v="0"/>
    <s v="Bakalavr"/>
    <x v="1"/>
    <d v="2026-08-08T00:00:00"/>
    <x v="7"/>
    <n v="26"/>
    <n v="1.1909650924024642"/>
    <s v="Shahlo Ismoilova"/>
    <n v="1"/>
    <x v="1"/>
  </r>
  <r>
    <s v="EMP-0418"/>
    <s v="Dilshod Sobirov"/>
    <s v="Erkak"/>
    <d v="1988-08-11T00:00:00"/>
    <d v="2021-02-09T00:00:00"/>
    <x v="4"/>
    <s v="Rekruter"/>
    <s v="Junior"/>
    <s v="Toshkent"/>
    <n v="3510000"/>
    <n v="2"/>
    <x v="2"/>
    <n v="0"/>
    <x v="1"/>
    <s v="Bakalavr"/>
    <x v="0"/>
    <m/>
    <x v="0"/>
    <n v="38"/>
    <n v="5.637234770704997"/>
    <s v="Nodira Tursunova"/>
    <n v="0"/>
    <x v="0"/>
  </r>
  <r>
    <s v="EMP-0707"/>
    <s v="Jasur Karimov"/>
    <s v="Erkak"/>
    <d v="1991-06-16T00:00:00"/>
    <d v="2018-12-04T00:00:00"/>
    <x v="6"/>
    <s v="Mijozlar bilan ishlash mutaxassisi"/>
    <s v="Junior"/>
    <s v="Qarshi"/>
    <n v="3510000"/>
    <n v="4"/>
    <x v="3"/>
    <n v="15"/>
    <x v="1"/>
    <s v="Bakalavr"/>
    <x v="0"/>
    <m/>
    <x v="0"/>
    <n v="35"/>
    <n v="7.8220396988364138"/>
    <s v="Shahlo Ismoilova"/>
    <n v="0"/>
    <x v="0"/>
  </r>
  <r>
    <s v="EMP-0034"/>
    <s v="Behruz Umarov"/>
    <s v="Erkak"/>
    <d v="1999-01-09T00:00:00"/>
    <d v="2026-05-13T00:00:00"/>
    <x v="2"/>
    <s v="Hudud menejeri"/>
    <s v="Junior"/>
    <s v="Toshkent"/>
    <n v="3500000"/>
    <n v="3"/>
    <x v="3"/>
    <n v="18"/>
    <x v="2"/>
    <s v="O'rta maxsus"/>
    <x v="0"/>
    <m/>
    <x v="0"/>
    <n v="27"/>
    <n v="0.38329911019849416"/>
    <s v="Aziz Karimov"/>
    <n v="0"/>
    <x v="2"/>
  </r>
  <r>
    <s v="EMP-0669"/>
    <s v="Feruza Mirzayeva"/>
    <s v="Ayol"/>
    <d v="1991-10-12T00:00:00"/>
    <d v="2022-03-31T00:00:00"/>
    <x v="6"/>
    <s v="Mijozlar bilan ishlash mutaxassisi"/>
    <s v="Junior"/>
    <s v="Andijon"/>
    <n v="3490000"/>
    <n v="3"/>
    <x v="0"/>
    <n v="21"/>
    <x v="2"/>
    <s v="Magistr"/>
    <x v="0"/>
    <m/>
    <x v="0"/>
    <n v="34"/>
    <n v="4.5010266940451746"/>
    <s v="Shahlo Ismoilova"/>
    <n v="0"/>
    <x v="0"/>
  </r>
  <r>
    <s v="EMP-0769"/>
    <s v="Gulnora Rahimova"/>
    <s v="Ayol"/>
    <d v="1992-12-06T00:00:00"/>
    <d v="2023-05-26T00:00:00"/>
    <x v="6"/>
    <s v="Mijozlar bilan ishlash mutaxassisi"/>
    <s v="Junior"/>
    <s v="Samarqand"/>
    <n v="3490000"/>
    <n v="5"/>
    <x v="3"/>
    <n v="9"/>
    <x v="0"/>
    <s v="Magistr"/>
    <x v="0"/>
    <m/>
    <x v="0"/>
    <n v="33"/>
    <n v="3.3483915126625599"/>
    <s v="Shahlo Ismoilova"/>
    <n v="0"/>
    <x v="0"/>
  </r>
  <r>
    <s v="EMP-0169"/>
    <s v="Gulnora Umarova"/>
    <s v="Ayol"/>
    <d v="1979-11-28T00:00:00"/>
    <d v="2024-06-28T00:00:00"/>
    <x v="2"/>
    <s v="Savdo vakili"/>
    <s v="Junior"/>
    <s v="Qarshi"/>
    <n v="3480000"/>
    <m/>
    <x v="3"/>
    <n v="6"/>
    <x v="2"/>
    <s v="O'rta maxsus"/>
    <x v="0"/>
    <m/>
    <x v="0"/>
    <n v="46"/>
    <n v="2.2559890485968515"/>
    <s v="Aziz Karimov"/>
    <n v="0"/>
    <x v="1"/>
  </r>
  <r>
    <s v="EMP-0282"/>
    <s v="Bobur Qodirov"/>
    <s v="Erkak"/>
    <d v="1991-10-12T00:00:00"/>
    <d v="2026-07-08T00:00:00"/>
    <x v="5"/>
    <s v="Logist"/>
    <s v="Junior"/>
    <s v="Toshkent"/>
    <n v="3480000"/>
    <n v="3"/>
    <x v="3"/>
    <n v="20"/>
    <x v="0"/>
    <s v="O'rta maxsus"/>
    <x v="1"/>
    <d v="2026-09-27T00:00:00"/>
    <x v="5"/>
    <n v="34"/>
    <n v="0.22176591375770022"/>
    <s v="Sardor Nazarov"/>
    <n v="1"/>
    <x v="2"/>
  </r>
  <r>
    <s v="EMP-0298"/>
    <s v="Islom Ismoilov"/>
    <s v="Erkak"/>
    <d v="2005-12-02T00:00:00"/>
    <d v="2026-07-19T00:00:00"/>
    <x v="2"/>
    <s v="Sotuv menejeri"/>
    <s v="Junior"/>
    <s v="Toshkent"/>
    <n v="3480000"/>
    <n v="4"/>
    <x v="1"/>
    <n v="16"/>
    <x v="2"/>
    <s v="Bakalavr"/>
    <x v="0"/>
    <m/>
    <x v="0"/>
    <n v="20"/>
    <n v="0.1998631074606434"/>
    <s v="Aziz Karimov"/>
    <n v="0"/>
    <x v="2"/>
  </r>
  <r>
    <s v="EMP-0313"/>
    <s v="Doniyor Rahimov"/>
    <s v="Erkak"/>
    <d v="1993-07-12T00:00:00"/>
    <d v="2026-07-27T00:00:00"/>
    <x v="2"/>
    <s v="Sotuv menejeri"/>
    <s v="Junior"/>
    <s v="Farg'ona"/>
    <n v="3480000"/>
    <n v="4"/>
    <x v="1"/>
    <n v="31"/>
    <x v="0"/>
    <s v="Bakalavr"/>
    <x v="1"/>
    <d v="2026-09-29T00:00:00"/>
    <x v="3"/>
    <n v="33"/>
    <n v="0.17522245037645448"/>
    <s v="Aziz Karimov"/>
    <n v="1"/>
    <x v="2"/>
  </r>
  <r>
    <s v="EMP-0485"/>
    <s v="Ulugbek Abdullayev"/>
    <s v="Erkak"/>
    <d v="1989-12-15T00:00:00"/>
    <d v="2026-01-23T00:00:00"/>
    <x v="3"/>
    <s v="Buxgalter"/>
    <s v="Junior"/>
    <s v="Andijon"/>
    <n v="3480000"/>
    <n v="4"/>
    <x v="1"/>
    <n v="18"/>
    <x v="2"/>
    <s v="Magistr"/>
    <x v="1"/>
    <d v="2026-04-25T00:00:00"/>
    <x v="7"/>
    <n v="36"/>
    <n v="0.2518822724161533"/>
    <s v="Madina Abdullayeva"/>
    <n v="1"/>
    <x v="2"/>
  </r>
  <r>
    <s v="EMP-0719"/>
    <s v="Ulugbek Sobirov"/>
    <s v="Erkak"/>
    <d v="1992-08-27T00:00:00"/>
    <d v="2024-02-04T00:00:00"/>
    <x v="2"/>
    <s v="Sotuv menejeri"/>
    <s v="Junior"/>
    <s v="Andijon"/>
    <n v="3480000"/>
    <n v="4"/>
    <x v="0"/>
    <n v="27"/>
    <x v="0"/>
    <s v="O'rta maxsus"/>
    <x v="0"/>
    <m/>
    <x v="0"/>
    <n v="34"/>
    <n v="2.6529774127310062"/>
    <s v="Aziz Karimov"/>
    <n v="0"/>
    <x v="1"/>
  </r>
  <r>
    <s v="EMP-0670"/>
    <s v="Islom Sobirov"/>
    <s v="Erkak"/>
    <d v="1991-06-26T00:00:00"/>
    <d v="2022-06-15T00:00:00"/>
    <x v="1"/>
    <s v="SMM mutaxassisi"/>
    <s v="Junior"/>
    <s v="Toshkent"/>
    <n v="3460000"/>
    <n v="1"/>
    <x v="4"/>
    <n v="0"/>
    <x v="0"/>
    <s v="O'rta maxsus"/>
    <x v="0"/>
    <m/>
    <x v="0"/>
    <n v="35"/>
    <n v="4.2929500342231348"/>
    <s v="Dilnoza Rahimova"/>
    <n v="0"/>
    <x v="0"/>
  </r>
  <r>
    <s v="EMP-0671"/>
    <s v="Kamola Saidova"/>
    <s v="Ayol"/>
    <d v="1987-11-13T00:00:00"/>
    <d v="2025-02-21T00:00:00"/>
    <x v="6"/>
    <s v="Call-markaz operatori"/>
    <s v="Junior"/>
    <s v="Toshkent"/>
    <n v="3460000"/>
    <n v="3"/>
    <x v="1"/>
    <n v="23"/>
    <x v="0"/>
    <s v="Magistr"/>
    <x v="0"/>
    <m/>
    <x v="0"/>
    <n v="38"/>
    <n v="1.6043805612594113"/>
    <s v="Shahlo Ismoilova"/>
    <n v="0"/>
    <x v="1"/>
  </r>
  <r>
    <s v="EMP-0765"/>
    <s v="Akmal Sobirov"/>
    <s v="Erkak"/>
    <d v="1994-05-13T00:00:00"/>
    <d v="2022-08-20T00:00:00"/>
    <x v="1"/>
    <s v="Kontent menejer"/>
    <s v="Junior"/>
    <s v="Toshkent"/>
    <n v="3460000"/>
    <n v="3"/>
    <x v="1"/>
    <n v="13"/>
    <x v="0"/>
    <s v="O'rta maxsus"/>
    <x v="0"/>
    <m/>
    <x v="0"/>
    <n v="32"/>
    <n v="4.1122518822724166"/>
    <s v="Dilnoza Rahimova"/>
    <n v="0"/>
    <x v="0"/>
  </r>
  <r>
    <s v="EMP-0777"/>
    <s v="Otabek Nazarov"/>
    <s v="Erkak"/>
    <d v="1997-02-02T00:00:00"/>
    <d v="2022-03-10T00:00:00"/>
    <x v="4"/>
    <s v="HR menejer"/>
    <s v="Junior"/>
    <s v="Farg'ona"/>
    <n v="3450000"/>
    <n v="4"/>
    <x v="0"/>
    <n v="23"/>
    <x v="0"/>
    <s v="Magistr"/>
    <x v="0"/>
    <m/>
    <x v="0"/>
    <n v="29"/>
    <n v="4.5585215605749489"/>
    <s v="Nodira Tursunova"/>
    <n v="0"/>
    <x v="0"/>
  </r>
  <r>
    <s v="EMP-0209"/>
    <s v="Zilola Yusupova"/>
    <s v="Ayol"/>
    <d v="1989-01-26T00:00:00"/>
    <d v="2025-04-04T00:00:00"/>
    <x v="3"/>
    <s v="Buxgalter"/>
    <s v="Junior"/>
    <s v="Samarqand"/>
    <n v="3440000"/>
    <n v="3"/>
    <x v="3"/>
    <n v="1"/>
    <x v="2"/>
    <s v="Magistr"/>
    <x v="0"/>
    <m/>
    <x v="0"/>
    <n v="37"/>
    <n v="1.4893908281998631"/>
    <s v="Madina Abdullayeva"/>
    <n v="0"/>
    <x v="1"/>
  </r>
  <r>
    <s v="EMP-0323"/>
    <s v="Jahongir Tursunov"/>
    <s v="Erkak"/>
    <d v="1996-09-08T00:00:00"/>
    <d v="2020-09-29T00:00:00"/>
    <x v="2"/>
    <s v="Savdo vakili"/>
    <s v="Junior"/>
    <s v="Buxoro"/>
    <n v="3430000"/>
    <n v="5"/>
    <x v="3"/>
    <n v="44"/>
    <x v="0"/>
    <s v="Bakalavr"/>
    <x v="0"/>
    <m/>
    <x v="0"/>
    <n v="30"/>
    <n v="6.0013689253935665"/>
    <s v="Aziz Karimov"/>
    <n v="0"/>
    <x v="0"/>
  </r>
  <r>
    <s v="EMP-0517"/>
    <s v="Malika Qodirova"/>
    <s v="Ayol"/>
    <d v="1995-06-25T00:00:00"/>
    <d v="2024-08-04T00:00:00"/>
    <x v="2"/>
    <s v="Savdo vakili"/>
    <s v="Junior"/>
    <s v="Andijon"/>
    <n v="3430000"/>
    <n v="1"/>
    <x v="0"/>
    <n v="6"/>
    <x v="0"/>
    <s v="Bakalavr"/>
    <x v="0"/>
    <m/>
    <x v="0"/>
    <n v="31"/>
    <n v="2.1546885694729636"/>
    <s v="Aziz Karimov"/>
    <n v="0"/>
    <x v="1"/>
  </r>
  <r>
    <s v="EMP-0361"/>
    <s v="Shaxzod Abdullayev"/>
    <s v="Erkak"/>
    <d v="1985-07-27T00:00:00"/>
    <d v="2018-04-29T00:00:00"/>
    <x v="6"/>
    <s v="Mijozlar bilan ishlash mutaxassisi"/>
    <s v="Junior"/>
    <s v="Toshkent"/>
    <n v="3420000"/>
    <n v="4"/>
    <x v="2"/>
    <n v="21"/>
    <x v="0"/>
    <s v="Bakalavr"/>
    <x v="0"/>
    <m/>
    <x v="0"/>
    <n v="41"/>
    <n v="8.4216290212183438"/>
    <s v="Shahlo Ismoilova"/>
    <n v="0"/>
    <x v="0"/>
  </r>
  <r>
    <s v="EMP-0018"/>
    <s v="Nodira Ismoilova"/>
    <s v="Ayol"/>
    <d v="1988-02-22T00:00:00"/>
    <d v="2020-09-11T00:00:00"/>
    <x v="1"/>
    <s v="Marketolog"/>
    <s v="Junior"/>
    <s v="Toshkent"/>
    <n v="3410000"/>
    <n v="4"/>
    <x v="2"/>
    <n v="19"/>
    <x v="2"/>
    <s v="O'rta maxsus"/>
    <x v="0"/>
    <m/>
    <x v="0"/>
    <n v="38"/>
    <n v="6.0506502395619437"/>
    <s v="Dilnoza Rahimova"/>
    <n v="0"/>
    <x v="0"/>
  </r>
  <r>
    <s v="EMP-0520"/>
    <s v="Madina Yusupova"/>
    <s v="Ayol"/>
    <d v="1991-07-26T00:00:00"/>
    <d v="2019-09-22T00:00:00"/>
    <x v="6"/>
    <s v="Mijozlar bilan ishlash mutaxassisi"/>
    <s v="Junior"/>
    <s v="Samarqand"/>
    <n v="3410000"/>
    <n v="3"/>
    <x v="0"/>
    <n v="4"/>
    <x v="2"/>
    <s v="Bakalavr"/>
    <x v="0"/>
    <m/>
    <x v="0"/>
    <n v="35"/>
    <n v="7.0225872689938402"/>
    <s v="Shahlo Ismoilova"/>
    <n v="0"/>
    <x v="0"/>
  </r>
  <r>
    <s v="EMP-0056"/>
    <s v="Malika Yusupova"/>
    <s v="Ayol"/>
    <d v="2006-02-13T00:00:00"/>
    <d v="2026-08-10T00:00:00"/>
    <x v="3"/>
    <s v="Buxgalter"/>
    <s v="Junior"/>
    <s v="Toshkent"/>
    <n v="3400000"/>
    <n v="5"/>
    <x v="3"/>
    <n v="8"/>
    <x v="2"/>
    <s v="Bakalavr"/>
    <x v="0"/>
    <m/>
    <x v="0"/>
    <n v="20"/>
    <n v="0.13963039014373715"/>
    <s v="Madina Abdullayeva"/>
    <n v="0"/>
    <x v="2"/>
  </r>
  <r>
    <s v="EMP-0490"/>
    <s v="Bobur Ismoilov"/>
    <s v="Erkak"/>
    <d v="1996-11-10T00:00:00"/>
    <d v="2026-06-17T00:00:00"/>
    <x v="5"/>
    <s v="Logist"/>
    <s v="Junior"/>
    <s v="Samarqand"/>
    <n v="3400000"/>
    <n v="5"/>
    <x v="0"/>
    <n v="16"/>
    <x v="0"/>
    <s v="Magistr"/>
    <x v="0"/>
    <m/>
    <x v="0"/>
    <n v="29"/>
    <n v="0.28747433264887062"/>
    <s v="Sardor Nazarov"/>
    <n v="0"/>
    <x v="2"/>
  </r>
  <r>
    <s v="EMP-0579"/>
    <s v="Sevara Karimova"/>
    <s v="Ayol"/>
    <d v="2005-11-22T00:00:00"/>
    <d v="2026-08-25T00:00:00"/>
    <x v="3"/>
    <s v="Moliyaviy tahlilchi"/>
    <s v="Junior"/>
    <s v="Samarqand"/>
    <n v="3400000"/>
    <n v="4"/>
    <x v="2"/>
    <n v="16"/>
    <x v="2"/>
    <s v="Bakalavr"/>
    <x v="0"/>
    <m/>
    <x v="0"/>
    <n v="20"/>
    <n v="9.856262833675565E-2"/>
    <s v="Madina Abdullayeva"/>
    <n v="0"/>
    <x v="2"/>
  </r>
  <r>
    <s v="EMP-0475"/>
    <s v="Bobur Rahimov"/>
    <s v="Erkak"/>
    <d v="1994-10-03T00:00:00"/>
    <d v="2024-10-09T00:00:00"/>
    <x v="6"/>
    <s v="Mijozlar bilan ishlash mutaxassisi"/>
    <s v="Junior"/>
    <s v="Toshkent"/>
    <n v="3390000"/>
    <n v="5"/>
    <x v="0"/>
    <n v="12"/>
    <x v="0"/>
    <s v="Bakalavr"/>
    <x v="1"/>
    <d v="2025-06-04T00:00:00"/>
    <x v="1"/>
    <n v="31"/>
    <n v="0.65160848733744015"/>
    <s v="Shahlo Ismoilova"/>
    <n v="1"/>
    <x v="2"/>
  </r>
  <r>
    <s v="EMP-0711"/>
    <s v="Mohira Karimova"/>
    <s v="Ayol"/>
    <d v="1999-03-14T00:00:00"/>
    <d v="2024-10-04T00:00:00"/>
    <x v="6"/>
    <s v="Mijozlar bilan ishlash mutaxassisi"/>
    <s v="Junior"/>
    <s v="Samarqand"/>
    <n v="3380000"/>
    <n v="3"/>
    <x v="0"/>
    <n v="32"/>
    <x v="1"/>
    <s v="Bakalavr"/>
    <x v="0"/>
    <m/>
    <x v="0"/>
    <n v="27"/>
    <n v="1.9876796714579055"/>
    <s v="Shahlo Ismoilova"/>
    <n v="0"/>
    <x v="1"/>
  </r>
  <r>
    <s v="EMP-0128"/>
    <s v="Kamola Yusupova"/>
    <s v="Ayol"/>
    <d v="2006-04-17T00:00:00"/>
    <d v="2026-07-27T00:00:00"/>
    <x v="6"/>
    <s v="Mijozlar bilan ishlash mutaxassisi"/>
    <s v="Junior"/>
    <s v="Toshkent"/>
    <n v="3370000"/>
    <n v="3"/>
    <x v="2"/>
    <n v="19"/>
    <x v="2"/>
    <s v="O'rta maxsus"/>
    <x v="0"/>
    <m/>
    <x v="0"/>
    <n v="20"/>
    <n v="0.17796030116358658"/>
    <s v="Shahlo Ismoilova"/>
    <n v="0"/>
    <x v="2"/>
  </r>
  <r>
    <s v="EMP-0297"/>
    <s v="Jasur Ismoilov"/>
    <s v="Erkak"/>
    <d v="2001-03-12T00:00:00"/>
    <d v="2026-05-24T00:00:00"/>
    <x v="5"/>
    <s v="Haydovchi-ekspeditor"/>
    <s v="Junior"/>
    <s v="Farg'ona"/>
    <n v="3370000"/>
    <n v="4"/>
    <x v="1"/>
    <n v="3"/>
    <x v="0"/>
    <s v="O'rta maxsus"/>
    <x v="0"/>
    <m/>
    <x v="0"/>
    <n v="25"/>
    <n v="0.35318275154004108"/>
    <s v="Sardor Nazarov"/>
    <n v="0"/>
    <x v="2"/>
  </r>
  <r>
    <s v="EMP-0546"/>
    <s v="Bobur Umarov"/>
    <s v="Erkak"/>
    <d v="2000-01-17T00:00:00"/>
    <d v="2022-12-14T00:00:00"/>
    <x v="3"/>
    <s v="Buxgalter"/>
    <s v="Junior"/>
    <s v="Toshkent"/>
    <n v="3370000"/>
    <n v="3"/>
    <x v="1"/>
    <n v="29"/>
    <x v="1"/>
    <s v="Magistr"/>
    <x v="0"/>
    <m/>
    <x v="0"/>
    <n v="26"/>
    <n v="3.7946611909650922"/>
    <s v="Madina Abdullayeva"/>
    <n v="0"/>
    <x v="0"/>
  </r>
  <r>
    <s v="EMP-0112"/>
    <s v="Madina Karimova"/>
    <s v="Ayol"/>
    <d v="2004-03-28T00:00:00"/>
    <d v="2026-05-29T00:00:00"/>
    <x v="5"/>
    <s v="Logist"/>
    <s v="Junior"/>
    <s v="Namangan"/>
    <n v="3360000"/>
    <n v="3"/>
    <x v="3"/>
    <n v="30"/>
    <x v="1"/>
    <s v="Magistr"/>
    <x v="0"/>
    <m/>
    <x v="0"/>
    <n v="22"/>
    <n v="0.33949349760438058"/>
    <s v="Sardor Nazarov"/>
    <n v="0"/>
    <x v="2"/>
  </r>
  <r>
    <s v="EMP-0400"/>
    <s v="Kamola Rahimova"/>
    <s v="Ayol"/>
    <d v="1997-07-02T00:00:00"/>
    <d v="2026-03-14T00:00:00"/>
    <x v="2"/>
    <s v="Hudud menejeri"/>
    <s v="Junior"/>
    <s v="Toshkent"/>
    <n v="3360000"/>
    <n v="5"/>
    <x v="3"/>
    <n v="2"/>
    <x v="1"/>
    <s v="Bakalavr"/>
    <x v="1"/>
    <d v="2026-06-17T00:00:00"/>
    <x v="2"/>
    <n v="29"/>
    <n v="0.26009582477754961"/>
    <s v="Aziz Karimov"/>
    <n v="1"/>
    <x v="2"/>
  </r>
  <r>
    <s v="EMP-0684"/>
    <s v="Dilnoza Rahimova"/>
    <s v="Ayol"/>
    <d v="2006-10-18T00:00:00"/>
    <d v="2026-09-02T00:00:00"/>
    <x v="2"/>
    <s v="Savdo vakili"/>
    <s v="Junior"/>
    <s v="Qarshi"/>
    <n v="3350000"/>
    <n v="4"/>
    <x v="2"/>
    <n v="26"/>
    <x v="2"/>
    <s v="O'rta maxsus"/>
    <x v="0"/>
    <m/>
    <x v="0"/>
    <n v="19"/>
    <n v="7.665982203969883E-2"/>
    <s v="Aziz Karimov"/>
    <n v="0"/>
    <x v="2"/>
  </r>
  <r>
    <s v="EMP-0758"/>
    <s v="Aziza Rahimova"/>
    <s v="Ayol"/>
    <d v="1989-01-13T00:00:00"/>
    <d v="2022-04-03T00:00:00"/>
    <x v="2"/>
    <s v="Sotuv menejeri"/>
    <s v="Junior"/>
    <s v="Farg'ona"/>
    <n v="3340000"/>
    <n v="5"/>
    <x v="0"/>
    <n v="8"/>
    <x v="0"/>
    <s v="O'rta maxsus"/>
    <x v="0"/>
    <m/>
    <x v="0"/>
    <n v="37"/>
    <n v="4.4928131416837784"/>
    <s v="Aziz Karimov"/>
    <n v="0"/>
    <x v="0"/>
  </r>
  <r>
    <s v="EMP-0290"/>
    <s v="Aziza Umarova"/>
    <s v="Ayol"/>
    <d v="2006-11-27T00:00:00"/>
    <d v="2026-09-29T00:00:00"/>
    <x v="5"/>
    <s v="Haydovchi-ekspeditor"/>
    <s v="Junior"/>
    <s v="Toshkent"/>
    <n v="3310000"/>
    <n v="3"/>
    <x v="2"/>
    <n v="7"/>
    <x v="1"/>
    <s v="O'rta maxsus"/>
    <x v="0"/>
    <m/>
    <x v="0"/>
    <n v="19"/>
    <n v="2.7378507871321013E-3"/>
    <s v="Sardor Nazarov"/>
    <n v="0"/>
    <x v="2"/>
  </r>
  <r>
    <s v="EMP-0280"/>
    <s v="Malika Sobirova"/>
    <s v="Ayol"/>
    <d v="2006-07-01T00:00:00"/>
    <d v="2026-08-22T00:00:00"/>
    <x v="2"/>
    <s v="Sotuv menejeri"/>
    <s v="Junior"/>
    <s v="Namangan"/>
    <n v="3290000"/>
    <n v="3"/>
    <x v="4"/>
    <n v="16"/>
    <x v="0"/>
    <s v="O'rta maxsus"/>
    <x v="0"/>
    <m/>
    <x v="0"/>
    <n v="20"/>
    <n v="0.10677618069815195"/>
    <s v="Aziz Karimov"/>
    <n v="0"/>
    <x v="2"/>
  </r>
  <r>
    <s v="EMP-0006"/>
    <s v="Rustam Normatov"/>
    <s v="Erkak"/>
    <d v="1996-07-13T00:00:00"/>
    <d v="2022-10-17T00:00:00"/>
    <x v="6"/>
    <s v="Mijozlar bilan ishlash mutaxassisi"/>
    <s v="Junior"/>
    <s v="Toshkent"/>
    <n v="3280000"/>
    <n v="5"/>
    <x v="0"/>
    <n v="35"/>
    <x v="0"/>
    <s v="Magistr"/>
    <x v="0"/>
    <m/>
    <x v="0"/>
    <n v="30"/>
    <n v="3.9534565366187544"/>
    <s v="Shahlo Ismoilova"/>
    <n v="0"/>
    <x v="0"/>
  </r>
  <r>
    <s v="EMP-0578"/>
    <s v="Rustam Ergashev"/>
    <s v="Erkak"/>
    <d v="1995-11-03T00:00:00"/>
    <d v="2024-01-18T00:00:00"/>
    <x v="2"/>
    <s v="Sotuv menejeri"/>
    <s v="Junior"/>
    <s v="Farg'ona"/>
    <n v="3280000"/>
    <n v="3"/>
    <x v="3"/>
    <n v="0"/>
    <x v="2"/>
    <s v="Bakalavr"/>
    <x v="0"/>
    <m/>
    <x v="0"/>
    <n v="30"/>
    <n v="2.6995208761122518"/>
    <s v="Aziz Karimov"/>
    <n v="0"/>
    <x v="1"/>
  </r>
  <r>
    <s v="EMP-0792"/>
    <s v="Timur Karimov"/>
    <s v="Erkak"/>
    <d v="2006-12-06T00:00:00"/>
    <d v="2026-09-13T00:00:00"/>
    <x v="2"/>
    <s v="Savdo vakili"/>
    <s v="Junior"/>
    <s v="Andijon"/>
    <n v="3280000"/>
    <n v="3"/>
    <x v="0"/>
    <n v="3"/>
    <x v="1"/>
    <s v="Bakalavr"/>
    <x v="0"/>
    <m/>
    <x v="0"/>
    <n v="19"/>
    <n v="4.6543463381245723E-2"/>
    <s v="Aziz Karimov"/>
    <n v="0"/>
    <x v="2"/>
  </r>
  <r>
    <s v="EMP-0393"/>
    <s v="Jasur Karimov"/>
    <s v="Erkak"/>
    <d v="1991-09-03T00:00:00"/>
    <d v="2022-08-04T00:00:00"/>
    <x v="6"/>
    <s v="Mijozlar bilan ishlash mutaxassisi"/>
    <s v="Junior"/>
    <s v="Toshkent"/>
    <n v="3270000"/>
    <n v="4"/>
    <x v="3"/>
    <n v="22"/>
    <x v="0"/>
    <s v="Bakalavr"/>
    <x v="0"/>
    <m/>
    <x v="0"/>
    <n v="35"/>
    <n v="4.1560574948665296"/>
    <s v="Shahlo Ismoilova"/>
    <n v="0"/>
    <x v="0"/>
  </r>
  <r>
    <s v="EMP-0063"/>
    <s v="Behruz Nazarov"/>
    <s v="Erkak"/>
    <d v="1993-03-20T00:00:00"/>
    <d v="2022-11-04T00:00:00"/>
    <x v="5"/>
    <s v="Logist"/>
    <s v="Junior"/>
    <s v="Andijon"/>
    <n v="3260000"/>
    <n v="5"/>
    <x v="2"/>
    <n v="11"/>
    <x v="1"/>
    <s v="O'rta maxsus"/>
    <x v="0"/>
    <m/>
    <x v="0"/>
    <n v="33"/>
    <n v="3.9041752224503763"/>
    <s v="Sardor Nazarov"/>
    <n v="0"/>
    <x v="0"/>
  </r>
  <r>
    <s v="EMP-0529"/>
    <s v="Ulugbek Qodirov"/>
    <s v="Erkak"/>
    <d v="1992-10-25T00:00:00"/>
    <d v="2021-12-22T00:00:00"/>
    <x v="5"/>
    <s v="Haydovchi-ekspeditor"/>
    <s v="Junior"/>
    <s v="Toshkent"/>
    <n v="3260000"/>
    <n v="4"/>
    <x v="0"/>
    <n v="13"/>
    <x v="0"/>
    <s v="Bakalavr"/>
    <x v="0"/>
    <m/>
    <x v="0"/>
    <n v="33"/>
    <n v="4.7720739219712529"/>
    <s v="Sardor Nazarov"/>
    <n v="0"/>
    <x v="0"/>
  </r>
  <r>
    <s v="EMP-0562"/>
    <s v="Timur Rahimov"/>
    <s v="Erkak"/>
    <d v="1993-07-07T00:00:00"/>
    <d v="2023-05-14T00:00:00"/>
    <x v="4"/>
    <s v="HR menejer"/>
    <s v="Junior"/>
    <s v="Samarqand"/>
    <n v="3260000"/>
    <n v="5"/>
    <x v="0"/>
    <n v="13"/>
    <x v="0"/>
    <s v="O'rta maxsus"/>
    <x v="0"/>
    <m/>
    <x v="0"/>
    <n v="33"/>
    <n v="3.3812457221081451"/>
    <s v="Nodira Tursunova"/>
    <n v="0"/>
    <x v="0"/>
  </r>
  <r>
    <s v="EMP-0639"/>
    <s v="Sevara Yusupova"/>
    <s v="Ayol"/>
    <d v="1987-12-21T00:00:00"/>
    <d v="2026-07-06T00:00:00"/>
    <x v="2"/>
    <s v="Sotuv menejeri"/>
    <s v="Junior"/>
    <s v="Samarqand"/>
    <n v="3260000"/>
    <n v="5"/>
    <x v="3"/>
    <n v="17"/>
    <x v="1"/>
    <s v="Magistr"/>
    <x v="0"/>
    <m/>
    <x v="0"/>
    <n v="38"/>
    <n v="0.23545516769336072"/>
    <s v="Aziz Karimov"/>
    <n v="0"/>
    <x v="2"/>
  </r>
  <r>
    <s v="EMP-0739"/>
    <s v="Dilnoza Nazarova"/>
    <s v="Ayol"/>
    <d v="1989-10-04T00:00:00"/>
    <d v="2024-01-15T00:00:00"/>
    <x v="2"/>
    <s v="Savdo vakili"/>
    <s v="Junior"/>
    <s v="Samarqand"/>
    <n v="3260000"/>
    <n v="3"/>
    <x v="2"/>
    <n v="14"/>
    <x v="1"/>
    <s v="O'rta maxsus"/>
    <x v="1"/>
    <d v="2025-01-21T00:00:00"/>
    <x v="2"/>
    <n v="36"/>
    <n v="1.0184804928131417"/>
    <s v="Aziz Karimov"/>
    <n v="1"/>
    <x v="1"/>
  </r>
  <r>
    <s v="EMP-0067"/>
    <s v="Otabek Ismoilov"/>
    <s v="Erkak"/>
    <d v="1991-09-21T00:00:00"/>
    <d v="2020-10-08T00:00:00"/>
    <x v="5"/>
    <s v="Haydovchi-ekspeditor"/>
    <s v="Junior"/>
    <s v="Toshkent"/>
    <n v="3240000"/>
    <n v="2"/>
    <x v="2"/>
    <n v="32"/>
    <x v="2"/>
    <s v="Bakalavr"/>
    <x v="1"/>
    <d v="2026-03-24T00:00:00"/>
    <x v="3"/>
    <n v="35"/>
    <n v="5.4565366187542779"/>
    <s v="Sardor Nazarov"/>
    <n v="1"/>
    <x v="0"/>
  </r>
  <r>
    <s v="EMP-0241"/>
    <s v="Sardor Saidov"/>
    <s v="Erkak"/>
    <d v="1992-10-20T00:00:00"/>
    <d v="2026-04-07T00:00:00"/>
    <x v="6"/>
    <s v="Mijozlar bilan ishlash mutaxassisi"/>
    <s v="Junior"/>
    <s v="Namangan"/>
    <n v="3240000"/>
    <n v="3"/>
    <x v="1"/>
    <n v="33"/>
    <x v="0"/>
    <s v="Bakalavr"/>
    <x v="1"/>
    <d v="2026-07-09T00:00:00"/>
    <x v="4"/>
    <n v="33"/>
    <n v="0.25462012320328542"/>
    <s v="Shahlo Ismoilova"/>
    <n v="1"/>
    <x v="2"/>
  </r>
  <r>
    <s v="EMP-0375"/>
    <s v="Rustam Hasanov"/>
    <s v="Erkak"/>
    <d v="1999-08-07T00:00:00"/>
    <d v="2022-11-03T00:00:00"/>
    <x v="2"/>
    <s v="Savdo vakili"/>
    <s v="Junior"/>
    <s v="Samarqand"/>
    <n v="3240000"/>
    <n v="2"/>
    <x v="3"/>
    <n v="6"/>
    <x v="1"/>
    <s v="O'rta maxsus"/>
    <x v="0"/>
    <m/>
    <x v="0"/>
    <n v="27"/>
    <n v="3.9069130732375084"/>
    <s v="Aziz Karimov"/>
    <n v="0"/>
    <x v="0"/>
  </r>
  <r>
    <s v="EMP-0743"/>
    <s v="Rustam Qodirov"/>
    <s v="Erkak"/>
    <d v="1989-08-07T00:00:00"/>
    <d v="2026-03-13T00:00:00"/>
    <x v="5"/>
    <s v="Ombor mudiri"/>
    <s v="Junior"/>
    <s v="Samarqand"/>
    <n v="3240000"/>
    <n v="3"/>
    <x v="4"/>
    <n v="13"/>
    <x v="2"/>
    <s v="Bakalavr"/>
    <x v="1"/>
    <d v="2026-06-08T00:00:00"/>
    <x v="3"/>
    <n v="37"/>
    <n v="0.23819301848049282"/>
    <s v="Sardor Nazarov"/>
    <n v="1"/>
    <x v="2"/>
  </r>
  <r>
    <s v="EMP-0371"/>
    <s v="Akmal Ismoilov"/>
    <s v="Erkak"/>
    <d v="1995-06-24T00:00:00"/>
    <d v="2024-09-30T00:00:00"/>
    <x v="2"/>
    <s v="Sotuv menejeri"/>
    <s v="Junior"/>
    <s v="Toshkent"/>
    <n v="3230000"/>
    <n v="4"/>
    <x v="1"/>
    <n v="16"/>
    <x v="0"/>
    <s v="Bakalavr"/>
    <x v="0"/>
    <m/>
    <x v="0"/>
    <n v="31"/>
    <n v="1.998631074606434"/>
    <s v="Aziz Karimov"/>
    <n v="0"/>
    <x v="1"/>
  </r>
  <r>
    <s v="EMP-0503"/>
    <s v="Timur Ismoilov"/>
    <s v="Erkak"/>
    <d v="1995-02-14T00:00:00"/>
    <d v="2025-04-13T00:00:00"/>
    <x v="2"/>
    <s v="Sotuv menejeri"/>
    <s v="Junior"/>
    <s v="Toshkent"/>
    <n v="3230000"/>
    <n v="3"/>
    <x v="3"/>
    <n v="8"/>
    <x v="0"/>
    <s v="O'rta maxsus"/>
    <x v="0"/>
    <m/>
    <x v="0"/>
    <n v="31"/>
    <n v="1.4647501711156743"/>
    <s v="Aziz Karimov"/>
    <n v="0"/>
    <x v="1"/>
  </r>
  <r>
    <s v="EMP-0019"/>
    <s v="Shahlo Ergasheva"/>
    <s v="Ayol"/>
    <d v="1987-08-06T00:00:00"/>
    <d v="2022-01-16T00:00:00"/>
    <x v="6"/>
    <s v="Call-markaz operatori"/>
    <s v="Junior"/>
    <s v="Toshkent"/>
    <n v="3220000"/>
    <n v="3"/>
    <x v="1"/>
    <n v="14"/>
    <x v="0"/>
    <s v="O'rta maxsus"/>
    <x v="1"/>
    <d v="2025-12-13T00:00:00"/>
    <x v="4"/>
    <n v="39"/>
    <n v="3.9069130732375084"/>
    <s v="Shahlo Ismoilova"/>
    <n v="1"/>
    <x v="0"/>
  </r>
  <r>
    <s v="EMP-0328"/>
    <s v="Shahlo Sobirova"/>
    <s v="Ayol"/>
    <d v="1992-12-20T00:00:00"/>
    <d v="2021-03-06T00:00:00"/>
    <x v="2"/>
    <s v="Hudud menejeri"/>
    <s v="Junior"/>
    <s v="Farg'ona"/>
    <n v="3210000"/>
    <n v="4"/>
    <x v="2"/>
    <n v="5"/>
    <x v="2"/>
    <s v="O'rta maxsus"/>
    <x v="1"/>
    <d v="2026-07-18T00:00:00"/>
    <x v="5"/>
    <n v="33"/>
    <n v="5.3661875427789187"/>
    <s v="Aziz Karimov"/>
    <n v="1"/>
    <x v="0"/>
  </r>
  <r>
    <s v="EMP-0003"/>
    <s v="Rustam Qodirov"/>
    <s v="Erkak"/>
    <d v="1997-06-15T00:00:00"/>
    <d v="2021-06-09T00:00:00"/>
    <x v="4"/>
    <s v="Rekruter"/>
    <s v="Junior"/>
    <s v="Toshkent"/>
    <n v="3190000"/>
    <n v="4"/>
    <x v="1"/>
    <n v="2"/>
    <x v="0"/>
    <s v="Bakalavr"/>
    <x v="0"/>
    <m/>
    <x v="0"/>
    <n v="29"/>
    <n v="5.3086926762491444"/>
    <s v="Nodira Tursunova"/>
    <n v="0"/>
    <x v="0"/>
  </r>
  <r>
    <s v="EMP-0093"/>
    <s v="Behruz Sobirov"/>
    <s v="Erkak"/>
    <d v="1988-09-23T00:00:00"/>
    <d v="2016-07-16T00:00:00"/>
    <x v="1"/>
    <s v="SMM mutaxassisi"/>
    <s v="Junior"/>
    <s v="Samarqand"/>
    <n v="3190000"/>
    <n v="4"/>
    <x v="0"/>
    <n v="0"/>
    <x v="1"/>
    <s v="Bakalavr"/>
    <x v="0"/>
    <m/>
    <x v="0"/>
    <n v="38"/>
    <n v="10.206707734428473"/>
    <s v="Dilnoza Rahimova"/>
    <n v="0"/>
    <x v="0"/>
  </r>
  <r>
    <s v="EMP-0570"/>
    <s v="Nodira Qodirova"/>
    <s v="Ayol"/>
    <d v="2002-12-12T00:00:00"/>
    <d v="2025-07-08T00:00:00"/>
    <x v="5"/>
    <s v="Haydovchi-ekspeditor"/>
    <s v="Junior"/>
    <s v="Samarqand"/>
    <n v="3190000"/>
    <n v="5"/>
    <x v="3"/>
    <n v="13"/>
    <x v="2"/>
    <s v="Magistr"/>
    <x v="0"/>
    <m/>
    <x v="0"/>
    <n v="23"/>
    <n v="1.2292950034223136"/>
    <s v="Sardor Nazarov"/>
    <n v="0"/>
    <x v="1"/>
  </r>
  <r>
    <s v="EMP-0227"/>
    <s v="Jahongir Normatov"/>
    <s v="Erkak"/>
    <d v="2001-11-19T00:00:00"/>
    <d v="2024-11-28T00:00:00"/>
    <x v="6"/>
    <s v="Mijozlar bilan ishlash mutaxassisi"/>
    <s v="Junior"/>
    <s v="Toshkent"/>
    <n v="3170000"/>
    <m/>
    <x v="0"/>
    <n v="1"/>
    <x v="0"/>
    <s v="Bakalavr"/>
    <x v="0"/>
    <m/>
    <x v="0"/>
    <n v="24"/>
    <n v="1.83709787816564"/>
    <s v="Shahlo Ismoilova"/>
    <n v="0"/>
    <x v="1"/>
  </r>
  <r>
    <s v="EMP-0442"/>
    <s v="Dilshod Mirzayev"/>
    <s v="Erkak"/>
    <d v="1991-09-17T00:00:00"/>
    <d v="2024-01-13T00:00:00"/>
    <x v="2"/>
    <s v="Sotuv menejeri"/>
    <s v="Junior"/>
    <s v="Toshkent"/>
    <n v="3160000"/>
    <n v="2"/>
    <x v="3"/>
    <n v="27"/>
    <x v="0"/>
    <s v="Bakalavr"/>
    <x v="1"/>
    <d v="2025-02-03T00:00:00"/>
    <x v="5"/>
    <n v="35"/>
    <n v="1.0595482546201231"/>
    <s v="Aziz Karimov"/>
    <n v="1"/>
    <x v="1"/>
  </r>
  <r>
    <s v="EMP-0385"/>
    <s v="Dilnoza Nazarova"/>
    <s v="Ayol"/>
    <d v="1995-08-06T00:00:00"/>
    <d v="2023-06-14T00:00:00"/>
    <x v="4"/>
    <s v="Rekruter"/>
    <s v="Junior"/>
    <s v="Namangan"/>
    <n v="3140000"/>
    <n v="2"/>
    <x v="0"/>
    <n v="2"/>
    <x v="1"/>
    <s v="Magistr"/>
    <x v="0"/>
    <m/>
    <x v="0"/>
    <n v="31"/>
    <n v="3.2963723477070501"/>
    <s v="Nodira Tursunova"/>
    <n v="0"/>
    <x v="0"/>
  </r>
  <r>
    <s v="EMP-0080"/>
    <s v="Zilola Tursunova"/>
    <s v="Ayol"/>
    <d v="1996-07-08T00:00:00"/>
    <d v="2022-07-28T00:00:00"/>
    <x v="6"/>
    <s v="Call-markaz operatori"/>
    <s v="Junior"/>
    <s v="Namangan"/>
    <n v="3130000"/>
    <n v="4"/>
    <x v="3"/>
    <n v="18"/>
    <x v="2"/>
    <s v="Bakalavr"/>
    <x v="0"/>
    <m/>
    <x v="0"/>
    <n v="30"/>
    <n v="4.1752224503764541"/>
    <s v="Shahlo Ismoilova"/>
    <n v="0"/>
    <x v="0"/>
  </r>
  <r>
    <s v="EMP-0092"/>
    <s v="Timur Mirzayev"/>
    <s v="Erkak"/>
    <d v="1987-12-20T00:00:00"/>
    <d v="2024-02-24T00:00:00"/>
    <x v="6"/>
    <s v="Call-markaz operatori"/>
    <s v="Junior"/>
    <s v="Toshkent"/>
    <n v="3130000"/>
    <n v="4"/>
    <x v="1"/>
    <n v="25"/>
    <x v="1"/>
    <s v="Magistr"/>
    <x v="0"/>
    <m/>
    <x v="0"/>
    <n v="38"/>
    <n v="2.5982203969883639"/>
    <s v="Shahlo Ismoilova"/>
    <n v="0"/>
    <x v="1"/>
  </r>
  <r>
    <s v="EMP-0147"/>
    <s v="Dilnoza Abdullayeva"/>
    <s v="Ayol"/>
    <d v="2002-03-10T00:00:00"/>
    <d v="2024-01-08T00:00:00"/>
    <x v="4"/>
    <s v="HR menejer"/>
    <s v="Junior"/>
    <s v="Toshkent"/>
    <n v="3110000"/>
    <n v="4"/>
    <x v="3"/>
    <n v="12"/>
    <x v="1"/>
    <s v="O'rta maxsus"/>
    <x v="0"/>
    <m/>
    <x v="0"/>
    <n v="24"/>
    <n v="2.7268993839835729"/>
    <s v="Nodira Tursunova"/>
    <n v="0"/>
    <x v="1"/>
  </r>
  <r>
    <s v="EMP-0207"/>
    <s v="Timur Qodirov"/>
    <s v="Erkak"/>
    <d v="1997-03-24T00:00:00"/>
    <d v="2022-01-11T00:00:00"/>
    <x v="4"/>
    <s v="Rekruter"/>
    <s v="Junior"/>
    <s v="Samarqand"/>
    <n v="3110000"/>
    <n v="5"/>
    <x v="2"/>
    <n v="23"/>
    <x v="0"/>
    <s v="O'rta maxsus"/>
    <x v="0"/>
    <m/>
    <x v="0"/>
    <n v="29"/>
    <n v="4.7173169062286107"/>
    <s v="Nodira Tursunova"/>
    <n v="0"/>
    <x v="0"/>
  </r>
  <r>
    <s v="EMP-0523"/>
    <s v="Sevara Hasanova"/>
    <s v="Ayol"/>
    <d v="1985-08-18T00:00:00"/>
    <d v="2025-07-31T00:00:00"/>
    <x v="5"/>
    <s v="Ombor mudiri"/>
    <s v="Junior"/>
    <s v="Toshkent"/>
    <n v="3110000"/>
    <n v="4"/>
    <x v="4"/>
    <n v="21"/>
    <x v="0"/>
    <s v="Bakalavr"/>
    <x v="1"/>
    <d v="2026-06-10T00:00:00"/>
    <x v="2"/>
    <n v="41"/>
    <n v="0.85968514715947986"/>
    <s v="Sardor Nazarov"/>
    <n v="1"/>
    <x v="2"/>
  </r>
  <r>
    <s v="EMP-0515"/>
    <s v="Jasur Nazarov"/>
    <s v="Erkak"/>
    <d v="1978-01-02T00:00:00"/>
    <d v="2024-10-16T00:00:00"/>
    <x v="6"/>
    <s v="Call-markaz operatori"/>
    <s v="Junior"/>
    <s v="Qarshi"/>
    <n v="3090000"/>
    <n v="4"/>
    <x v="0"/>
    <n v="5"/>
    <x v="2"/>
    <s v="Bakalavr"/>
    <x v="0"/>
    <m/>
    <x v="0"/>
    <n v="48"/>
    <n v="1.9548254620123204"/>
    <s v="Shahlo Ismoilova"/>
    <n v="0"/>
    <x v="1"/>
  </r>
  <r>
    <s v="EMP-0203"/>
    <s v="Gulnora Ismoilova"/>
    <s v="Ayol"/>
    <d v="2000-06-18T00:00:00"/>
    <d v="2024-05-18T00:00:00"/>
    <x v="2"/>
    <s v="Savdo vakili"/>
    <s v="Junior"/>
    <s v="Buxoro"/>
    <n v="3070000"/>
    <n v="3"/>
    <x v="2"/>
    <n v="7"/>
    <x v="2"/>
    <s v="Bakalavr"/>
    <x v="0"/>
    <m/>
    <x v="0"/>
    <n v="26"/>
    <n v="2.3682409308692676"/>
    <s v="Aziz Karimov"/>
    <n v="0"/>
    <x v="1"/>
  </r>
  <r>
    <s v="EMP-0232"/>
    <s v="Ulugbek Ismoilov"/>
    <s v="Erkak"/>
    <d v="1987-11-21T00:00:00"/>
    <d v="2020-01-28T00:00:00"/>
    <x v="6"/>
    <s v="Mijozlar bilan ishlash mutaxassisi"/>
    <s v="Junior"/>
    <s v="Farg'ona"/>
    <n v="3060000"/>
    <n v="1"/>
    <x v="1"/>
    <n v="23"/>
    <x v="1"/>
    <s v="Bakalavr"/>
    <x v="1"/>
    <d v="2025-09-02T00:00:00"/>
    <x v="3"/>
    <n v="38"/>
    <n v="5.5961670088980151"/>
    <s v="Shahlo Ismoilova"/>
    <n v="1"/>
    <x v="0"/>
  </r>
  <r>
    <s v="EMP-0319"/>
    <s v="Ulugbek Tursunov"/>
    <s v="Erkak"/>
    <d v="1997-08-24T00:00:00"/>
    <d v="2022-01-10T00:00:00"/>
    <x v="5"/>
    <s v="Logist"/>
    <s v="Junior"/>
    <s v="Andijon"/>
    <n v="3060000"/>
    <n v="5"/>
    <x v="0"/>
    <n v="19"/>
    <x v="2"/>
    <m/>
    <x v="0"/>
    <m/>
    <x v="0"/>
    <n v="29"/>
    <n v="4.7200547570157427"/>
    <s v="Sardor Nazarov"/>
    <n v="0"/>
    <x v="0"/>
  </r>
  <r>
    <s v="EMP-0026"/>
    <s v="Madina Qodirova"/>
    <s v="Ayol"/>
    <d v="1995-04-17T00:00:00"/>
    <d v="2017-12-16T00:00:00"/>
    <x v="6"/>
    <s v="Call-markaz operatori"/>
    <s v="Junior"/>
    <s v="Toshkent"/>
    <n v="3040000"/>
    <n v="2"/>
    <x v="4"/>
    <n v="30"/>
    <x v="2"/>
    <s v="Magistr"/>
    <x v="1"/>
    <d v="2026-06-26T00:00:00"/>
    <x v="3"/>
    <n v="31"/>
    <n v="8.5256673511293641"/>
    <s v="Shahlo Ismoilova"/>
    <n v="1"/>
    <x v="0"/>
  </r>
  <r>
    <s v="EMP-0438"/>
    <s v="Doniyor Yusupov"/>
    <s v="Erkak"/>
    <d v="1987-09-13T00:00:00"/>
    <d v="2026-05-05T00:00:00"/>
    <x v="6"/>
    <s v="Call-markaz operatori"/>
    <s v="Junior"/>
    <s v="Namangan"/>
    <n v="3040000"/>
    <n v="4"/>
    <x v="3"/>
    <n v="19"/>
    <x v="2"/>
    <s v="O'rta maxsus"/>
    <x v="0"/>
    <m/>
    <x v="0"/>
    <n v="39"/>
    <n v="0.40520191649555098"/>
    <s v="Shahlo Ismoilova"/>
    <n v="0"/>
    <x v="2"/>
  </r>
  <r>
    <s v="EMP-0628"/>
    <s v="Otabek Ergashev"/>
    <s v="Erkak"/>
    <d v="1991-09-11T00:00:00"/>
    <d v="2020-05-07T00:00:00"/>
    <x v="5"/>
    <s v="Ombor mudiri"/>
    <s v="Junior"/>
    <s v="Samarqand"/>
    <n v="3040000"/>
    <m/>
    <x v="3"/>
    <n v="22"/>
    <x v="0"/>
    <s v="Magistr"/>
    <x v="0"/>
    <m/>
    <x v="0"/>
    <n v="35"/>
    <n v="6.3983572895277208"/>
    <s v="Sardor Nazarov"/>
    <n v="0"/>
    <x v="0"/>
  </r>
  <r>
    <s v="EMP-0355"/>
    <s v="Bobur Yusupov"/>
    <s v="Erkak"/>
    <d v="1993-09-22T00:00:00"/>
    <d v="2017-05-22T00:00:00"/>
    <x v="6"/>
    <s v="Call-markaz operatori"/>
    <s v="Junior"/>
    <s v="Toshkent"/>
    <n v="3010000"/>
    <n v="5"/>
    <x v="3"/>
    <n v="11"/>
    <x v="2"/>
    <s v="Bakalavr"/>
    <x v="1"/>
    <d v="2026-04-16T00:00:00"/>
    <x v="4"/>
    <n v="33"/>
    <n v="8.9007529089664619"/>
    <s v="Shahlo Ismoilova"/>
    <n v="1"/>
    <x v="0"/>
  </r>
  <r>
    <s v="EMP-0679"/>
    <s v="Timur Mirzayev"/>
    <s v="Erkak"/>
    <d v="1996-08-09T00:00:00"/>
    <d v="2025-06-26T00:00:00"/>
    <x v="6"/>
    <s v="Mijozlar bilan ishlash mutaxassisi"/>
    <s v="Junior"/>
    <s v="Toshkent"/>
    <n v="3010000"/>
    <n v="4"/>
    <x v="3"/>
    <n v="17"/>
    <x v="0"/>
    <s v="Bakalavr"/>
    <x v="0"/>
    <m/>
    <x v="0"/>
    <n v="30"/>
    <n v="1.2621492128678986"/>
    <s v="Shahlo Ismoilova"/>
    <n v="0"/>
    <x v="1"/>
  </r>
  <r>
    <s v="EMP-0762"/>
    <s v="Bobur Mirzayev"/>
    <s v="Erkak"/>
    <d v="1991-08-22T00:00:00"/>
    <d v="2020-05-09T00:00:00"/>
    <x v="6"/>
    <s v="Call-markaz operatori"/>
    <s v="Junior"/>
    <s v="Andijon"/>
    <n v="3000000"/>
    <n v="4"/>
    <x v="0"/>
    <n v="4"/>
    <x v="1"/>
    <s v="Magistr"/>
    <x v="0"/>
    <m/>
    <x v="0"/>
    <n v="35"/>
    <n v="6.3928815879534566"/>
    <s v="Shahlo Ismoilova"/>
    <n v="0"/>
    <x v="0"/>
  </r>
  <r>
    <s v="EMP-0780"/>
    <s v="Sevara Yusupova"/>
    <s v="Ayol"/>
    <d v="1995-06-03T00:00:00"/>
    <d v="2026-05-10T00:00:00"/>
    <x v="6"/>
    <s v="Call-markaz operatori"/>
    <s v="Junior"/>
    <s v="Samarqand"/>
    <n v="2990000"/>
    <n v="2"/>
    <x v="1"/>
    <n v="24"/>
    <x v="1"/>
    <s v="O'rta maxsus"/>
    <x v="1"/>
    <d v="2026-08-29T00:00:00"/>
    <x v="7"/>
    <n v="31"/>
    <n v="0.30390143737166325"/>
    <s v="Shahlo Ismoilova"/>
    <n v="1"/>
    <x v="2"/>
  </r>
  <r>
    <s v="EMP-0528"/>
    <s v="Mohira Sobirova"/>
    <s v="Ayol"/>
    <d v="1986-12-18T00:00:00"/>
    <d v="2022-12-10T00:00:00"/>
    <x v="6"/>
    <s v="Call-markaz operatori"/>
    <s v="Junior"/>
    <s v="Andijon"/>
    <n v="2970000"/>
    <n v="1"/>
    <x v="2"/>
    <n v="4"/>
    <x v="0"/>
    <s v="Bakalavr"/>
    <x v="0"/>
    <m/>
    <x v="0"/>
    <n v="39"/>
    <n v="3.805612594113621"/>
    <s v="Shahlo Ismoilova"/>
    <n v="0"/>
    <x v="0"/>
  </r>
  <r>
    <s v="EMP-0115"/>
    <s v="Dilshod Karimov"/>
    <s v="Erkak"/>
    <d v="1995-10-17T00:00:00"/>
    <d v="2022-02-10T00:00:00"/>
    <x v="5"/>
    <s v="Logist"/>
    <s v="Junior"/>
    <s v="Toshkent"/>
    <n v="2950000"/>
    <n v="4"/>
    <x v="2"/>
    <n v="25"/>
    <x v="2"/>
    <s v="Magistr"/>
    <x v="0"/>
    <m/>
    <x v="0"/>
    <n v="30"/>
    <n v="4.6351813826146477"/>
    <s v="Sardor Nazarov"/>
    <n v="0"/>
    <x v="0"/>
  </r>
  <r>
    <s v="EMP-0022"/>
    <s v="Malika Mirzayeva"/>
    <s v="Ayol"/>
    <d v="1988-04-04T00:00:00"/>
    <d v="2019-06-19T00:00:00"/>
    <x v="6"/>
    <s v="Mijozlar bilan ishlash mutaxassisi"/>
    <s v="Junior"/>
    <s v="Toshkent"/>
    <n v="2900000"/>
    <n v="3"/>
    <x v="0"/>
    <n v="24"/>
    <x v="0"/>
    <s v="Bakalavr"/>
    <x v="0"/>
    <m/>
    <x v="0"/>
    <n v="38"/>
    <n v="7.2826830937713893"/>
    <s v="Shahlo Ismoilova"/>
    <n v="0"/>
    <x v="0"/>
  </r>
  <r>
    <s v="EMP-0195"/>
    <s v="Behruz Yusupov"/>
    <s v="Erkak"/>
    <d v="1995-01-27T00:00:00"/>
    <d v="2020-03-30T00:00:00"/>
    <x v="5"/>
    <s v="Ombor mudiri"/>
    <s v="Junior"/>
    <s v="Samarqand"/>
    <n v="2890000"/>
    <n v="3"/>
    <x v="1"/>
    <n v="12"/>
    <x v="0"/>
    <s v="O'rta maxsus"/>
    <x v="1"/>
    <d v="2026-04-25T00:00:00"/>
    <x v="1"/>
    <n v="31"/>
    <n v="6.0698151950718682"/>
    <s v="Sardor Nazarov"/>
    <n v="1"/>
    <x v="0"/>
  </r>
  <r>
    <s v="EMP-0656"/>
    <s v="Otabek Ergashev"/>
    <s v="Erkak"/>
    <d v="1991-10-22T00:00:00"/>
    <d v="2022-08-31T00:00:00"/>
    <x v="4"/>
    <s v="HR menejer"/>
    <s v="Junior"/>
    <s v="Toshkent"/>
    <n v="2860000"/>
    <n v="3"/>
    <x v="0"/>
    <n v="18"/>
    <x v="0"/>
    <s v="Bakalavr"/>
    <x v="0"/>
    <m/>
    <x v="0"/>
    <n v="34"/>
    <n v="4.0821355236139629"/>
    <s v="Nodira Tursunova"/>
    <n v="0"/>
    <x v="0"/>
  </r>
  <r>
    <s v="EMP-0235"/>
    <s v="Sardor Ergashev"/>
    <s v="Erkak"/>
    <d v="1987-10-21T00:00:00"/>
    <d v="2017-05-09T00:00:00"/>
    <x v="5"/>
    <s v="Haydovchi-ekspeditor"/>
    <s v="Junior"/>
    <s v="Toshkent"/>
    <n v="2820000"/>
    <n v="3"/>
    <x v="4"/>
    <n v="2"/>
    <x v="0"/>
    <s v="Bakalavr"/>
    <x v="1"/>
    <d v="2025-03-18T00:00:00"/>
    <x v="1"/>
    <n v="38"/>
    <n v="7.8576317590691307"/>
    <s v="Sardor Nazarov"/>
    <n v="1"/>
    <x v="0"/>
  </r>
  <r>
    <s v="EMP-0693"/>
    <s v="Sardor Mirzayev"/>
    <s v="Erkak"/>
    <d v="1992-02-17T00:00:00"/>
    <d v="2022-05-08T00:00:00"/>
    <x v="6"/>
    <s v="Mijozlar bilan ishlash mutaxassisi"/>
    <s v="Junior"/>
    <s v="Samarqand"/>
    <n v="2800000"/>
    <n v="4"/>
    <x v="0"/>
    <n v="31"/>
    <x v="2"/>
    <s v="Bakalavr"/>
    <x v="0"/>
    <m/>
    <x v="0"/>
    <n v="34"/>
    <n v="4.3969883641341543"/>
    <s v="Shahlo Ismoilova"/>
    <n v="0"/>
    <x v="0"/>
  </r>
  <r>
    <s v="EMP-0185"/>
    <s v="Rustam Ergashev"/>
    <s v="Erkak"/>
    <d v="2001-09-23T00:00:00"/>
    <d v="2024-08-07T00:00:00"/>
    <x v="5"/>
    <s v="Haydovchi-ekspeditor"/>
    <s v="Junior"/>
    <s v="Toshkent"/>
    <n v="2790000"/>
    <n v="4"/>
    <x v="3"/>
    <n v="32"/>
    <x v="0"/>
    <s v="Bakalavr"/>
    <x v="1"/>
    <d v="2026-07-06T00:00:00"/>
    <x v="1"/>
    <n v="25"/>
    <n v="1.9110198494182067"/>
    <s v="Sardor Nazarov"/>
    <n v="1"/>
    <x v="1"/>
  </r>
  <r>
    <s v="EMP-0420"/>
    <s v="Mohira Normatova"/>
    <s v="Ayol"/>
    <d v="1985-03-17T00:00:00"/>
    <d v="2024-10-26T00:00:00"/>
    <x v="6"/>
    <s v="Call-markaz operatori"/>
    <s v="Junior"/>
    <s v="Samarqand"/>
    <n v="2760000"/>
    <n v="3"/>
    <x v="3"/>
    <n v="9"/>
    <x v="0"/>
    <s v="Bakalavr"/>
    <x v="0"/>
    <m/>
    <x v="0"/>
    <n v="41"/>
    <n v="1.9274469541409993"/>
    <s v="Shahlo Ismoilova"/>
    <n v="0"/>
    <x v="1"/>
  </r>
  <r>
    <s v="EMP-0331"/>
    <s v="Sevara Normatova"/>
    <s v="Ayol"/>
    <d v="2005-05-06T00:00:00"/>
    <d v="2025-07-19T00:00:00"/>
    <x v="6"/>
    <s v="Mijozlar bilan ishlash mutaxassisi"/>
    <s v="Junior"/>
    <s v="Namangan"/>
    <n v="2750000"/>
    <n v="5"/>
    <x v="2"/>
    <n v="16"/>
    <x v="0"/>
    <s v="Magistr"/>
    <x v="1"/>
    <d v="2026-09-02T00:00:00"/>
    <x v="1"/>
    <n v="21"/>
    <n v="1.1225188227241616"/>
    <s v="Shahlo Ismoilova"/>
    <n v="1"/>
    <x v="1"/>
  </r>
  <r>
    <s v="EMP-0703"/>
    <s v="Jahongir Mirzayev"/>
    <s v="Erkak"/>
    <d v="2002-12-04T00:00:00"/>
    <d v="2026-08-05T00:00:00"/>
    <x v="6"/>
    <s v="Mijozlar bilan ishlash mutaxassisi"/>
    <s v="Junior"/>
    <s v="Toshkent"/>
    <n v="2750000"/>
    <n v="5"/>
    <x v="3"/>
    <n v="3"/>
    <x v="2"/>
    <s v="Bakalavr"/>
    <x v="0"/>
    <m/>
    <x v="0"/>
    <n v="23"/>
    <n v="0.15331964407939766"/>
    <s v="Shahlo Ismoilova"/>
    <n v="0"/>
    <x v="2"/>
  </r>
  <r>
    <s v="EMP-0477"/>
    <s v="Nigora Karimova"/>
    <s v="Ayol"/>
    <d v="1992-02-02T00:00:00"/>
    <d v="2024-10-30T00:00:00"/>
    <x v="5"/>
    <s v="Logist"/>
    <s v="Junior"/>
    <s v="Toshkent"/>
    <n v="2710000"/>
    <n v="2"/>
    <x v="3"/>
    <n v="8"/>
    <x v="0"/>
    <s v="Magistr"/>
    <x v="1"/>
    <d v="2026-03-31T00:00:00"/>
    <x v="6"/>
    <n v="34"/>
    <n v="1.4154688569472964"/>
    <s v="Sardor Nazarov"/>
    <n v="1"/>
    <x v="1"/>
  </r>
  <r>
    <s v="EMP-0601"/>
    <s v="Sevara Umarova"/>
    <s v="Ayol"/>
    <d v="1987-11-10T00:00:00"/>
    <d v="2018-01-19T00:00:00"/>
    <x v="6"/>
    <s v="Mijozlar bilan ishlash mutaxassisi"/>
    <s v="Junior"/>
    <s v="Namangan"/>
    <n v="2690000"/>
    <n v="3"/>
    <x v="1"/>
    <n v="12"/>
    <x v="0"/>
    <s v="Magistr"/>
    <x v="0"/>
    <m/>
    <x v="0"/>
    <n v="38"/>
    <n v="8.6954140999315541"/>
    <s v="Shahlo Ismoilova"/>
    <n v="0"/>
    <x v="0"/>
  </r>
  <r>
    <s v="EMP-0156"/>
    <s v="Aziza Yusupova"/>
    <s v="Ayol"/>
    <d v="1998-12-25T00:00:00"/>
    <d v="2023-01-05T00:00:00"/>
    <x v="6"/>
    <s v="Mijozlar bilan ishlash mutaxassisi"/>
    <s v="Junior"/>
    <s v="Buxoro"/>
    <n v="2640000"/>
    <n v="3"/>
    <x v="2"/>
    <n v="8"/>
    <x v="0"/>
    <s v="Bakalavr"/>
    <x v="0"/>
    <m/>
    <x v="0"/>
    <n v="27"/>
    <n v="3.7344284736481863"/>
    <s v="Shahlo Ismoilova"/>
    <n v="0"/>
    <x v="0"/>
  </r>
  <r>
    <s v="EMP-0303"/>
    <s v="Islom Mirzayev"/>
    <s v="Erkak"/>
    <d v="1991-10-27T00:00:00"/>
    <d v="2022-07-18T00:00:00"/>
    <x v="6"/>
    <s v="Call-markaz operatori"/>
    <s v="Junior"/>
    <s v="Farg'ona"/>
    <n v="2600000"/>
    <n v="4"/>
    <x v="0"/>
    <n v="13"/>
    <x v="1"/>
    <s v="Bakalavr"/>
    <x v="0"/>
    <m/>
    <x v="0"/>
    <n v="34"/>
    <n v="4.2026009582477757"/>
    <s v="Shahlo Ismoilova"/>
    <n v="0"/>
    <x v="0"/>
  </r>
  <r>
    <s v="EMP-0267"/>
    <s v="Doniyor Nazarov"/>
    <s v="Erkak"/>
    <d v="2001-12-28T00:00:00"/>
    <d v="2022-11-17T00:00:00"/>
    <x v="6"/>
    <s v="Mijozlar bilan ishlash mutaxassisi"/>
    <s v="Junior"/>
    <s v="Toshkent"/>
    <n v="2590000"/>
    <n v="5"/>
    <x v="2"/>
    <n v="14"/>
    <x v="0"/>
    <s v="Magistr"/>
    <x v="1"/>
    <d v="2025-03-11T00:00:00"/>
    <x v="7"/>
    <n v="24"/>
    <n v="2.3134839151266258"/>
    <s v="Shahlo Ismoilova"/>
    <n v="1"/>
    <x v="1"/>
  </r>
  <r>
    <s v="EMP-0381"/>
    <s v="Otabek Normatov"/>
    <s v="Erkak"/>
    <d v="2006-03-17T00:00:00"/>
    <d v="2026-04-20T00:00:00"/>
    <x v="6"/>
    <s v="Mijozlar bilan ishlash mutaxassisi"/>
    <s v="Junior"/>
    <s v="Samarqand"/>
    <n v="2580000"/>
    <n v="5"/>
    <x v="3"/>
    <n v="11"/>
    <x v="1"/>
    <s v="Magistr"/>
    <x v="0"/>
    <m/>
    <x v="0"/>
    <n v="20"/>
    <n v="0.4462696783025325"/>
    <s v="Shahlo Ismoilova"/>
    <n v="0"/>
    <x v="2"/>
  </r>
  <r>
    <s v="EMP-0394"/>
    <s v="Dilfuza Umarova"/>
    <s v="Ayol"/>
    <d v="2004-12-07T00:00:00"/>
    <d v="2025-09-19T00:00:00"/>
    <x v="6"/>
    <s v="Mijozlar bilan ishlash mutaxassisi"/>
    <s v="Junior"/>
    <s v="Toshkent"/>
    <n v="2540000"/>
    <n v="5"/>
    <x v="4"/>
    <n v="15"/>
    <x v="0"/>
    <s v="Bakalavr"/>
    <x v="1"/>
    <d v="2026-06-29T00:00:00"/>
    <x v="7"/>
    <n v="21"/>
    <n v="0.77481177275838464"/>
    <s v="Shahlo Ismoilova"/>
    <n v="1"/>
    <x v="2"/>
  </r>
  <r>
    <s v="EMP-0627"/>
    <s v="Dilnoza Yusupova"/>
    <s v="Ayol"/>
    <d v="2003-05-11T00:00:00"/>
    <d v="2025-01-13T00:00:00"/>
    <x v="6"/>
    <s v="Mijozlar bilan ishlash mutaxassisi"/>
    <s v="Junior"/>
    <s v="Toshkent"/>
    <n v="2540000"/>
    <n v="4"/>
    <x v="0"/>
    <n v="14"/>
    <x v="2"/>
    <s v="O'rta maxsus"/>
    <x v="1"/>
    <d v="2025-06-11T00:00:00"/>
    <x v="1"/>
    <n v="23"/>
    <n v="0.40793976728268311"/>
    <s v="Shahlo Ismoilova"/>
    <n v="1"/>
    <x v="2"/>
  </r>
  <r>
    <s v="EMP-0103"/>
    <s v="Doniyor Normatov"/>
    <s v="Erkak"/>
    <d v="2001-03-09T00:00:00"/>
    <d v="2023-02-20T00:00:00"/>
    <x v="6"/>
    <s v="Mijozlar bilan ishlash mutaxassisi"/>
    <s v="Junior"/>
    <s v="Namangan"/>
    <n v="2530000"/>
    <n v="2"/>
    <x v="0"/>
    <n v="11"/>
    <x v="0"/>
    <s v="Magistr"/>
    <x v="0"/>
    <m/>
    <x v="0"/>
    <n v="25"/>
    <n v="3.6084873374401094"/>
    <s v="Shahlo Ismoilova"/>
    <n v="0"/>
    <x v="0"/>
  </r>
  <r>
    <s v="EMP-0117"/>
    <s v="Ulugbek Saidov"/>
    <s v="Erkak"/>
    <d v="1987-06-08T00:00:00"/>
    <d v="2022-12-23T00:00:00"/>
    <x v="6"/>
    <s v="Call-markaz operatori"/>
    <s v="Junior"/>
    <s v="Toshkent"/>
    <n v="2510000"/>
    <n v="3"/>
    <x v="3"/>
    <n v="24"/>
    <x v="0"/>
    <s v="Magistr"/>
    <x v="0"/>
    <m/>
    <x v="0"/>
    <n v="39"/>
    <n v="3.7700205338809036"/>
    <s v="Shahlo Ismoilova"/>
    <n v="0"/>
    <x v="0"/>
  </r>
  <r>
    <s v="EMP-0333"/>
    <s v="Otabek Karimov"/>
    <s v="Erkak"/>
    <d v="1996-05-10T00:00:00"/>
    <d v="2024-11-23T00:00:00"/>
    <x v="6"/>
    <s v="Call-markaz operatori"/>
    <s v="Junior"/>
    <s v="Buxoro"/>
    <n v="2510000"/>
    <n v="5"/>
    <x v="4"/>
    <n v="9"/>
    <x v="2"/>
    <s v="Bakalavr"/>
    <x v="0"/>
    <m/>
    <x v="0"/>
    <n v="30"/>
    <n v="1.8507871321013005"/>
    <s v="Shahlo Ismoilova"/>
    <n v="0"/>
    <x v="1"/>
  </r>
  <r>
    <s v="EMP-0046"/>
    <s v="Zilola Ergasheva"/>
    <s v="Ayol"/>
    <d v="1992-07-08T00:00:00"/>
    <d v="2016-07-22T00:00:00"/>
    <x v="6"/>
    <s v="Mijozlar bilan ishlash mutaxassisi"/>
    <s v="Junior"/>
    <s v="Toshkent"/>
    <n v="2500000"/>
    <n v="5"/>
    <x v="3"/>
    <n v="11"/>
    <x v="1"/>
    <s v="Magistr"/>
    <x v="0"/>
    <m/>
    <x v="0"/>
    <n v="34"/>
    <n v="10.190280629705681"/>
    <s v="Shahlo Ismoilova"/>
    <n v="0"/>
    <x v="0"/>
  </r>
  <r>
    <s v="EMP-0078"/>
    <s v="Akmal Ergashev"/>
    <s v="Erkak"/>
    <d v="1995-02-21T00:00:00"/>
    <d v="2021-09-01T00:00:00"/>
    <x v="6"/>
    <s v="Mijozlar bilan ishlash mutaxassisi"/>
    <s v="Junior"/>
    <s v="Toshkent"/>
    <n v="2450000"/>
    <n v="3"/>
    <x v="0"/>
    <n v="22"/>
    <x v="0"/>
    <s v="O'rta maxsus"/>
    <x v="0"/>
    <m/>
    <x v="0"/>
    <n v="31"/>
    <n v="5.0787132101300481"/>
    <s v="Shahlo Ismoilova"/>
    <n v="0"/>
    <x v="0"/>
  </r>
  <r>
    <s v="EMP-0513"/>
    <s v="Shaxzod Abdullayev"/>
    <s v="Erkak"/>
    <d v="1994-03-05T00:00:00"/>
    <d v="2026-02-28T00:00:00"/>
    <x v="6"/>
    <s v="Mijozlar bilan ishlash mutaxassisi"/>
    <s v="Junior"/>
    <s v="Toshkent"/>
    <n v="2430000"/>
    <n v="3"/>
    <x v="3"/>
    <n v="26"/>
    <x v="0"/>
    <s v="Bakalavr"/>
    <x v="1"/>
    <d v="2026-07-01T00:00:00"/>
    <x v="3"/>
    <n v="32"/>
    <n v="0.33675564681724846"/>
    <s v="Shahlo Ismoilova"/>
    <n v="1"/>
    <x v="2"/>
  </r>
  <r>
    <s v="EMP-0105"/>
    <s v="Jasur Tursunov"/>
    <s v="Erkak"/>
    <d v="1991-11-25T00:00:00"/>
    <d v="2020-11-10T00:00:00"/>
    <x v="6"/>
    <s v="Call-markaz operatori"/>
    <s v="Junior"/>
    <s v="Toshkent"/>
    <n v="2410000"/>
    <n v="3"/>
    <x v="0"/>
    <n v="9"/>
    <x v="2"/>
    <s v="Bakalavr"/>
    <x v="0"/>
    <m/>
    <x v="0"/>
    <n v="34"/>
    <n v="5.8863791923340179"/>
    <s v="Shahlo Ismoilova"/>
    <n v="0"/>
    <x v="0"/>
  </r>
  <r>
    <s v="EMP-0318"/>
    <s v="Aziz Ismoilov"/>
    <s v="Erkak"/>
    <d v="1990-11-13T00:00:00"/>
    <d v="2025-03-17T00:00:00"/>
    <x v="5"/>
    <s v="Ombor mudiri"/>
    <s v="Middle"/>
    <s v="Toshkent"/>
    <m/>
    <n v="2"/>
    <x v="1"/>
    <n v="38"/>
    <x v="0"/>
    <s v="Bakalavr"/>
    <x v="0"/>
    <m/>
    <x v="0"/>
    <n v="35"/>
    <n v="1.538672142368241"/>
    <s v="Sardor Nazarov"/>
    <n v="0"/>
    <x v="1"/>
  </r>
  <r>
    <s v="EMP-0768"/>
    <s v="Nigora Tursunova"/>
    <s v="Ayol"/>
    <d v="2004-09-15T00:00:00"/>
    <d v="2025-04-18T00:00:00"/>
    <x v="3"/>
    <s v="Kassir"/>
    <s v="Junior"/>
    <s v="Toshkent"/>
    <m/>
    <n v="4"/>
    <x v="1"/>
    <n v="2"/>
    <x v="1"/>
    <s v="Bakalavr"/>
    <x v="1"/>
    <d v="2026-05-26T00:00:00"/>
    <x v="1"/>
    <n v="22"/>
    <n v="1.1033538672142369"/>
    <s v="Madina Abdullayeva"/>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FA942-F2A7-46E6-A815-7314C5749ED6}"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J31" firstHeaderRow="1" firstDataRow="1" firstDataCol="1"/>
  <pivotFields count="23">
    <pivotField dataField="1" showAll="0"/>
    <pivotField showAll="0"/>
    <pivotField showAll="0"/>
    <pivotField numFmtId="14" showAll="0"/>
    <pivotField numFmtId="14" showAll="0"/>
    <pivotField axis="axisRow" showAll="0">
      <items count="8">
        <item x="4"/>
        <item x="0"/>
        <item x="5"/>
        <item x="1"/>
        <item x="6"/>
        <item x="3"/>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numFmtId="1" showAll="0"/>
    <pivotField showAll="0"/>
    <pivotField showAll="0"/>
    <pivotField showAll="0"/>
  </pivotFields>
  <rowFields count="1">
    <field x="5"/>
  </rowFields>
  <rowItems count="8">
    <i>
      <x/>
    </i>
    <i>
      <x v="1"/>
    </i>
    <i>
      <x v="2"/>
    </i>
    <i>
      <x v="3"/>
    </i>
    <i>
      <x v="4"/>
    </i>
    <i>
      <x v="5"/>
    </i>
    <i>
      <x v="6"/>
    </i>
    <i t="grand">
      <x/>
    </i>
  </rowItems>
  <colItems count="1">
    <i/>
  </colItems>
  <dataFields count="1">
    <dataField name="Count of Xodi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AB024-590B-480F-8063-953576F4FC99}"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2" firstHeaderRow="1" firstDataRow="1" firstDataCol="1"/>
  <pivotFields count="23">
    <pivotField showAll="0"/>
    <pivotField showAll="0"/>
    <pivotField showAll="0"/>
    <pivotField numFmtId="14" showAll="0"/>
    <pivotField numFmtId="14" showAll="0"/>
    <pivotField showAll="0">
      <items count="8">
        <item x="4"/>
        <item x="0"/>
        <item x="5"/>
        <item x="1"/>
        <item x="6"/>
        <item x="3"/>
        <item x="2"/>
        <item t="default"/>
      </items>
    </pivotField>
    <pivotField showAll="0"/>
    <pivotField showAll="0"/>
    <pivotField showAll="0"/>
    <pivotField showAll="0"/>
    <pivotField showAll="0"/>
    <pivotField axis="axisRow" showAll="0">
      <items count="6">
        <item x="4"/>
        <item x="1"/>
        <item x="3"/>
        <item x="0"/>
        <item x="2"/>
        <item t="default"/>
      </items>
    </pivotField>
    <pivotField showAll="0"/>
    <pivotField showAll="0">
      <items count="4">
        <item x="2"/>
        <item x="1"/>
        <item x="0"/>
        <item t="default"/>
      </items>
    </pivotField>
    <pivotField showAll="0"/>
    <pivotField showAll="0"/>
    <pivotField showAll="0"/>
    <pivotField showAll="0"/>
    <pivotField showAll="0"/>
    <pivotField numFmtId="1" showAll="0"/>
    <pivotField showAll="0"/>
    <pivotField dataField="1" showAll="0"/>
    <pivotField showAll="0"/>
  </pivotFields>
  <rowFields count="1">
    <field x="11"/>
  </rowFields>
  <rowItems count="6">
    <i>
      <x/>
    </i>
    <i>
      <x v="1"/>
    </i>
    <i>
      <x v="2"/>
    </i>
    <i>
      <x v="3"/>
    </i>
    <i>
      <x v="4"/>
    </i>
    <i t="grand">
      <x/>
    </i>
  </rowItems>
  <colItems count="1">
    <i/>
  </colItems>
  <dataFields count="1">
    <dataField name="Average of Ishdan_ketganlar" fld="21" subtotal="average" baseField="1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1090D2-6174-4AE5-8C04-939D1B3F5A35}"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1:B54" firstHeaderRow="1" firstDataRow="1" firstDataCol="1"/>
  <pivotFields count="23">
    <pivotField showAll="0"/>
    <pivotField showAll="0"/>
    <pivotField showAll="0"/>
    <pivotField numFmtId="14" showAll="0"/>
    <pivotField numFmtId="14" showAll="0"/>
    <pivotField showAll="0">
      <items count="8">
        <item x="4"/>
        <item x="0"/>
        <item x="5"/>
        <item x="1"/>
        <item x="6"/>
        <item x="3"/>
        <item x="2"/>
        <item t="default"/>
      </items>
    </pivotField>
    <pivotField showAll="0"/>
    <pivotField showAll="0"/>
    <pivotField showAll="0"/>
    <pivotField dataField="1" showAll="0"/>
    <pivotField showAll="0"/>
    <pivotField showAll="0"/>
    <pivotField showAll="0"/>
    <pivotField showAll="0">
      <items count="4">
        <item x="2"/>
        <item x="1"/>
        <item x="0"/>
        <item t="default"/>
      </items>
    </pivotField>
    <pivotField showAll="0"/>
    <pivotField axis="axisRow" showAll="0" sortType="ascending">
      <items count="3">
        <item n="Ketgan" x="1"/>
        <item n="Ishlayotgan"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showAll="0"/>
  </pivotFields>
  <rowFields count="1">
    <field x="15"/>
  </rowFields>
  <rowItems count="3">
    <i>
      <x/>
    </i>
    <i>
      <x v="1"/>
    </i>
    <i t="grand">
      <x/>
    </i>
  </rowItems>
  <colItems count="1">
    <i/>
  </colItems>
  <dataFields count="1">
    <dataField name="Average of Oylik (so'm)" fld="9" subtotal="average" baseField="15" baseItem="0" numFmtId="3"/>
  </dataFields>
  <formats count="2">
    <format dxfId="6">
      <pivotArea outline="0" collapsedLevelsAreSubtotals="1" fieldPosition="0"/>
    </format>
    <format dxfId="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210C45-4534-42BD-AC1F-EE10453181A0}"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8:B46" firstHeaderRow="1" firstDataRow="1" firstDataCol="1" rowPageCount="1" colPageCount="1"/>
  <pivotFields count="23">
    <pivotField dataField="1" showAll="0"/>
    <pivotField showAll="0"/>
    <pivotField showAll="0"/>
    <pivotField numFmtId="14" showAll="0"/>
    <pivotField numFmtId="14" showAll="0"/>
    <pivotField showAll="0">
      <items count="8">
        <item x="4"/>
        <item x="0"/>
        <item x="5"/>
        <item x="1"/>
        <item x="6"/>
        <item x="3"/>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axis="axisPage" showAll="0">
      <items count="3">
        <item x="1"/>
        <item x="0"/>
        <item t="default"/>
      </items>
    </pivotField>
    <pivotField showAll="0"/>
    <pivotField axis="axisRow" showAll="0" sortType="ascending">
      <items count="9">
        <item x="6"/>
        <item x="2"/>
        <item x="3"/>
        <item x="7"/>
        <item x="1"/>
        <item x="4"/>
        <item x="5"/>
        <item h="1"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s>
  <rowFields count="1">
    <field x="17"/>
  </rowFields>
  <rowItems count="8">
    <i>
      <x v="6"/>
    </i>
    <i>
      <x/>
    </i>
    <i>
      <x v="1"/>
    </i>
    <i>
      <x v="2"/>
    </i>
    <i>
      <x v="4"/>
    </i>
    <i>
      <x v="5"/>
    </i>
    <i>
      <x v="3"/>
    </i>
    <i t="grand">
      <x/>
    </i>
  </rowItems>
  <colItems count="1">
    <i/>
  </colItems>
  <pageFields count="1">
    <pageField fld="15" hier="-1"/>
  </pageFields>
  <dataFields count="1">
    <dataField name="Count of Xodim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49E4F-5DFB-4D70-9D97-65D7B7B6F795}"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B33" firstHeaderRow="1" firstDataRow="1" firstDataCol="1"/>
  <pivotFields count="23">
    <pivotField showAll="0"/>
    <pivotField showAll="0"/>
    <pivotField showAll="0"/>
    <pivotField numFmtId="14" showAll="0"/>
    <pivotField numFmtId="14" showAll="0"/>
    <pivotField showAll="0">
      <items count="8">
        <item x="4"/>
        <item x="0"/>
        <item x="5"/>
        <item x="1"/>
        <item x="6"/>
        <item x="3"/>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numFmtId="1" showAll="0"/>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22"/>
  </rowFields>
  <rowItems count="4">
    <i>
      <x/>
    </i>
    <i>
      <x v="1"/>
    </i>
    <i>
      <x v="2"/>
    </i>
    <i t="grand">
      <x/>
    </i>
  </rowItems>
  <colItems count="1">
    <i/>
  </colItems>
  <dataFields count="1">
    <dataField name="Ishdan_ketganlar1" fld="21" subtotal="average" baseField="22" baseItem="0" numFmtId="9"/>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BD547-7BC6-41EA-8CD2-CD801B8FA97F}"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B24" firstHeaderRow="1" firstDataRow="1" firstDataCol="1"/>
  <pivotFields count="23">
    <pivotField showAll="0"/>
    <pivotField showAll="0"/>
    <pivotField showAll="0"/>
    <pivotField numFmtId="14" showAll="0"/>
    <pivotField numFmtId="14" showAll="0"/>
    <pivotField axis="axisRow" showAll="0" sortType="descending">
      <items count="8">
        <item x="4"/>
        <item x="0"/>
        <item x="5"/>
        <item x="1"/>
        <item x="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numFmtId="1" showAll="0"/>
    <pivotField showAll="0"/>
    <pivotField dataField="1" showAll="0"/>
    <pivotField showAll="0"/>
  </pivotFields>
  <rowFields count="1">
    <field x="5"/>
  </rowFields>
  <rowItems count="8">
    <i>
      <x v="4"/>
    </i>
    <i>
      <x v="6"/>
    </i>
    <i>
      <x v="5"/>
    </i>
    <i>
      <x v="1"/>
    </i>
    <i>
      <x v="2"/>
    </i>
    <i>
      <x v="3"/>
    </i>
    <i>
      <x/>
    </i>
    <i t="grand">
      <x/>
    </i>
  </rowItems>
  <colItems count="1">
    <i/>
  </colItems>
  <dataFields count="1">
    <dataField name="Average of Ishdan_ketganlar" fld="21" subtotal="average" baseField="0" baseItem="0" numFmtId="165"/>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7BCE1-585F-4824-8D38-EF84DE6C9AB5}"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 firstHeaderRow="1" firstDataRow="1" firstDataCol="1"/>
  <pivotFields count="23">
    <pivotField showAll="0"/>
    <pivotField showAll="0"/>
    <pivotField showAll="0"/>
    <pivotField numFmtId="14" showAll="0"/>
    <pivotField numFmtId="14" showAll="0"/>
    <pivotField axis="axisRow" showAll="0" sortType="descending">
      <items count="8">
        <item x="4"/>
        <item x="0"/>
        <item x="5"/>
        <item x="1"/>
        <item x="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numFmtId="1" showAll="0"/>
    <pivotField showAll="0"/>
    <pivotField dataField="1" showAll="0"/>
    <pivotField showAll="0"/>
  </pivotFields>
  <rowFields count="1">
    <field x="5"/>
  </rowFields>
  <rowItems count="8">
    <i>
      <x v="4"/>
    </i>
    <i>
      <x v="6"/>
    </i>
    <i>
      <x v="5"/>
    </i>
    <i>
      <x v="1"/>
    </i>
    <i>
      <x v="2"/>
    </i>
    <i>
      <x v="3"/>
    </i>
    <i>
      <x/>
    </i>
    <i t="grand">
      <x/>
    </i>
  </rowItems>
  <colItems count="1">
    <i/>
  </colItems>
  <dataFields count="1">
    <dataField name="Ishdan ketish foizi" fld="21" subtotal="average" baseField="5"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45BFDD-64D7-4CFB-85C3-093B4D06CCF1}" autoFormatId="16" applyNumberFormats="0" applyBorderFormats="0" applyFontFormats="0" applyPatternFormats="0" applyAlignmentFormats="0" applyWidthHeightFormats="0">
  <queryTableRefresh nextId="24" unboundColumnsRight="5">
    <queryTableFields count="23">
      <queryTableField id="1" name="Xodim_ID" tableColumnId="1"/>
      <queryTableField id="2" name="Ism_familiya" tableColumnId="2"/>
      <queryTableField id="3" name="Jins" tableColumnId="3"/>
      <queryTableField id="4" name="Tug'ilgan_sana" tableColumnId="4"/>
      <queryTableField id="5" name="Ishga_kirgan_sana" tableColumnId="5"/>
      <queryTableField id="6" name="Bo'lim" tableColumnId="6"/>
      <queryTableField id="7" name="Lavozim" tableColumnId="7"/>
      <queryTableField id="8" name="Daraja" tableColumnId="8"/>
      <queryTableField id="9" name="Shahar" tableColumnId="9"/>
      <queryTableField id="10" name="Oylik (so'm)" tableColumnId="10"/>
      <queryTableField id="11" name="Samaradorlik_bahosi (1-5)" tableColumnId="11"/>
      <queryTableField id="12" name="Mamnunlik_bahosi (1-5)" tableColumnId="12"/>
      <queryTableField id="13" name="Qo'shimcha_ish_soati (oyiga)" tableColumnId="13"/>
      <queryTableField id="14" name="Ish_formati" tableColumnId="14"/>
      <queryTableField id="15" name="Ta'lim" tableColumnId="15"/>
      <queryTableField id="16" name="Ishdan_ketgan" tableColumnId="16"/>
      <queryTableField id="17" name="Ketgan_sana" tableColumnId="17"/>
      <queryTableField id="18" name="Ketish_sababi"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_lim" xr10:uid="{EC526E6A-E361-46AA-8740-A716AABA00AF}" sourceName="Bo'lim">
  <pivotTables>
    <pivotTable tabId="6" name="PivotTable3"/>
    <pivotTable tabId="6" name="PivotTable4"/>
    <pivotTable tabId="6" name="PivotTable5"/>
    <pivotTable tabId="6" name="PivotTable6"/>
    <pivotTable tabId="6" name="PivotTable7"/>
    <pivotTable tabId="6" name="PivotTable1"/>
  </pivotTables>
  <data>
    <tabular pivotCacheId="1426493270">
      <items count="7">
        <i x="4" s="1"/>
        <i x="0" s="1"/>
        <i x="5" s="1"/>
        <i x="1"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h_formati" xr10:uid="{95117A06-AFDA-4598-9FCE-1DA8BF55BC1C}" sourceName="Ish_formati">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14264932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lim" xr10:uid="{FED5460D-E3EC-4E7D-9297-FBD670BA8963}" cache="Slicer_Bo_lim" caption="Bo'lim" columnCount="3" rowHeight="234950"/>
  <slicer name="Ish_formati" xr10:uid="{15AB227A-35EC-4DC9-B72A-C22C7FDACDB9}" cache="Slicer_Ish_formati" caption="Ish_formati"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3A8873-29F1-4CE4-986E-5C5F28D362AF}" name="Table1_1" displayName="Table1_1" ref="A1:W801" tableType="queryTable" totalsRowShown="0">
  <autoFilter ref="A1:W801" xr:uid="{613A8873-29F1-4CE4-986E-5C5F28D362AF}"/>
  <sortState xmlns:xlrd2="http://schemas.microsoft.com/office/spreadsheetml/2017/richdata2" ref="A2:W801">
    <sortCondition descending="1" ref="J1:J801"/>
  </sortState>
  <tableColumns count="23">
    <tableColumn id="1" xr3:uid="{138C6703-9576-4448-8D9B-5D483FA0AC6A}" uniqueName="1" name="Xodim_ID" queryTableFieldId="1" dataDxfId="41"/>
    <tableColumn id="2" xr3:uid="{F6E7C4B9-CE84-4633-AD21-7FB56C5F3DE6}" uniqueName="2" name="Ism_familiya" queryTableFieldId="2" dataDxfId="40"/>
    <tableColumn id="3" xr3:uid="{AA9CBBF4-BCF0-408C-837D-6C006B9FB85A}" uniqueName="3" name="Jins" queryTableFieldId="3" dataDxfId="39"/>
    <tableColumn id="4" xr3:uid="{3654EE45-5529-47DD-BAAE-06BEBA5ECF73}" uniqueName="4" name="Tug'ilgan_sana" queryTableFieldId="4" dataDxfId="3"/>
    <tableColumn id="5" xr3:uid="{33713E3D-05F4-4883-B1B4-6C2F707A196D}" uniqueName="5" name="Ishga_kirgan_sana" queryTableFieldId="5" dataDxfId="2"/>
    <tableColumn id="6" xr3:uid="{48765BF7-708B-4607-85E2-EC0BE268669A}" uniqueName="6" name="Bo'lim" queryTableFieldId="6" dataDxfId="38"/>
    <tableColumn id="7" xr3:uid="{99B07576-EBC4-47AB-BE06-8EA142DE5B2F}" uniqueName="7" name="Lavozim" queryTableFieldId="7" dataDxfId="37"/>
    <tableColumn id="8" xr3:uid="{0E851FD0-0B46-4533-8AE0-18F283AD52B3}" uniqueName="8" name="Daraja" queryTableFieldId="8" dataDxfId="36"/>
    <tableColumn id="9" xr3:uid="{9A96C946-2E15-4C88-A16F-4DD642D78EF9}" uniqueName="9" name="Shahar" queryTableFieldId="9" dataDxfId="35"/>
    <tableColumn id="10" xr3:uid="{C72F4554-AAF4-4EB3-B2F8-5A7F825FB269}" uniqueName="10" name="Oylik (so'm)" queryTableFieldId="10"/>
    <tableColumn id="11" xr3:uid="{7DEBA13E-D15E-47CF-A343-1F42C435A644}" uniqueName="11" name="Samaradorlik_bahosi (1-5)" queryTableFieldId="11"/>
    <tableColumn id="12" xr3:uid="{EC5D03D5-4ABB-4C5E-9C00-2D4857B27FA2}" uniqueName="12" name="Mamnunlik_bahosi (1-5)" queryTableFieldId="12"/>
    <tableColumn id="13" xr3:uid="{05BEA560-2250-4DC5-87D0-491777BEF47C}" uniqueName="13" name="Qo'shimcha_ish_soati (oyiga)" queryTableFieldId="13"/>
    <tableColumn id="14" xr3:uid="{F19E96C8-EC46-46C8-910F-5C06F3EEA266}" uniqueName="14" name="Ish_formati" queryTableFieldId="14" dataDxfId="34"/>
    <tableColumn id="15" xr3:uid="{721837C4-CC7D-4BB1-B33C-B89F16B0FDE5}" uniqueName="15" name="Ta'lim" queryTableFieldId="15" dataDxfId="33"/>
    <tableColumn id="16" xr3:uid="{6B3F09A3-96F9-48EE-B481-C1444787D9B9}" uniqueName="16" name="Ishdan_ketgan" queryTableFieldId="16" dataDxfId="32"/>
    <tableColumn id="17" xr3:uid="{509BC62B-8EF4-4EA0-991F-723C95D0F1F0}" uniqueName="17" name="Ketgan_sana" queryTableFieldId="17" dataDxfId="1"/>
    <tableColumn id="18" xr3:uid="{7E2A337D-9EB8-44F5-A4D8-CD0A5DE12D0A}" uniqueName="18" name="Ketish_sababi" queryTableFieldId="18" dataDxfId="31"/>
    <tableColumn id="19" xr3:uid="{0CC13404-A05A-4BEE-A77D-BB6D80F1F5EF}" uniqueName="19" name="Yosh" queryTableFieldId="19" dataDxfId="30">
      <calculatedColumnFormula>DATEDIF(D2,DATE(2026,9,30),"Y")</calculatedColumnFormula>
    </tableColumn>
    <tableColumn id="20" xr3:uid="{3FA8E67D-8398-4BD1-AEC3-CD6426FB4D82}" uniqueName="20" name="Staj_yil" queryTableFieldId="20" dataDxfId="0">
      <calculatedColumnFormula>(IF(Q2="",DATE(2026,9,30),Q2)-E2)/365.25</calculatedColumnFormula>
    </tableColumn>
    <tableColumn id="21" xr3:uid="{F563C533-8B03-4C8C-AD06-B1B146930DC8}" uniqueName="21" name="Bo'lim_rahbari" queryTableFieldId="21" dataDxfId="29">
      <calculatedColumnFormula>_xlfn.XLOOKUP(Table1_1[[#This Row],[Bo''lim]],Bolimlar!A:A,Bolimlar!B:B,"Topilmadi")</calculatedColumnFormula>
    </tableColumn>
    <tableColumn id="22" xr3:uid="{2E9236C9-41CD-4415-BA5A-05905118E7CA}" uniqueName="22" name="Ishdan_ketganlar" queryTableFieldId="22" dataDxfId="28">
      <calculatedColumnFormula>IF(P2="Ha",1,0)</calculatedColumnFormula>
    </tableColumn>
    <tableColumn id="23" xr3:uid="{80935E91-B9B7-4683-A60C-80E35D7D1CC5}" uniqueName="23" name="staj_guruhi" queryTableFieldId="23" dataDxfId="7">
      <calculatedColumnFormula>IF(T2&lt;1,"1 yildan kam",IF(T2&lt;3,"1-3 yil","3 yildan ko'p"))</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4A4C77-8EB4-493F-8EB6-C74D55214DF2}" name="Table1" displayName="Table1" ref="A1:R811" totalsRowShown="0" headerRowDxfId="27" dataDxfId="26">
  <autoFilter ref="A1:R811" xr:uid="{00000000-0009-0000-0000-000001000000}"/>
  <tableColumns count="18">
    <tableColumn id="1" xr3:uid="{E3839201-ACD8-4001-9E57-8920ACE37A0B}" name="Xodim_ID" dataDxfId="25"/>
    <tableColumn id="2" xr3:uid="{68C80E98-4D2C-4A58-A96D-E84D668B013D}" name="Ism_familiya" dataDxfId="24"/>
    <tableColumn id="3" xr3:uid="{F124AAC4-9A54-457A-9E46-CCC39BA76917}" name="Jins" dataDxfId="23"/>
    <tableColumn id="4" xr3:uid="{8AACF065-1B84-4639-BA85-918CF2E14BE6}" name="Tug'ilgan_sana" dataDxfId="22"/>
    <tableColumn id="5" xr3:uid="{CE081B26-374C-41C3-A816-18495635ECE4}" name="Ishga_kirgan_sana" dataDxfId="21"/>
    <tableColumn id="6" xr3:uid="{B016D750-BD30-4E0B-B681-05677488CA1A}" name="Bo'lim" dataDxfId="20"/>
    <tableColumn id="7" xr3:uid="{C73B7831-F3A5-4DD0-B875-DE3011A7F30A}" name="Lavozim" dataDxfId="19"/>
    <tableColumn id="8" xr3:uid="{2B23742F-728C-41E6-994D-4D867758E415}" name="Daraja" dataDxfId="18"/>
    <tableColumn id="9" xr3:uid="{08EE460A-069B-4FDD-893D-1C70ADA5E3D6}" name="Shahar" dataDxfId="17"/>
    <tableColumn id="10" xr3:uid="{E5A78BA9-D037-4C45-B4CF-4D4A0CFDB10F}" name="Oylik (so'm)" dataDxfId="16"/>
    <tableColumn id="11" xr3:uid="{EC2600D3-DF38-4519-B4E9-2CFAA99F81B3}" name="Samaradorlik_bahosi (1-5)" dataDxfId="15"/>
    <tableColumn id="12" xr3:uid="{46461595-D30D-4661-943F-0FD4777457BB}" name="Mamnunlik_bahosi (1-5)" dataDxfId="14"/>
    <tableColumn id="13" xr3:uid="{0E6294F4-99C7-4103-9234-A4F300105F5A}" name="Qo'shimcha_ish_soati (oyiga)" dataDxfId="13"/>
    <tableColumn id="14" xr3:uid="{58368152-E0D0-4967-85FD-89F6E3D62DD5}" name="Ish_formati" dataDxfId="12"/>
    <tableColumn id="15" xr3:uid="{DE0E4AF0-37C9-411E-8CCA-C5CA19068A41}" name="Ta'lim" dataDxfId="11"/>
    <tableColumn id="16" xr3:uid="{9DBF67F5-626B-4BE8-8B16-C95D2EA0E657}" name="Ishdan_ketgan" dataDxfId="10"/>
    <tableColumn id="17" xr3:uid="{C475E716-E1C9-4712-9AEF-E99709048ABE}" name="Ketgan_sana" dataDxfId="9"/>
    <tableColumn id="18" xr3:uid="{BD0A3484-5E11-4210-B135-22AC4A5A6B02}" name="Ketish_sababi"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E86C-5DBF-4F9A-82D6-AB8490A1DC94}">
  <dimension ref="C1:L7"/>
  <sheetViews>
    <sheetView showGridLines="0" showRowColHeaders="0" tabSelected="1" zoomScale="70" zoomScaleNormal="70" workbookViewId="0">
      <selection activeCell="B7" sqref="B7"/>
    </sheetView>
  </sheetViews>
  <sheetFormatPr defaultRowHeight="14.4" x14ac:dyDescent="0.3"/>
  <cols>
    <col min="1" max="2" width="8.88671875" style="14"/>
    <col min="3" max="3" width="23.5546875" style="14" customWidth="1"/>
    <col min="4" max="5" width="8.88671875" style="14"/>
    <col min="6" max="6" width="22" style="14" customWidth="1"/>
    <col min="7" max="7" width="8.88671875" style="14"/>
    <col min="8" max="8" width="9.33203125" style="14" customWidth="1"/>
    <col min="9" max="9" width="21" style="14" customWidth="1"/>
    <col min="10" max="11" width="8.88671875" style="14"/>
    <col min="12" max="12" width="22.77734375" style="14" bestFit="1" customWidth="1"/>
    <col min="13" max="16384" width="8.88671875" style="14"/>
  </cols>
  <sheetData>
    <row r="1" spans="3:12" x14ac:dyDescent="0.3">
      <c r="C1" s="12" t="s">
        <v>1327</v>
      </c>
      <c r="D1" s="13"/>
      <c r="E1" s="13"/>
      <c r="F1" s="13"/>
      <c r="G1" s="13"/>
      <c r="H1" s="13"/>
      <c r="I1" s="13"/>
      <c r="J1" s="13"/>
      <c r="K1" s="13"/>
      <c r="L1" s="13"/>
    </row>
    <row r="2" spans="3:12" x14ac:dyDescent="0.3">
      <c r="C2" s="13"/>
      <c r="D2" s="13"/>
      <c r="E2" s="13"/>
      <c r="F2" s="13"/>
      <c r="G2" s="13"/>
      <c r="H2" s="13"/>
      <c r="I2" s="13"/>
      <c r="J2" s="13"/>
      <c r="K2" s="13"/>
      <c r="L2" s="13"/>
    </row>
    <row r="3" spans="3:12" x14ac:dyDescent="0.3">
      <c r="C3" s="20"/>
      <c r="D3" s="20"/>
      <c r="E3" s="20"/>
      <c r="F3" s="20"/>
      <c r="G3" s="20"/>
      <c r="H3" s="20"/>
      <c r="I3" s="20"/>
      <c r="J3" s="13" t="s">
        <v>1328</v>
      </c>
      <c r="K3" s="13"/>
      <c r="L3" s="13"/>
    </row>
    <row r="5" spans="3:12" ht="18" x14ac:dyDescent="0.3">
      <c r="C5" s="16" t="s">
        <v>1323</v>
      </c>
      <c r="F5" s="16" t="s">
        <v>1320</v>
      </c>
      <c r="I5" s="16" t="s">
        <v>1326</v>
      </c>
      <c r="L5" s="16" t="s">
        <v>1321</v>
      </c>
    </row>
    <row r="6" spans="3:12" ht="25.8" x14ac:dyDescent="0.3">
      <c r="C6" s="17">
        <f>GETPIVOTDATA("Xodim_ID",Pivots!$I$23)</f>
        <v>800</v>
      </c>
      <c r="F6" s="17">
        <f>GETPIVOTDATA("Xodim_ID",Pivots!$A$38)</f>
        <v>143</v>
      </c>
      <c r="I6" s="18">
        <f>GETPIVOTDATA("Average of Ishdan_ketganlar",Pivots!$A$16)</f>
        <v>0.17874999999999999</v>
      </c>
      <c r="L6" s="19">
        <f>GETPIVOTDATA("Oylik (so'm)",Pivots!$A$51)</f>
        <v>7168621.553884712</v>
      </c>
    </row>
    <row r="7" spans="3:12" x14ac:dyDescent="0.3">
      <c r="D7" s="21"/>
      <c r="E7" s="21"/>
    </row>
  </sheetData>
  <mergeCells count="2">
    <mergeCell ref="C1:L2"/>
    <mergeCell ref="J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690D-2081-492B-AB1A-B976339D3E6A}">
  <dimension ref="A3:J54"/>
  <sheetViews>
    <sheetView topLeftCell="A52" zoomScaleNormal="100" workbookViewId="0">
      <selection activeCell="D79" sqref="D79"/>
    </sheetView>
  </sheetViews>
  <sheetFormatPr defaultRowHeight="14.4" x14ac:dyDescent="0.3"/>
  <cols>
    <col min="1" max="1" width="16.5546875" bestFit="1" customWidth="1"/>
    <col min="2" max="2" width="16.109375" bestFit="1" customWidth="1"/>
    <col min="3" max="3" width="17.21875" bestFit="1" customWidth="1"/>
    <col min="9" max="9" width="12.5546875" bestFit="1" customWidth="1"/>
    <col min="10" max="10" width="25.5546875" bestFit="1" customWidth="1"/>
  </cols>
  <sheetData>
    <row r="3" spans="1:10" x14ac:dyDescent="0.3">
      <c r="A3" t="s">
        <v>1308</v>
      </c>
    </row>
    <row r="4" spans="1:10" x14ac:dyDescent="0.3">
      <c r="A4" s="7" t="s">
        <v>1305</v>
      </c>
      <c r="B4" t="s">
        <v>1308</v>
      </c>
    </row>
    <row r="5" spans="1:10" x14ac:dyDescent="0.3">
      <c r="A5" s="8" t="s">
        <v>1300</v>
      </c>
      <c r="B5" s="9">
        <v>0.23232323232323232</v>
      </c>
      <c r="J5" t="s">
        <v>1318</v>
      </c>
    </row>
    <row r="6" spans="1:10" x14ac:dyDescent="0.3">
      <c r="A6" s="8" t="s">
        <v>1035</v>
      </c>
      <c r="B6" s="9">
        <v>0.1891891891891892</v>
      </c>
      <c r="I6" s="7" t="s">
        <v>1305</v>
      </c>
      <c r="J6" t="s">
        <v>1307</v>
      </c>
    </row>
    <row r="7" spans="1:10" x14ac:dyDescent="0.3">
      <c r="A7" s="8" t="s">
        <v>1226</v>
      </c>
      <c r="B7" s="9">
        <v>0.17391304347826086</v>
      </c>
      <c r="I7" s="8">
        <v>1</v>
      </c>
      <c r="J7" s="9">
        <v>0.35483870967741937</v>
      </c>
    </row>
    <row r="8" spans="1:10" x14ac:dyDescent="0.3">
      <c r="A8" s="8" t="s">
        <v>21</v>
      </c>
      <c r="B8" s="9">
        <v>0.16393442622950818</v>
      </c>
      <c r="I8" s="8">
        <v>2</v>
      </c>
      <c r="J8" s="9">
        <v>0.28767123287671231</v>
      </c>
    </row>
    <row r="9" spans="1:10" x14ac:dyDescent="0.3">
      <c r="A9" s="8" t="s">
        <v>484</v>
      </c>
      <c r="B9" s="9">
        <v>0.16363636363636364</v>
      </c>
      <c r="I9" s="8">
        <v>3</v>
      </c>
      <c r="J9" s="9">
        <v>0.16250000000000001</v>
      </c>
    </row>
    <row r="10" spans="1:10" x14ac:dyDescent="0.3">
      <c r="A10" s="8" t="s">
        <v>245</v>
      </c>
      <c r="B10" s="9">
        <v>0.10843373493975904</v>
      </c>
      <c r="I10" s="8">
        <v>4</v>
      </c>
      <c r="J10" s="9">
        <v>9.5238095238095233E-2</v>
      </c>
    </row>
    <row r="11" spans="1:10" x14ac:dyDescent="0.3">
      <c r="A11" s="8" t="s">
        <v>39</v>
      </c>
      <c r="B11" s="9">
        <v>9.0909090909090912E-2</v>
      </c>
      <c r="I11" s="8">
        <v>5</v>
      </c>
      <c r="J11" s="9">
        <v>0.16</v>
      </c>
    </row>
    <row r="12" spans="1:10" x14ac:dyDescent="0.3">
      <c r="A12" s="8" t="s">
        <v>1306</v>
      </c>
      <c r="B12" s="9">
        <v>0.17874999999999999</v>
      </c>
      <c r="I12" s="8" t="s">
        <v>1306</v>
      </c>
      <c r="J12" s="9">
        <v>0.17874999999999999</v>
      </c>
    </row>
    <row r="15" spans="1:10" x14ac:dyDescent="0.3">
      <c r="A15" s="8" t="s">
        <v>1310</v>
      </c>
    </row>
    <row r="16" spans="1:10" x14ac:dyDescent="0.3">
      <c r="A16" s="7" t="s">
        <v>1305</v>
      </c>
      <c r="B16" t="s">
        <v>1307</v>
      </c>
    </row>
    <row r="17" spans="1:10" x14ac:dyDescent="0.3">
      <c r="A17" s="8" t="s">
        <v>1300</v>
      </c>
      <c r="B17" s="9">
        <v>0.23232323232323232</v>
      </c>
    </row>
    <row r="18" spans="1:10" x14ac:dyDescent="0.3">
      <c r="A18" s="8" t="s">
        <v>1035</v>
      </c>
      <c r="B18" s="9">
        <v>0.1891891891891892</v>
      </c>
    </row>
    <row r="19" spans="1:10" x14ac:dyDescent="0.3">
      <c r="A19" s="8" t="s">
        <v>1226</v>
      </c>
      <c r="B19" s="9">
        <v>0.17391304347826086</v>
      </c>
    </row>
    <row r="20" spans="1:10" x14ac:dyDescent="0.3">
      <c r="A20" s="8" t="s">
        <v>21</v>
      </c>
      <c r="B20" s="9">
        <v>0.16393442622950818</v>
      </c>
    </row>
    <row r="21" spans="1:10" x14ac:dyDescent="0.3">
      <c r="A21" s="8" t="s">
        <v>484</v>
      </c>
      <c r="B21" s="9">
        <v>0.16363636363636364</v>
      </c>
    </row>
    <row r="22" spans="1:10" x14ac:dyDescent="0.3">
      <c r="A22" s="8" t="s">
        <v>245</v>
      </c>
      <c r="B22" s="9">
        <v>0.10843373493975904</v>
      </c>
    </row>
    <row r="23" spans="1:10" x14ac:dyDescent="0.3">
      <c r="A23" s="8" t="s">
        <v>39</v>
      </c>
      <c r="B23" s="9">
        <v>9.0909090909090912E-2</v>
      </c>
      <c r="I23" s="7" t="s">
        <v>1305</v>
      </c>
      <c r="J23" t="s">
        <v>1309</v>
      </c>
    </row>
    <row r="24" spans="1:10" x14ac:dyDescent="0.3">
      <c r="A24" s="8" t="s">
        <v>1306</v>
      </c>
      <c r="B24" s="9">
        <v>0.17874999999999999</v>
      </c>
      <c r="I24" s="8" t="s">
        <v>39</v>
      </c>
      <c r="J24" s="10">
        <v>33</v>
      </c>
    </row>
    <row r="25" spans="1:10" x14ac:dyDescent="0.3">
      <c r="I25" s="8" t="s">
        <v>21</v>
      </c>
      <c r="J25" s="10">
        <v>122</v>
      </c>
    </row>
    <row r="26" spans="1:10" x14ac:dyDescent="0.3">
      <c r="I26" s="8" t="s">
        <v>484</v>
      </c>
      <c r="J26" s="10">
        <v>110</v>
      </c>
    </row>
    <row r="27" spans="1:10" x14ac:dyDescent="0.3">
      <c r="I27" s="8" t="s">
        <v>245</v>
      </c>
      <c r="J27" s="10">
        <v>83</v>
      </c>
    </row>
    <row r="28" spans="1:10" x14ac:dyDescent="0.3">
      <c r="A28" t="s">
        <v>1319</v>
      </c>
      <c r="I28" s="8" t="s">
        <v>1300</v>
      </c>
      <c r="J28" s="10">
        <v>198</v>
      </c>
    </row>
    <row r="29" spans="1:10" x14ac:dyDescent="0.3">
      <c r="A29" s="7" t="s">
        <v>1305</v>
      </c>
      <c r="B29" t="s">
        <v>1329</v>
      </c>
      <c r="I29" s="8" t="s">
        <v>1226</v>
      </c>
      <c r="J29" s="10">
        <v>69</v>
      </c>
    </row>
    <row r="30" spans="1:10" x14ac:dyDescent="0.3">
      <c r="A30" s="8" t="s">
        <v>1312</v>
      </c>
      <c r="B30" s="15">
        <v>0.24875621890547264</v>
      </c>
      <c r="I30" s="8" t="s">
        <v>1035</v>
      </c>
      <c r="J30" s="10">
        <v>185</v>
      </c>
    </row>
    <row r="31" spans="1:10" x14ac:dyDescent="0.3">
      <c r="A31" s="8" t="s">
        <v>1313</v>
      </c>
      <c r="B31" s="15">
        <v>0.18316831683168316</v>
      </c>
      <c r="I31" s="8" t="s">
        <v>1306</v>
      </c>
      <c r="J31" s="10">
        <v>800</v>
      </c>
    </row>
    <row r="32" spans="1:10" x14ac:dyDescent="0.3">
      <c r="A32" s="8" t="s">
        <v>1314</v>
      </c>
      <c r="B32" s="15">
        <v>0.14105793450881612</v>
      </c>
    </row>
    <row r="33" spans="1:2" x14ac:dyDescent="0.3">
      <c r="A33" s="8" t="s">
        <v>1306</v>
      </c>
      <c r="B33" s="15">
        <v>0.17874999999999999</v>
      </c>
    </row>
    <row r="36" spans="1:2" x14ac:dyDescent="0.3">
      <c r="A36" s="7" t="s">
        <v>15</v>
      </c>
      <c r="B36" t="s">
        <v>1322</v>
      </c>
    </row>
    <row r="37" spans="1:2" x14ac:dyDescent="0.3">
      <c r="A37" t="s">
        <v>1315</v>
      </c>
    </row>
    <row r="38" spans="1:2" x14ac:dyDescent="0.3">
      <c r="A38" s="7" t="s">
        <v>1305</v>
      </c>
      <c r="B38" t="s">
        <v>1309</v>
      </c>
    </row>
    <row r="39" spans="1:2" x14ac:dyDescent="0.3">
      <c r="A39" s="8" t="s">
        <v>145</v>
      </c>
      <c r="B39" s="10">
        <v>10</v>
      </c>
    </row>
    <row r="40" spans="1:2" x14ac:dyDescent="0.3">
      <c r="A40" s="8" t="s">
        <v>401</v>
      </c>
      <c r="B40" s="10">
        <v>11</v>
      </c>
    </row>
    <row r="41" spans="1:2" x14ac:dyDescent="0.3">
      <c r="A41" s="8" t="s">
        <v>235</v>
      </c>
      <c r="B41" s="10">
        <v>14</v>
      </c>
    </row>
    <row r="42" spans="1:2" x14ac:dyDescent="0.3">
      <c r="A42" s="8" t="s">
        <v>111</v>
      </c>
      <c r="B42" s="10">
        <v>22</v>
      </c>
    </row>
    <row r="43" spans="1:2" x14ac:dyDescent="0.3">
      <c r="A43" s="8" t="s">
        <v>28</v>
      </c>
      <c r="B43" s="10">
        <v>27</v>
      </c>
    </row>
    <row r="44" spans="1:2" x14ac:dyDescent="0.3">
      <c r="A44" s="8" t="s">
        <v>61</v>
      </c>
      <c r="B44" s="10">
        <v>29</v>
      </c>
    </row>
    <row r="45" spans="1:2" x14ac:dyDescent="0.3">
      <c r="A45" s="8" t="s">
        <v>155</v>
      </c>
      <c r="B45" s="10">
        <v>30</v>
      </c>
    </row>
    <row r="46" spans="1:2" x14ac:dyDescent="0.3">
      <c r="A46" s="8" t="s">
        <v>1306</v>
      </c>
      <c r="B46" s="10">
        <v>143</v>
      </c>
    </row>
    <row r="50" spans="1:2" x14ac:dyDescent="0.3">
      <c r="A50" s="8" t="s">
        <v>1317</v>
      </c>
    </row>
    <row r="51" spans="1:2" x14ac:dyDescent="0.3">
      <c r="A51" s="7" t="s">
        <v>1305</v>
      </c>
      <c r="B51" t="s">
        <v>1316</v>
      </c>
    </row>
    <row r="52" spans="1:2" x14ac:dyDescent="0.3">
      <c r="A52" s="8" t="s">
        <v>1324</v>
      </c>
      <c r="B52" s="11">
        <v>6158661.9718309855</v>
      </c>
    </row>
    <row r="53" spans="1:2" x14ac:dyDescent="0.3">
      <c r="A53" s="8" t="s">
        <v>1325</v>
      </c>
      <c r="B53" s="11">
        <v>7387240.8536585364</v>
      </c>
    </row>
    <row r="54" spans="1:2" x14ac:dyDescent="0.3">
      <c r="A54" s="8" t="s">
        <v>1306</v>
      </c>
      <c r="B54" s="11">
        <v>7168621.553884712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D4E4-A7BA-473E-98FF-CF16923EC304}">
  <dimension ref="A1:W801"/>
  <sheetViews>
    <sheetView workbookViewId="0">
      <selection activeCell="D16" sqref="D16"/>
    </sheetView>
  </sheetViews>
  <sheetFormatPr defaultRowHeight="14.4" x14ac:dyDescent="0.3"/>
  <cols>
    <col min="1" max="1" width="11.109375" bestFit="1" customWidth="1"/>
    <col min="2" max="2" width="17.88671875" bestFit="1" customWidth="1"/>
    <col min="3" max="3" width="6.109375" bestFit="1" customWidth="1"/>
    <col min="4" max="4" width="15.109375" bestFit="1" customWidth="1"/>
    <col min="5" max="5" width="18.21875" bestFit="1" customWidth="1"/>
    <col min="6" max="6" width="16.5546875" bestFit="1" customWidth="1"/>
    <col min="7" max="7" width="28" bestFit="1" customWidth="1"/>
    <col min="8" max="8" width="8.5546875" bestFit="1" customWidth="1"/>
    <col min="9" max="9" width="10.109375" bestFit="1" customWidth="1"/>
    <col min="10" max="10" width="12.6640625" bestFit="1" customWidth="1"/>
    <col min="11" max="11" width="24.77734375" bestFit="1" customWidth="1"/>
    <col min="12" max="12" width="23" bestFit="1" customWidth="1"/>
    <col min="13" max="13" width="27.21875" bestFit="1" customWidth="1"/>
    <col min="14" max="14" width="12.6640625" bestFit="1" customWidth="1"/>
    <col min="15" max="15" width="11.5546875" bestFit="1" customWidth="1"/>
    <col min="16" max="16" width="15" bestFit="1" customWidth="1"/>
    <col min="17" max="17" width="13.5546875" bestFit="1" customWidth="1"/>
    <col min="18" max="18" width="22.6640625" bestFit="1" customWidth="1"/>
    <col min="19" max="19" width="7.109375" bestFit="1" customWidth="1"/>
    <col min="20" max="20" width="9" style="6" bestFit="1" customWidth="1"/>
    <col min="21" max="21" width="17.5546875" bestFit="1" customWidth="1"/>
    <col min="22" max="22" width="17.21875" bestFit="1" customWidth="1"/>
    <col min="23" max="23" width="12.109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1301</v>
      </c>
      <c r="T1" s="6" t="s">
        <v>1302</v>
      </c>
      <c r="U1" t="s">
        <v>1303</v>
      </c>
      <c r="V1" t="s">
        <v>1304</v>
      </c>
      <c r="W1" t="s">
        <v>1311</v>
      </c>
    </row>
    <row r="2" spans="1:23" x14ac:dyDescent="0.3">
      <c r="A2" t="s">
        <v>947</v>
      </c>
      <c r="B2" t="s">
        <v>938</v>
      </c>
      <c r="C2" t="s">
        <v>20</v>
      </c>
      <c r="D2" s="5">
        <v>37053</v>
      </c>
      <c r="E2" s="5">
        <v>44782</v>
      </c>
      <c r="F2" t="s">
        <v>21</v>
      </c>
      <c r="G2" t="s">
        <v>103</v>
      </c>
      <c r="H2" t="s">
        <v>23</v>
      </c>
      <c r="I2" t="s">
        <v>34</v>
      </c>
      <c r="J2">
        <v>21690000</v>
      </c>
      <c r="K2">
        <v>4</v>
      </c>
      <c r="L2">
        <v>4</v>
      </c>
      <c r="M2">
        <v>0</v>
      </c>
      <c r="N2" t="s">
        <v>41</v>
      </c>
      <c r="O2" t="s">
        <v>35</v>
      </c>
      <c r="P2" t="s">
        <v>36</v>
      </c>
      <c r="Q2" s="5"/>
      <c r="S2">
        <f>DATEDIF(D2,DATE(2026,9,30),"Y")</f>
        <v>25</v>
      </c>
      <c r="T2" s="6">
        <f>(IF(Q2="",DATE(2026,9,30),Q2)-E2)/365.25</f>
        <v>4.1423682409308693</v>
      </c>
      <c r="U2" t="str">
        <f>_xlfn.XLOOKUP(Table1_1[[#This Row],[Bo''lim]],Bolimlar!A:A,Bolimlar!B:B,"Topilmadi")</f>
        <v>Jasur Yusupov</v>
      </c>
      <c r="V2">
        <f>IF(P2="Ha",1,0)</f>
        <v>0</v>
      </c>
      <c r="W2" t="str">
        <f>IF(T2&lt;1,"1 yildan kam",IF(T2&lt;3,"1-3 yil","3 yildan ko'p"))</f>
        <v>3 yildan ko'p</v>
      </c>
    </row>
    <row r="3" spans="1:23" x14ac:dyDescent="0.3">
      <c r="A3" t="s">
        <v>1259</v>
      </c>
      <c r="B3" t="s">
        <v>1260</v>
      </c>
      <c r="C3" t="s">
        <v>20</v>
      </c>
      <c r="D3" s="5">
        <v>32574</v>
      </c>
      <c r="E3" s="5">
        <v>43335</v>
      </c>
      <c r="F3" t="s">
        <v>21</v>
      </c>
      <c r="G3" t="s">
        <v>22</v>
      </c>
      <c r="H3" t="s">
        <v>23</v>
      </c>
      <c r="I3" t="s">
        <v>44</v>
      </c>
      <c r="J3">
        <v>21490000</v>
      </c>
      <c r="K3">
        <v>2</v>
      </c>
      <c r="L3">
        <v>2</v>
      </c>
      <c r="M3">
        <v>5</v>
      </c>
      <c r="N3" t="s">
        <v>41</v>
      </c>
      <c r="O3" t="s">
        <v>26</v>
      </c>
      <c r="P3" t="s">
        <v>36</v>
      </c>
      <c r="Q3" s="5"/>
      <c r="S3">
        <f>DATEDIF(D3,DATE(2026,9,30),"Y")</f>
        <v>37</v>
      </c>
      <c r="T3" s="6">
        <f>(IF(Q3="",DATE(2026,9,30),Q3)-E3)/365.25</f>
        <v>8.1040383299110204</v>
      </c>
      <c r="U3" t="str">
        <f>_xlfn.XLOOKUP(Table1_1[[#This Row],[Bo''lim]],Bolimlar!A:A,Bolimlar!B:B,"Topilmadi")</f>
        <v>Jasur Yusupov</v>
      </c>
      <c r="V3">
        <f>IF(P3="Ha",1,0)</f>
        <v>0</v>
      </c>
      <c r="W3" t="str">
        <f>IF(T3&lt;1,"1 yildan kam",IF(T3&lt;3,"1-3 yil","3 yildan ko'p"))</f>
        <v>3 yildan ko'p</v>
      </c>
    </row>
    <row r="4" spans="1:23" x14ac:dyDescent="0.3">
      <c r="A4" t="s">
        <v>546</v>
      </c>
      <c r="B4" t="s">
        <v>330</v>
      </c>
      <c r="C4" t="s">
        <v>20</v>
      </c>
      <c r="D4" s="5">
        <v>31509</v>
      </c>
      <c r="E4" s="5">
        <v>45321</v>
      </c>
      <c r="F4" t="s">
        <v>21</v>
      </c>
      <c r="G4" t="s">
        <v>103</v>
      </c>
      <c r="H4" t="s">
        <v>23</v>
      </c>
      <c r="I4" t="s">
        <v>24</v>
      </c>
      <c r="J4">
        <v>21250000</v>
      </c>
      <c r="K4">
        <v>4</v>
      </c>
      <c r="L4">
        <v>4</v>
      </c>
      <c r="M4">
        <v>1</v>
      </c>
      <c r="N4" t="s">
        <v>41</v>
      </c>
      <c r="O4" t="s">
        <v>35</v>
      </c>
      <c r="P4" t="s">
        <v>36</v>
      </c>
      <c r="Q4" s="5"/>
      <c r="S4">
        <f>DATEDIF(D4,DATE(2026,9,30),"Y")</f>
        <v>40</v>
      </c>
      <c r="T4" s="6">
        <f>(IF(Q4="",DATE(2026,9,30),Q4)-E4)/365.25</f>
        <v>2.6666666666666665</v>
      </c>
      <c r="U4" t="str">
        <f>_xlfn.XLOOKUP(Table1_1[[#This Row],[Bo''lim]],Bolimlar!A:A,Bolimlar!B:B,"Topilmadi")</f>
        <v>Jasur Yusupov</v>
      </c>
      <c r="V4">
        <f>IF(P4="Ha",1,0)</f>
        <v>0</v>
      </c>
      <c r="W4" t="str">
        <f>IF(T4&lt;1,"1 yildan kam",IF(T4&lt;3,"1-3 yil","3 yildan ko'p"))</f>
        <v>1-3 yil</v>
      </c>
    </row>
    <row r="5" spans="1:23" x14ac:dyDescent="0.3">
      <c r="A5" t="s">
        <v>940</v>
      </c>
      <c r="B5" t="s">
        <v>941</v>
      </c>
      <c r="C5" t="s">
        <v>31</v>
      </c>
      <c r="D5" s="5">
        <v>33829</v>
      </c>
      <c r="E5" s="5">
        <v>43835</v>
      </c>
      <c r="F5" t="s">
        <v>21</v>
      </c>
      <c r="G5" t="s">
        <v>32</v>
      </c>
      <c r="H5" t="s">
        <v>23</v>
      </c>
      <c r="I5" t="s">
        <v>104</v>
      </c>
      <c r="J5">
        <v>20780000</v>
      </c>
      <c r="K5">
        <v>3</v>
      </c>
      <c r="L5">
        <v>5</v>
      </c>
      <c r="M5">
        <v>0</v>
      </c>
      <c r="N5" t="s">
        <v>41</v>
      </c>
      <c r="O5" t="s">
        <v>35</v>
      </c>
      <c r="P5" t="s">
        <v>36</v>
      </c>
      <c r="Q5" s="5"/>
      <c r="S5">
        <f>DATEDIF(D5,DATE(2026,9,30),"Y")</f>
        <v>34</v>
      </c>
      <c r="T5" s="6">
        <f>(IF(Q5="",DATE(2026,9,30),Q5)-E5)/365.25</f>
        <v>6.7351129363449695</v>
      </c>
      <c r="U5" t="str">
        <f>_xlfn.XLOOKUP(Table1_1[[#This Row],[Bo''lim]],Bolimlar!A:A,Bolimlar!B:B,"Topilmadi")</f>
        <v>Jasur Yusupov</v>
      </c>
      <c r="V5">
        <f>IF(P5="Ha",1,0)</f>
        <v>0</v>
      </c>
      <c r="W5" t="str">
        <f>IF(T5&lt;1,"1 yildan kam",IF(T5&lt;3,"1-3 yil","3 yildan ko'p"))</f>
        <v>3 yildan ko'p</v>
      </c>
    </row>
    <row r="6" spans="1:23" x14ac:dyDescent="0.3">
      <c r="A6" t="s">
        <v>878</v>
      </c>
      <c r="B6" t="s">
        <v>879</v>
      </c>
      <c r="C6" t="s">
        <v>31</v>
      </c>
      <c r="D6" s="5">
        <v>32285</v>
      </c>
      <c r="E6" s="5">
        <v>45979</v>
      </c>
      <c r="F6" t="s">
        <v>21</v>
      </c>
      <c r="G6" t="s">
        <v>103</v>
      </c>
      <c r="H6" t="s">
        <v>23</v>
      </c>
      <c r="I6" t="s">
        <v>206</v>
      </c>
      <c r="J6">
        <v>20380000</v>
      </c>
      <c r="K6">
        <v>2</v>
      </c>
      <c r="L6">
        <v>4</v>
      </c>
      <c r="M6">
        <v>10</v>
      </c>
      <c r="N6" t="s">
        <v>88</v>
      </c>
      <c r="O6" t="s">
        <v>53</v>
      </c>
      <c r="P6" t="s">
        <v>36</v>
      </c>
      <c r="Q6" s="5"/>
      <c r="S6">
        <f>DATEDIF(D6,DATE(2026,9,30),"Y")</f>
        <v>38</v>
      </c>
      <c r="T6" s="6">
        <f>(IF(Q6="",DATE(2026,9,30),Q6)-E6)/365.25</f>
        <v>0.86516084873374399</v>
      </c>
      <c r="U6" t="str">
        <f>_xlfn.XLOOKUP(Table1_1[[#This Row],[Bo''lim]],Bolimlar!A:A,Bolimlar!B:B,"Topilmadi")</f>
        <v>Jasur Yusupov</v>
      </c>
      <c r="V6">
        <f>IF(P6="Ha",1,0)</f>
        <v>0</v>
      </c>
      <c r="W6" t="str">
        <f>IF(T6&lt;1,"1 yildan kam",IF(T6&lt;3,"1-3 yil","3 yildan ko'p"))</f>
        <v>1 yildan kam</v>
      </c>
    </row>
    <row r="7" spans="1:23" x14ac:dyDescent="0.3">
      <c r="A7" t="s">
        <v>475</v>
      </c>
      <c r="B7" t="s">
        <v>84</v>
      </c>
      <c r="C7" t="s">
        <v>31</v>
      </c>
      <c r="D7" s="5">
        <v>36982</v>
      </c>
      <c r="E7" s="5">
        <v>45790</v>
      </c>
      <c r="F7" t="s">
        <v>21</v>
      </c>
      <c r="G7" t="s">
        <v>32</v>
      </c>
      <c r="H7" t="s">
        <v>23</v>
      </c>
      <c r="I7" t="s">
        <v>24</v>
      </c>
      <c r="J7">
        <v>20230000</v>
      </c>
      <c r="K7">
        <v>1</v>
      </c>
      <c r="L7">
        <v>2</v>
      </c>
      <c r="M7">
        <v>22</v>
      </c>
      <c r="N7" t="s">
        <v>88</v>
      </c>
      <c r="O7" t="s">
        <v>35</v>
      </c>
      <c r="P7" t="s">
        <v>36</v>
      </c>
      <c r="Q7" s="5"/>
      <c r="S7">
        <f>DATEDIF(D7,DATE(2026,9,30),"Y")</f>
        <v>25</v>
      </c>
      <c r="T7" s="6">
        <f>(IF(Q7="",DATE(2026,9,30),Q7)-E7)/365.25</f>
        <v>1.3826146475017111</v>
      </c>
      <c r="U7" t="str">
        <f>_xlfn.XLOOKUP(Table1_1[[#This Row],[Bo''lim]],Bolimlar!A:A,Bolimlar!B:B,"Topilmadi")</f>
        <v>Jasur Yusupov</v>
      </c>
      <c r="V7">
        <f>IF(P7="Ha",1,0)</f>
        <v>0</v>
      </c>
      <c r="W7" t="str">
        <f>IF(T7&lt;1,"1 yildan kam",IF(T7&lt;3,"1-3 yil","3 yildan ko'p"))</f>
        <v>1-3 yil</v>
      </c>
    </row>
    <row r="8" spans="1:23" x14ac:dyDescent="0.3">
      <c r="A8" t="s">
        <v>946</v>
      </c>
      <c r="B8" t="s">
        <v>684</v>
      </c>
      <c r="C8" t="s">
        <v>31</v>
      </c>
      <c r="D8" s="5">
        <v>37680</v>
      </c>
      <c r="E8" s="5">
        <v>46064</v>
      </c>
      <c r="F8" t="s">
        <v>21</v>
      </c>
      <c r="G8" t="s">
        <v>22</v>
      </c>
      <c r="H8" t="s">
        <v>23</v>
      </c>
      <c r="I8" t="s">
        <v>24</v>
      </c>
      <c r="J8">
        <v>19350000</v>
      </c>
      <c r="K8">
        <v>4</v>
      </c>
      <c r="L8">
        <v>3</v>
      </c>
      <c r="M8">
        <v>21</v>
      </c>
      <c r="N8" t="s">
        <v>25</v>
      </c>
      <c r="O8" t="s">
        <v>26</v>
      </c>
      <c r="P8" t="s">
        <v>36</v>
      </c>
      <c r="Q8" s="5"/>
      <c r="S8">
        <f>DATEDIF(D8,DATE(2026,9,30),"Y")</f>
        <v>23</v>
      </c>
      <c r="T8" s="6">
        <f>(IF(Q8="",DATE(2026,9,30),Q8)-E8)/365.25</f>
        <v>0.63244353182751545</v>
      </c>
      <c r="U8" t="str">
        <f>_xlfn.XLOOKUP(Table1_1[[#This Row],[Bo''lim]],Bolimlar!A:A,Bolimlar!B:B,"Topilmadi")</f>
        <v>Jasur Yusupov</v>
      </c>
      <c r="V8">
        <f>IF(P8="Ha",1,0)</f>
        <v>0</v>
      </c>
      <c r="W8" t="str">
        <f>IF(T8&lt;1,"1 yildan kam",IF(T8&lt;3,"1-3 yil","3 yildan ko'p"))</f>
        <v>1 yildan kam</v>
      </c>
    </row>
    <row r="9" spans="1:23" x14ac:dyDescent="0.3">
      <c r="A9" t="s">
        <v>280</v>
      </c>
      <c r="B9" t="s">
        <v>281</v>
      </c>
      <c r="C9" t="s">
        <v>31</v>
      </c>
      <c r="D9" s="5">
        <v>32634</v>
      </c>
      <c r="E9" s="5">
        <v>43714</v>
      </c>
      <c r="F9" t="s">
        <v>21</v>
      </c>
      <c r="G9" t="s">
        <v>22</v>
      </c>
      <c r="H9" t="s">
        <v>23</v>
      </c>
      <c r="I9" t="s">
        <v>24</v>
      </c>
      <c r="J9">
        <v>18800000</v>
      </c>
      <c r="K9">
        <v>2</v>
      </c>
      <c r="L9">
        <v>2</v>
      </c>
      <c r="M9">
        <v>0</v>
      </c>
      <c r="N9" t="s">
        <v>25</v>
      </c>
      <c r="O9" t="s">
        <v>35</v>
      </c>
      <c r="P9" t="s">
        <v>36</v>
      </c>
      <c r="Q9" s="5"/>
      <c r="S9">
        <f>DATEDIF(D9,DATE(2026,9,30),"Y")</f>
        <v>37</v>
      </c>
      <c r="T9" s="6">
        <f>(IF(Q9="",DATE(2026,9,30),Q9)-E9)/365.25</f>
        <v>7.0663928815879533</v>
      </c>
      <c r="U9" t="str">
        <f>_xlfn.XLOOKUP(Table1_1[[#This Row],[Bo''lim]],Bolimlar!A:A,Bolimlar!B:B,"Topilmadi")</f>
        <v>Jasur Yusupov</v>
      </c>
      <c r="V9">
        <f>IF(P9="Ha",1,0)</f>
        <v>0</v>
      </c>
      <c r="W9" t="str">
        <f>IF(T9&lt;1,"1 yildan kam",IF(T9&lt;3,"1-3 yil","3 yildan ko'p"))</f>
        <v>3 yildan ko'p</v>
      </c>
    </row>
    <row r="10" spans="1:23" x14ac:dyDescent="0.3">
      <c r="A10" t="s">
        <v>823</v>
      </c>
      <c r="B10" t="s">
        <v>824</v>
      </c>
      <c r="C10" t="s">
        <v>31</v>
      </c>
      <c r="D10" s="5">
        <v>36137</v>
      </c>
      <c r="E10" s="5">
        <v>44829</v>
      </c>
      <c r="F10" t="s">
        <v>21</v>
      </c>
      <c r="G10" t="s">
        <v>103</v>
      </c>
      <c r="H10" t="s">
        <v>23</v>
      </c>
      <c r="I10" t="s">
        <v>82</v>
      </c>
      <c r="J10">
        <v>18530000</v>
      </c>
      <c r="K10">
        <v>3</v>
      </c>
      <c r="L10">
        <v>3</v>
      </c>
      <c r="M10">
        <v>25</v>
      </c>
      <c r="N10" t="s">
        <v>41</v>
      </c>
      <c r="O10" t="s">
        <v>26</v>
      </c>
      <c r="P10" t="s">
        <v>36</v>
      </c>
      <c r="Q10" s="5"/>
      <c r="S10">
        <f>DATEDIF(D10,DATE(2026,9,30),"Y")</f>
        <v>27</v>
      </c>
      <c r="T10" s="6">
        <f>(IF(Q10="",DATE(2026,9,30),Q10)-E10)/365.25</f>
        <v>4.0136892539356603</v>
      </c>
      <c r="U10" t="str">
        <f>_xlfn.XLOOKUP(Table1_1[[#This Row],[Bo''lim]],Bolimlar!A:A,Bolimlar!B:B,"Topilmadi")</f>
        <v>Jasur Yusupov</v>
      </c>
      <c r="V10">
        <f>IF(P10="Ha",1,0)</f>
        <v>0</v>
      </c>
      <c r="W10" t="str">
        <f>IF(T10&lt;1,"1 yildan kam",IF(T10&lt;3,"1-3 yil","3 yildan ko'p"))</f>
        <v>3 yildan ko'p</v>
      </c>
    </row>
    <row r="11" spans="1:23" x14ac:dyDescent="0.3">
      <c r="A11" t="s">
        <v>623</v>
      </c>
      <c r="B11" t="s">
        <v>536</v>
      </c>
      <c r="C11" t="s">
        <v>31</v>
      </c>
      <c r="D11" s="5">
        <v>38876</v>
      </c>
      <c r="E11" s="5">
        <v>46209</v>
      </c>
      <c r="F11" t="s">
        <v>21</v>
      </c>
      <c r="G11" t="s">
        <v>22</v>
      </c>
      <c r="H11" t="s">
        <v>23</v>
      </c>
      <c r="I11" t="s">
        <v>24</v>
      </c>
      <c r="J11">
        <v>18460000</v>
      </c>
      <c r="K11">
        <v>3</v>
      </c>
      <c r="L11">
        <v>3</v>
      </c>
      <c r="M11">
        <v>24</v>
      </c>
      <c r="N11" t="s">
        <v>41</v>
      </c>
      <c r="O11" t="s">
        <v>53</v>
      </c>
      <c r="P11" t="s">
        <v>36</v>
      </c>
      <c r="Q11" s="5"/>
      <c r="S11">
        <f>DATEDIF(D11,DATE(2026,9,30),"Y")</f>
        <v>20</v>
      </c>
      <c r="T11" s="6">
        <f>(IF(Q11="",DATE(2026,9,30),Q11)-E11)/365.25</f>
        <v>0.23545516769336072</v>
      </c>
      <c r="U11" t="str">
        <f>_xlfn.XLOOKUP(Table1_1[[#This Row],[Bo''lim]],Bolimlar!A:A,Bolimlar!B:B,"Topilmadi")</f>
        <v>Jasur Yusupov</v>
      </c>
      <c r="V11">
        <f>IF(P11="Ha",1,0)</f>
        <v>0</v>
      </c>
      <c r="W11" t="str">
        <f>IF(T11&lt;1,"1 yildan kam",IF(T11&lt;3,"1-3 yil","3 yildan ko'p"))</f>
        <v>1 yildan kam</v>
      </c>
    </row>
    <row r="12" spans="1:23" x14ac:dyDescent="0.3">
      <c r="A12" t="s">
        <v>681</v>
      </c>
      <c r="B12" t="s">
        <v>682</v>
      </c>
      <c r="C12" t="s">
        <v>20</v>
      </c>
      <c r="D12" s="5">
        <v>31451</v>
      </c>
      <c r="E12" s="5">
        <v>43389</v>
      </c>
      <c r="F12" t="s">
        <v>21</v>
      </c>
      <c r="G12" t="s">
        <v>103</v>
      </c>
      <c r="H12" t="s">
        <v>23</v>
      </c>
      <c r="I12" t="s">
        <v>34</v>
      </c>
      <c r="J12">
        <v>17770000</v>
      </c>
      <c r="K12">
        <v>4</v>
      </c>
      <c r="L12">
        <v>5</v>
      </c>
      <c r="M12">
        <v>26</v>
      </c>
      <c r="N12" t="s">
        <v>41</v>
      </c>
      <c r="O12" t="s">
        <v>26</v>
      </c>
      <c r="P12" t="s">
        <v>36</v>
      </c>
      <c r="Q12" s="5"/>
      <c r="S12">
        <f>DATEDIF(D12,DATE(2026,9,30),"Y")</f>
        <v>40</v>
      </c>
      <c r="T12" s="6">
        <f>(IF(Q12="",DATE(2026,9,30),Q12)-E12)/365.25</f>
        <v>7.956194387405886</v>
      </c>
      <c r="U12" t="str">
        <f>_xlfn.XLOOKUP(Table1_1[[#This Row],[Bo''lim]],Bolimlar!A:A,Bolimlar!B:B,"Topilmadi")</f>
        <v>Jasur Yusupov</v>
      </c>
      <c r="V12">
        <f>IF(P12="Ha",1,0)</f>
        <v>0</v>
      </c>
      <c r="W12" t="str">
        <f>IF(T12&lt;1,"1 yildan kam",IF(T12&lt;3,"1-3 yil","3 yildan ko'p"))</f>
        <v>3 yildan ko'p</v>
      </c>
    </row>
    <row r="13" spans="1:23" x14ac:dyDescent="0.3">
      <c r="A13" t="s">
        <v>488</v>
      </c>
      <c r="B13" t="s">
        <v>489</v>
      </c>
      <c r="C13" t="s">
        <v>31</v>
      </c>
      <c r="D13" s="5">
        <v>34312</v>
      </c>
      <c r="E13" s="5">
        <v>43508</v>
      </c>
      <c r="F13" t="s">
        <v>21</v>
      </c>
      <c r="G13" t="s">
        <v>22</v>
      </c>
      <c r="H13" t="s">
        <v>23</v>
      </c>
      <c r="I13" t="s">
        <v>24</v>
      </c>
      <c r="J13">
        <v>17680000</v>
      </c>
      <c r="K13">
        <v>4</v>
      </c>
      <c r="L13">
        <v>4</v>
      </c>
      <c r="M13">
        <v>0</v>
      </c>
      <c r="N13" t="s">
        <v>25</v>
      </c>
      <c r="O13" t="s">
        <v>26</v>
      </c>
      <c r="P13" t="s">
        <v>36</v>
      </c>
      <c r="Q13" s="5"/>
      <c r="S13">
        <f>DATEDIF(D13,DATE(2026,9,30),"Y")</f>
        <v>32</v>
      </c>
      <c r="T13" s="6">
        <f>(IF(Q13="",DATE(2026,9,30),Q13)-E13)/365.25</f>
        <v>7.6303901437371664</v>
      </c>
      <c r="U13" t="str">
        <f>_xlfn.XLOOKUP(Table1_1[[#This Row],[Bo''lim]],Bolimlar!A:A,Bolimlar!B:B,"Topilmadi")</f>
        <v>Jasur Yusupov</v>
      </c>
      <c r="V13">
        <f>IF(P13="Ha",1,0)</f>
        <v>0</v>
      </c>
      <c r="W13" t="str">
        <f>IF(T13&lt;1,"1 yildan kam",IF(T13&lt;3,"1-3 yil","3 yildan ko'p"))</f>
        <v>3 yildan ko'p</v>
      </c>
    </row>
    <row r="14" spans="1:23" x14ac:dyDescent="0.3">
      <c r="A14" t="s">
        <v>983</v>
      </c>
      <c r="B14" t="s">
        <v>984</v>
      </c>
      <c r="C14" t="s">
        <v>31</v>
      </c>
      <c r="D14" s="5">
        <v>32736</v>
      </c>
      <c r="E14" s="5">
        <v>42458</v>
      </c>
      <c r="F14" t="s">
        <v>21</v>
      </c>
      <c r="G14" t="s">
        <v>22</v>
      </c>
      <c r="H14" t="s">
        <v>23</v>
      </c>
      <c r="I14" t="s">
        <v>34</v>
      </c>
      <c r="J14">
        <v>17400000</v>
      </c>
      <c r="K14">
        <v>3</v>
      </c>
      <c r="L14">
        <v>5</v>
      </c>
      <c r="M14">
        <v>25</v>
      </c>
      <c r="N14" t="s">
        <v>88</v>
      </c>
      <c r="O14" t="s">
        <v>26</v>
      </c>
      <c r="P14" t="s">
        <v>36</v>
      </c>
      <c r="Q14" s="5"/>
      <c r="S14">
        <f>DATEDIF(D14,DATE(2026,9,30),"Y")</f>
        <v>37</v>
      </c>
      <c r="T14" s="6">
        <f>(IF(Q14="",DATE(2026,9,30),Q14)-E14)/365.25</f>
        <v>10.505133470225873</v>
      </c>
      <c r="U14" t="str">
        <f>_xlfn.XLOOKUP(Table1_1[[#This Row],[Bo''lim]],Bolimlar!A:A,Bolimlar!B:B,"Topilmadi")</f>
        <v>Jasur Yusupov</v>
      </c>
      <c r="V14">
        <f>IF(P14="Ha",1,0)</f>
        <v>0</v>
      </c>
      <c r="W14" t="str">
        <f>IF(T14&lt;1,"1 yildan kam",IF(T14&lt;3,"1-3 yil","3 yildan ko'p"))</f>
        <v>3 yildan ko'p</v>
      </c>
    </row>
    <row r="15" spans="1:23" x14ac:dyDescent="0.3">
      <c r="A15" t="s">
        <v>607</v>
      </c>
      <c r="B15" t="s">
        <v>188</v>
      </c>
      <c r="C15" t="s">
        <v>20</v>
      </c>
      <c r="D15" s="5">
        <v>36328</v>
      </c>
      <c r="E15" s="5">
        <v>45390</v>
      </c>
      <c r="F15" t="s">
        <v>21</v>
      </c>
      <c r="G15" t="s">
        <v>32</v>
      </c>
      <c r="H15" t="s">
        <v>23</v>
      </c>
      <c r="I15" t="s">
        <v>24</v>
      </c>
      <c r="J15">
        <v>17150000</v>
      </c>
      <c r="K15">
        <v>3</v>
      </c>
      <c r="L15">
        <v>3</v>
      </c>
      <c r="M15">
        <v>4</v>
      </c>
      <c r="N15" t="s">
        <v>25</v>
      </c>
      <c r="O15" t="s">
        <v>26</v>
      </c>
      <c r="P15" t="s">
        <v>36</v>
      </c>
      <c r="Q15" s="5"/>
      <c r="S15">
        <f>DATEDIF(D15,DATE(2026,9,30),"Y")</f>
        <v>27</v>
      </c>
      <c r="T15" s="6">
        <f>(IF(Q15="",DATE(2026,9,30),Q15)-E15)/365.25</f>
        <v>2.4777549623545516</v>
      </c>
      <c r="U15" t="str">
        <f>_xlfn.XLOOKUP(Table1_1[[#This Row],[Bo''lim]],Bolimlar!A:A,Bolimlar!B:B,"Topilmadi")</f>
        <v>Jasur Yusupov</v>
      </c>
      <c r="V15">
        <f>IF(P15="Ha",1,0)</f>
        <v>0</v>
      </c>
      <c r="W15" t="str">
        <f>IF(T15&lt;1,"1 yildan kam",IF(T15&lt;3,"1-3 yil","3 yildan ko'p"))</f>
        <v>1-3 yil</v>
      </c>
    </row>
    <row r="16" spans="1:23" x14ac:dyDescent="0.3">
      <c r="A16" t="s">
        <v>344</v>
      </c>
      <c r="B16" t="s">
        <v>345</v>
      </c>
      <c r="C16" t="s">
        <v>31</v>
      </c>
      <c r="D16" s="5">
        <v>34983</v>
      </c>
      <c r="E16" s="5">
        <v>44293</v>
      </c>
      <c r="F16" t="s">
        <v>21</v>
      </c>
      <c r="G16" t="s">
        <v>32</v>
      </c>
      <c r="H16" t="s">
        <v>23</v>
      </c>
      <c r="I16" t="s">
        <v>24</v>
      </c>
      <c r="J16">
        <v>17100000</v>
      </c>
      <c r="K16">
        <v>4</v>
      </c>
      <c r="L16">
        <v>3</v>
      </c>
      <c r="M16">
        <v>3</v>
      </c>
      <c r="N16" t="s">
        <v>25</v>
      </c>
      <c r="O16" t="s">
        <v>26</v>
      </c>
      <c r="P16" t="s">
        <v>36</v>
      </c>
      <c r="Q16" s="5"/>
      <c r="S16">
        <f>DATEDIF(D16,DATE(2026,9,30),"Y")</f>
        <v>30</v>
      </c>
      <c r="T16" s="6">
        <f>(IF(Q16="",DATE(2026,9,30),Q16)-E16)/365.25</f>
        <v>5.4811772758384665</v>
      </c>
      <c r="U16" t="str">
        <f>_xlfn.XLOOKUP(Table1_1[[#This Row],[Bo''lim]],Bolimlar!A:A,Bolimlar!B:B,"Topilmadi")</f>
        <v>Jasur Yusupov</v>
      </c>
      <c r="V16">
        <f>IF(P16="Ha",1,0)</f>
        <v>0</v>
      </c>
      <c r="W16" t="str">
        <f>IF(T16&lt;1,"1 yildan kam",IF(T16&lt;3,"1-3 yil","3 yildan ko'p"))</f>
        <v>3 yildan ko'p</v>
      </c>
    </row>
    <row r="17" spans="1:23" x14ac:dyDescent="0.3">
      <c r="A17" t="s">
        <v>996</v>
      </c>
      <c r="B17" t="s">
        <v>362</v>
      </c>
      <c r="C17" t="s">
        <v>20</v>
      </c>
      <c r="D17" s="5">
        <v>32724</v>
      </c>
      <c r="E17" s="5">
        <v>45537</v>
      </c>
      <c r="F17" t="s">
        <v>21</v>
      </c>
      <c r="G17" t="s">
        <v>32</v>
      </c>
      <c r="H17" t="s">
        <v>23</v>
      </c>
      <c r="I17" t="s">
        <v>24</v>
      </c>
      <c r="J17">
        <v>17040000</v>
      </c>
      <c r="K17">
        <v>4</v>
      </c>
      <c r="L17">
        <v>2</v>
      </c>
      <c r="M17">
        <v>16</v>
      </c>
      <c r="N17" t="s">
        <v>41</v>
      </c>
      <c r="O17" t="s">
        <v>35</v>
      </c>
      <c r="P17" t="s">
        <v>36</v>
      </c>
      <c r="Q17" s="5"/>
      <c r="S17">
        <f>DATEDIF(D17,DATE(2026,9,30),"Y")</f>
        <v>37</v>
      </c>
      <c r="T17" s="6">
        <f>(IF(Q17="",DATE(2026,9,30),Q17)-E17)/365.25</f>
        <v>2.0752908966461328</v>
      </c>
      <c r="U17" t="str">
        <f>_xlfn.XLOOKUP(Table1_1[[#This Row],[Bo''lim]],Bolimlar!A:A,Bolimlar!B:B,"Topilmadi")</f>
        <v>Jasur Yusupov</v>
      </c>
      <c r="V17">
        <f>IF(P17="Ha",1,0)</f>
        <v>0</v>
      </c>
      <c r="W17" t="str">
        <f>IF(T17&lt;1,"1 yildan kam",IF(T17&lt;3,"1-3 yil","3 yildan ko'p"))</f>
        <v>1-3 yil</v>
      </c>
    </row>
    <row r="18" spans="1:23" x14ac:dyDescent="0.3">
      <c r="A18" t="s">
        <v>870</v>
      </c>
      <c r="B18" t="s">
        <v>871</v>
      </c>
      <c r="C18" t="s">
        <v>20</v>
      </c>
      <c r="D18" s="5">
        <v>34232</v>
      </c>
      <c r="E18" s="5">
        <v>45962</v>
      </c>
      <c r="F18" t="s">
        <v>21</v>
      </c>
      <c r="G18" t="s">
        <v>22</v>
      </c>
      <c r="H18" t="s">
        <v>23</v>
      </c>
      <c r="I18" t="s">
        <v>44</v>
      </c>
      <c r="J18">
        <v>16560000</v>
      </c>
      <c r="K18">
        <v>4</v>
      </c>
      <c r="L18">
        <v>5</v>
      </c>
      <c r="M18">
        <v>0</v>
      </c>
      <c r="N18" t="s">
        <v>88</v>
      </c>
      <c r="O18" t="s">
        <v>35</v>
      </c>
      <c r="P18" t="s">
        <v>36</v>
      </c>
      <c r="Q18" s="5"/>
      <c r="S18">
        <f>DATEDIF(D18,DATE(2026,9,30),"Y")</f>
        <v>33</v>
      </c>
      <c r="T18" s="6">
        <f>(IF(Q18="",DATE(2026,9,30),Q18)-E18)/365.25</f>
        <v>0.9117043121149897</v>
      </c>
      <c r="U18" t="str">
        <f>_xlfn.XLOOKUP(Table1_1[[#This Row],[Bo''lim]],Bolimlar!A:A,Bolimlar!B:B,"Topilmadi")</f>
        <v>Jasur Yusupov</v>
      </c>
      <c r="V18">
        <f>IF(P18="Ha",1,0)</f>
        <v>0</v>
      </c>
      <c r="W18" t="str">
        <f>IF(T18&lt;1,"1 yildan kam",IF(T18&lt;3,"1-3 yil","3 yildan ko'p"))</f>
        <v>1 yildan kam</v>
      </c>
    </row>
    <row r="19" spans="1:23" x14ac:dyDescent="0.3">
      <c r="A19" t="s">
        <v>1151</v>
      </c>
      <c r="B19" t="s">
        <v>1050</v>
      </c>
      <c r="C19" t="s">
        <v>20</v>
      </c>
      <c r="D19" s="5">
        <v>37119</v>
      </c>
      <c r="E19" s="5">
        <v>46250</v>
      </c>
      <c r="F19" t="s">
        <v>245</v>
      </c>
      <c r="G19" t="s">
        <v>90</v>
      </c>
      <c r="H19" t="s">
        <v>23</v>
      </c>
      <c r="I19" t="s">
        <v>24</v>
      </c>
      <c r="J19">
        <v>16440000</v>
      </c>
      <c r="K19">
        <v>4</v>
      </c>
      <c r="L19">
        <v>3</v>
      </c>
      <c r="M19">
        <v>18</v>
      </c>
      <c r="N19" t="s">
        <v>41</v>
      </c>
      <c r="O19" t="s">
        <v>26</v>
      </c>
      <c r="P19" t="s">
        <v>36</v>
      </c>
      <c r="Q19" s="5"/>
      <c r="S19">
        <f>DATEDIF(D19,DATE(2026,9,30),"Y")</f>
        <v>25</v>
      </c>
      <c r="T19" s="6">
        <f>(IF(Q19="",DATE(2026,9,30),Q19)-E19)/365.25</f>
        <v>0.12320328542094455</v>
      </c>
      <c r="U19" t="str">
        <f>_xlfn.XLOOKUP(Table1_1[[#This Row],[Bo''lim]],Bolimlar!A:A,Bolimlar!B:B,"Topilmadi")</f>
        <v>Dilnoza Rahimova</v>
      </c>
      <c r="V19">
        <f>IF(P19="Ha",1,0)</f>
        <v>0</v>
      </c>
      <c r="W19" t="str">
        <f>IF(T19&lt;1,"1 yildan kam",IF(T19&lt;3,"1-3 yil","3 yildan ko'p"))</f>
        <v>1 yildan kam</v>
      </c>
    </row>
    <row r="20" spans="1:23" x14ac:dyDescent="0.3">
      <c r="A20" t="s">
        <v>125</v>
      </c>
      <c r="B20" t="s">
        <v>126</v>
      </c>
      <c r="C20" t="s">
        <v>31</v>
      </c>
      <c r="D20" s="5">
        <v>35217</v>
      </c>
      <c r="E20" s="5">
        <v>43567</v>
      </c>
      <c r="F20" t="s">
        <v>245</v>
      </c>
      <c r="G20" t="s">
        <v>127</v>
      </c>
      <c r="H20" t="s">
        <v>23</v>
      </c>
      <c r="I20" t="s">
        <v>24</v>
      </c>
      <c r="J20">
        <v>16340000</v>
      </c>
      <c r="K20">
        <v>4</v>
      </c>
      <c r="L20">
        <v>5</v>
      </c>
      <c r="M20">
        <v>15</v>
      </c>
      <c r="N20" t="s">
        <v>41</v>
      </c>
      <c r="P20" t="s">
        <v>36</v>
      </c>
      <c r="Q20" s="5"/>
      <c r="S20">
        <f>DATEDIF(D20,DATE(2026,9,30),"Y")</f>
        <v>30</v>
      </c>
      <c r="T20" s="6">
        <f>(IF(Q20="",DATE(2026,9,30),Q20)-E20)/365.25</f>
        <v>7.4688569472963726</v>
      </c>
      <c r="U20" t="str">
        <f>_xlfn.XLOOKUP(Table1_1[[#This Row],[Bo''lim]],Bolimlar!A:A,Bolimlar!B:B,"Topilmadi")</f>
        <v>Dilnoza Rahimova</v>
      </c>
      <c r="V20">
        <f>IF(P20="Ha",1,0)</f>
        <v>0</v>
      </c>
      <c r="W20" t="str">
        <f>IF(T20&lt;1,"1 yildan kam",IF(T20&lt;3,"1-3 yil","3 yildan ko'p"))</f>
        <v>3 yildan ko'p</v>
      </c>
    </row>
    <row r="21" spans="1:23" x14ac:dyDescent="0.3">
      <c r="A21" t="s">
        <v>880</v>
      </c>
      <c r="B21" t="s">
        <v>834</v>
      </c>
      <c r="C21" t="s">
        <v>20</v>
      </c>
      <c r="D21" s="5">
        <v>33567</v>
      </c>
      <c r="E21" s="5">
        <v>45053</v>
      </c>
      <c r="F21" t="s">
        <v>1035</v>
      </c>
      <c r="G21" t="s">
        <v>65</v>
      </c>
      <c r="H21" t="s">
        <v>23</v>
      </c>
      <c r="I21" t="s">
        <v>24</v>
      </c>
      <c r="J21">
        <v>15750000</v>
      </c>
      <c r="K21">
        <v>3</v>
      </c>
      <c r="L21">
        <v>2</v>
      </c>
      <c r="M21">
        <v>9</v>
      </c>
      <c r="N21" t="s">
        <v>25</v>
      </c>
      <c r="O21" t="s">
        <v>53</v>
      </c>
      <c r="P21" t="s">
        <v>36</v>
      </c>
      <c r="Q21" s="5"/>
      <c r="S21">
        <f>DATEDIF(D21,DATE(2026,9,30),"Y")</f>
        <v>34</v>
      </c>
      <c r="T21" s="6">
        <f>(IF(Q21="",DATE(2026,9,30),Q21)-E21)/365.25</f>
        <v>3.40041067761807</v>
      </c>
      <c r="U21" t="str">
        <f>_xlfn.XLOOKUP(Table1_1[[#This Row],[Bo''lim]],Bolimlar!A:A,Bolimlar!B:B,"Topilmadi")</f>
        <v>Aziz Karimov</v>
      </c>
      <c r="V21">
        <f>IF(P21="Ha",1,0)</f>
        <v>0</v>
      </c>
      <c r="W21" t="str">
        <f>IF(T21&lt;1,"1 yildan kam",IF(T21&lt;3,"1-3 yil","3 yildan ko'p"))</f>
        <v>3 yildan ko'p</v>
      </c>
    </row>
    <row r="22" spans="1:23" x14ac:dyDescent="0.3">
      <c r="A22" t="s">
        <v>1234</v>
      </c>
      <c r="B22" t="s">
        <v>580</v>
      </c>
      <c r="C22" t="s">
        <v>20</v>
      </c>
      <c r="D22" s="5">
        <v>35414</v>
      </c>
      <c r="E22" s="5">
        <v>46191</v>
      </c>
      <c r="F22" t="s">
        <v>1035</v>
      </c>
      <c r="G22" t="s">
        <v>73</v>
      </c>
      <c r="H22" t="s">
        <v>23</v>
      </c>
      <c r="I22" t="s">
        <v>34</v>
      </c>
      <c r="J22">
        <v>15700000</v>
      </c>
      <c r="K22">
        <v>4</v>
      </c>
      <c r="L22">
        <v>3</v>
      </c>
      <c r="M22">
        <v>4</v>
      </c>
      <c r="N22" t="s">
        <v>41</v>
      </c>
      <c r="O22" t="s">
        <v>26</v>
      </c>
      <c r="P22" t="s">
        <v>36</v>
      </c>
      <c r="Q22" s="5"/>
      <c r="S22">
        <f>DATEDIF(D22,DATE(2026,9,30),"Y")</f>
        <v>29</v>
      </c>
      <c r="T22" s="6">
        <f>(IF(Q22="",DATE(2026,9,30),Q22)-E22)/365.25</f>
        <v>0.28473648186173856</v>
      </c>
      <c r="U22" t="str">
        <f>_xlfn.XLOOKUP(Table1_1[[#This Row],[Bo''lim]],Bolimlar!A:A,Bolimlar!B:B,"Topilmadi")</f>
        <v>Aziz Karimov</v>
      </c>
      <c r="V22">
        <f>IF(P22="Ha",1,0)</f>
        <v>0</v>
      </c>
      <c r="W22" t="str">
        <f>IF(T22&lt;1,"1 yildan kam",IF(T22&lt;3,"1-3 yil","3 yildan ko'p"))</f>
        <v>1 yildan kam</v>
      </c>
    </row>
    <row r="23" spans="1:23" x14ac:dyDescent="0.3">
      <c r="A23" t="s">
        <v>158</v>
      </c>
      <c r="B23" t="s">
        <v>159</v>
      </c>
      <c r="C23" t="s">
        <v>31</v>
      </c>
      <c r="D23" s="5">
        <v>34829</v>
      </c>
      <c r="E23" s="5">
        <v>45275</v>
      </c>
      <c r="F23" t="s">
        <v>1035</v>
      </c>
      <c r="G23" t="s">
        <v>79</v>
      </c>
      <c r="H23" t="s">
        <v>23</v>
      </c>
      <c r="I23" t="s">
        <v>82</v>
      </c>
      <c r="J23">
        <v>15660000</v>
      </c>
      <c r="K23">
        <v>1</v>
      </c>
      <c r="L23">
        <v>2</v>
      </c>
      <c r="M23">
        <v>10</v>
      </c>
      <c r="N23" t="s">
        <v>25</v>
      </c>
      <c r="O23" t="s">
        <v>26</v>
      </c>
      <c r="P23" t="s">
        <v>36</v>
      </c>
      <c r="Q23" s="5"/>
      <c r="S23">
        <f>DATEDIF(D23,DATE(2026,9,30),"Y")</f>
        <v>31</v>
      </c>
      <c r="T23" s="6">
        <f>(IF(Q23="",DATE(2026,9,30),Q23)-E23)/365.25</f>
        <v>2.7926078028747434</v>
      </c>
      <c r="U23" t="str">
        <f>_xlfn.XLOOKUP(Table1_1[[#This Row],[Bo''lim]],Bolimlar!A:A,Bolimlar!B:B,"Topilmadi")</f>
        <v>Aziz Karimov</v>
      </c>
      <c r="V23">
        <f>IF(P23="Ha",1,0)</f>
        <v>0</v>
      </c>
      <c r="W23" t="str">
        <f>IF(T23&lt;1,"1 yildan kam",IF(T23&lt;3,"1-3 yil","3 yildan ko'p"))</f>
        <v>1-3 yil</v>
      </c>
    </row>
    <row r="24" spans="1:23" x14ac:dyDescent="0.3">
      <c r="A24" t="s">
        <v>464</v>
      </c>
      <c r="B24" t="s">
        <v>465</v>
      </c>
      <c r="C24" t="s">
        <v>20</v>
      </c>
      <c r="D24" s="5">
        <v>31485</v>
      </c>
      <c r="E24" s="5">
        <v>45195</v>
      </c>
      <c r="F24" t="s">
        <v>21</v>
      </c>
      <c r="G24" t="s">
        <v>32</v>
      </c>
      <c r="H24" t="s">
        <v>23</v>
      </c>
      <c r="I24" t="s">
        <v>24</v>
      </c>
      <c r="J24">
        <v>15600000</v>
      </c>
      <c r="L24">
        <v>2</v>
      </c>
      <c r="M24">
        <v>16</v>
      </c>
      <c r="N24" t="s">
        <v>41</v>
      </c>
      <c r="O24" t="s">
        <v>53</v>
      </c>
      <c r="P24" t="s">
        <v>36</v>
      </c>
      <c r="Q24" s="5"/>
      <c r="S24">
        <f>DATEDIF(D24,DATE(2026,9,30),"Y")</f>
        <v>40</v>
      </c>
      <c r="T24" s="6">
        <f>(IF(Q24="",DATE(2026,9,30),Q24)-E24)/365.25</f>
        <v>3.0116358658453115</v>
      </c>
      <c r="U24" t="str">
        <f>_xlfn.XLOOKUP(Table1_1[[#This Row],[Bo''lim]],Bolimlar!A:A,Bolimlar!B:B,"Topilmadi")</f>
        <v>Jasur Yusupov</v>
      </c>
      <c r="V24">
        <f>IF(P24="Ha",1,0)</f>
        <v>0</v>
      </c>
      <c r="W24" t="str">
        <f>IF(T24&lt;1,"1 yildan kam",IF(T24&lt;3,"1-3 yil","3 yildan ko'p"))</f>
        <v>3 yildan ko'p</v>
      </c>
    </row>
    <row r="25" spans="1:23" x14ac:dyDescent="0.3">
      <c r="A25" t="s">
        <v>827</v>
      </c>
      <c r="B25" t="s">
        <v>565</v>
      </c>
      <c r="C25" t="s">
        <v>20</v>
      </c>
      <c r="D25" s="5">
        <v>31031</v>
      </c>
      <c r="E25" s="5">
        <v>45312</v>
      </c>
      <c r="F25" t="s">
        <v>1226</v>
      </c>
      <c r="G25" t="s">
        <v>60</v>
      </c>
      <c r="H25" t="s">
        <v>23</v>
      </c>
      <c r="I25" t="s">
        <v>24</v>
      </c>
      <c r="J25">
        <v>15460000</v>
      </c>
      <c r="K25">
        <v>3</v>
      </c>
      <c r="L25">
        <v>3</v>
      </c>
      <c r="M25">
        <v>24</v>
      </c>
      <c r="N25" t="s">
        <v>41</v>
      </c>
      <c r="O25" t="s">
        <v>26</v>
      </c>
      <c r="P25" t="s">
        <v>36</v>
      </c>
      <c r="Q25" s="5"/>
      <c r="S25">
        <f>DATEDIF(D25,DATE(2026,9,30),"Y")</f>
        <v>41</v>
      </c>
      <c r="T25" s="6">
        <f>(IF(Q25="",DATE(2026,9,30),Q25)-E25)/365.25</f>
        <v>2.6913073237508556</v>
      </c>
      <c r="U25" t="str">
        <f>_xlfn.XLOOKUP(Table1_1[[#This Row],[Bo''lim]],Bolimlar!A:A,Bolimlar!B:B,"Topilmadi")</f>
        <v>Madina Abdullayeva</v>
      </c>
      <c r="V25">
        <f>IF(P25="Ha",1,0)</f>
        <v>0</v>
      </c>
      <c r="W25" t="str">
        <f>IF(T25&lt;1,"1 yildan kam",IF(T25&lt;3,"1-3 yil","3 yildan ko'p"))</f>
        <v>1-3 yil</v>
      </c>
    </row>
    <row r="26" spans="1:23" x14ac:dyDescent="0.3">
      <c r="A26" t="s">
        <v>459</v>
      </c>
      <c r="B26" t="s">
        <v>219</v>
      </c>
      <c r="C26" t="s">
        <v>20</v>
      </c>
      <c r="D26" s="5">
        <v>28681</v>
      </c>
      <c r="E26" s="5">
        <v>44405</v>
      </c>
      <c r="F26" t="s">
        <v>1035</v>
      </c>
      <c r="G26" t="s">
        <v>79</v>
      </c>
      <c r="H26" t="s">
        <v>23</v>
      </c>
      <c r="I26" t="s">
        <v>24</v>
      </c>
      <c r="J26">
        <v>15380000</v>
      </c>
      <c r="K26">
        <v>4</v>
      </c>
      <c r="L26">
        <v>4</v>
      </c>
      <c r="M26">
        <v>16</v>
      </c>
      <c r="N26" t="s">
        <v>25</v>
      </c>
      <c r="O26" t="s">
        <v>35</v>
      </c>
      <c r="P26" t="s">
        <v>36</v>
      </c>
      <c r="Q26" s="5"/>
      <c r="S26">
        <f>DATEDIF(D26,DATE(2026,9,30),"Y")</f>
        <v>48</v>
      </c>
      <c r="T26" s="6">
        <f>(IF(Q26="",DATE(2026,9,30),Q26)-E26)/365.25</f>
        <v>5.1745379876796713</v>
      </c>
      <c r="U26" t="str">
        <f>_xlfn.XLOOKUP(Table1_1[[#This Row],[Bo''lim]],Bolimlar!A:A,Bolimlar!B:B,"Topilmadi")</f>
        <v>Aziz Karimov</v>
      </c>
      <c r="V26">
        <f>IF(P26="Ha",1,0)</f>
        <v>0</v>
      </c>
      <c r="W26" t="str">
        <f>IF(T26&lt;1,"1 yildan kam",IF(T26&lt;3,"1-3 yil","3 yildan ko'p"))</f>
        <v>3 yildan ko'p</v>
      </c>
    </row>
    <row r="27" spans="1:23" x14ac:dyDescent="0.3">
      <c r="A27" t="s">
        <v>419</v>
      </c>
      <c r="B27" t="s">
        <v>420</v>
      </c>
      <c r="C27" t="s">
        <v>31</v>
      </c>
      <c r="D27" s="5">
        <v>35299</v>
      </c>
      <c r="E27" s="5">
        <v>43693</v>
      </c>
      <c r="F27" t="s">
        <v>21</v>
      </c>
      <c r="G27" t="s">
        <v>22</v>
      </c>
      <c r="H27" t="s">
        <v>23</v>
      </c>
      <c r="I27" t="s">
        <v>82</v>
      </c>
      <c r="J27">
        <v>15350000</v>
      </c>
      <c r="K27">
        <v>3</v>
      </c>
      <c r="L27">
        <v>4</v>
      </c>
      <c r="M27">
        <v>5</v>
      </c>
      <c r="N27" t="s">
        <v>88</v>
      </c>
      <c r="O27" t="s">
        <v>26</v>
      </c>
      <c r="P27" t="s">
        <v>36</v>
      </c>
      <c r="Q27" s="5"/>
      <c r="S27">
        <f>DATEDIF(D27,DATE(2026,9,30),"Y")</f>
        <v>30</v>
      </c>
      <c r="T27" s="6">
        <f>(IF(Q27="",DATE(2026,9,30),Q27)-E27)/365.25</f>
        <v>7.1238877481177276</v>
      </c>
      <c r="U27" t="str">
        <f>_xlfn.XLOOKUP(Table1_1[[#This Row],[Bo''lim]],Bolimlar!A:A,Bolimlar!B:B,"Topilmadi")</f>
        <v>Jasur Yusupov</v>
      </c>
      <c r="V27">
        <f>IF(P27="Ha",1,0)</f>
        <v>0</v>
      </c>
      <c r="W27" t="str">
        <f>IF(T27&lt;1,"1 yildan kam",IF(T27&lt;3,"1-3 yil","3 yildan ko'p"))</f>
        <v>3 yildan ko'p</v>
      </c>
    </row>
    <row r="28" spans="1:23" x14ac:dyDescent="0.3">
      <c r="A28" t="s">
        <v>744</v>
      </c>
      <c r="B28" t="s">
        <v>294</v>
      </c>
      <c r="C28" t="s">
        <v>31</v>
      </c>
      <c r="D28" s="5">
        <v>34017</v>
      </c>
      <c r="E28" s="5">
        <v>46059</v>
      </c>
      <c r="F28" t="s">
        <v>245</v>
      </c>
      <c r="G28" t="s">
        <v>127</v>
      </c>
      <c r="H28" t="s">
        <v>23</v>
      </c>
      <c r="I28" t="s">
        <v>24</v>
      </c>
      <c r="J28">
        <v>15320000</v>
      </c>
      <c r="K28">
        <v>3</v>
      </c>
      <c r="L28">
        <v>4</v>
      </c>
      <c r="M28">
        <v>21</v>
      </c>
      <c r="N28" t="s">
        <v>25</v>
      </c>
      <c r="O28" t="s">
        <v>35</v>
      </c>
      <c r="P28" t="s">
        <v>36</v>
      </c>
      <c r="Q28" s="5"/>
      <c r="S28">
        <f>DATEDIF(D28,DATE(2026,9,30),"Y")</f>
        <v>33</v>
      </c>
      <c r="T28" s="6">
        <f>(IF(Q28="",DATE(2026,9,30),Q28)-E28)/365.25</f>
        <v>0.6461327857631759</v>
      </c>
      <c r="U28" t="str">
        <f>_xlfn.XLOOKUP(Table1_1[[#This Row],[Bo''lim]],Bolimlar!A:A,Bolimlar!B:B,"Topilmadi")</f>
        <v>Dilnoza Rahimova</v>
      </c>
      <c r="V28">
        <f>IF(P28="Ha",1,0)</f>
        <v>0</v>
      </c>
      <c r="W28" t="str">
        <f>IF(T28&lt;1,"1 yildan kam",IF(T28&lt;3,"1-3 yil","3 yildan ko'p"))</f>
        <v>1 yildan kam</v>
      </c>
    </row>
    <row r="29" spans="1:23" x14ac:dyDescent="0.3">
      <c r="A29" t="s">
        <v>251</v>
      </c>
      <c r="B29" t="s">
        <v>208</v>
      </c>
      <c r="C29" t="s">
        <v>20</v>
      </c>
      <c r="D29" s="5">
        <v>31799</v>
      </c>
      <c r="E29" s="5">
        <v>45323</v>
      </c>
      <c r="F29" t="s">
        <v>21</v>
      </c>
      <c r="G29" t="s">
        <v>32</v>
      </c>
      <c r="H29" t="s">
        <v>23</v>
      </c>
      <c r="I29" t="s">
        <v>96</v>
      </c>
      <c r="J29">
        <v>15300000</v>
      </c>
      <c r="K29">
        <v>4</v>
      </c>
      <c r="L29">
        <v>3</v>
      </c>
      <c r="M29">
        <v>6</v>
      </c>
      <c r="N29" t="s">
        <v>41</v>
      </c>
      <c r="O29" t="s">
        <v>26</v>
      </c>
      <c r="P29" t="s">
        <v>36</v>
      </c>
      <c r="Q29" s="5"/>
      <c r="S29">
        <f>DATEDIF(D29,DATE(2026,9,30),"Y")</f>
        <v>39</v>
      </c>
      <c r="T29" s="6">
        <f>(IF(Q29="",DATE(2026,9,30),Q29)-E29)/365.25</f>
        <v>2.6611909650924024</v>
      </c>
      <c r="U29" t="str">
        <f>_xlfn.XLOOKUP(Table1_1[[#This Row],[Bo''lim]],Bolimlar!A:A,Bolimlar!B:B,"Topilmadi")</f>
        <v>Jasur Yusupov</v>
      </c>
      <c r="V29">
        <f>IF(P29="Ha",1,0)</f>
        <v>0</v>
      </c>
      <c r="W29" t="str">
        <f>IF(T29&lt;1,"1 yildan kam",IF(T29&lt;3,"1-3 yil","3 yildan ko'p"))</f>
        <v>1-3 yil</v>
      </c>
    </row>
    <row r="30" spans="1:23" x14ac:dyDescent="0.3">
      <c r="A30" t="s">
        <v>663</v>
      </c>
      <c r="B30" t="s">
        <v>664</v>
      </c>
      <c r="C30" t="s">
        <v>20</v>
      </c>
      <c r="D30" s="5">
        <v>33566</v>
      </c>
      <c r="E30" s="5">
        <v>45823</v>
      </c>
      <c r="F30" t="s">
        <v>1035</v>
      </c>
      <c r="G30" t="s">
        <v>79</v>
      </c>
      <c r="H30" t="s">
        <v>23</v>
      </c>
      <c r="I30" t="s">
        <v>206</v>
      </c>
      <c r="J30">
        <v>15280000</v>
      </c>
      <c r="K30">
        <v>3</v>
      </c>
      <c r="L30">
        <v>4</v>
      </c>
      <c r="M30">
        <v>19</v>
      </c>
      <c r="N30" t="s">
        <v>41</v>
      </c>
      <c r="O30" t="s">
        <v>53</v>
      </c>
      <c r="P30" t="s">
        <v>36</v>
      </c>
      <c r="Q30" s="5"/>
      <c r="S30">
        <f>DATEDIF(D30,DATE(2026,9,30),"Y")</f>
        <v>34</v>
      </c>
      <c r="T30" s="6">
        <f>(IF(Q30="",DATE(2026,9,30),Q30)-E30)/365.25</f>
        <v>1.2922655715263518</v>
      </c>
      <c r="U30" t="str">
        <f>_xlfn.XLOOKUP(Table1_1[[#This Row],[Bo''lim]],Bolimlar!A:A,Bolimlar!B:B,"Topilmadi")</f>
        <v>Aziz Karimov</v>
      </c>
      <c r="V30">
        <f>IF(P30="Ha",1,0)</f>
        <v>0</v>
      </c>
      <c r="W30" t="str">
        <f>IF(T30&lt;1,"1 yildan kam",IF(T30&lt;3,"1-3 yil","3 yildan ko'p"))</f>
        <v>1-3 yil</v>
      </c>
    </row>
    <row r="31" spans="1:23" x14ac:dyDescent="0.3">
      <c r="A31" t="s">
        <v>868</v>
      </c>
      <c r="B31" t="s">
        <v>869</v>
      </c>
      <c r="C31" t="s">
        <v>31</v>
      </c>
      <c r="D31" s="5">
        <v>30901</v>
      </c>
      <c r="E31" s="5">
        <v>44326</v>
      </c>
      <c r="F31" t="s">
        <v>1035</v>
      </c>
      <c r="G31" t="s">
        <v>65</v>
      </c>
      <c r="H31" t="s">
        <v>23</v>
      </c>
      <c r="I31" t="s">
        <v>82</v>
      </c>
      <c r="J31">
        <v>15280000</v>
      </c>
      <c r="K31">
        <v>4</v>
      </c>
      <c r="L31">
        <v>3</v>
      </c>
      <c r="M31">
        <v>11</v>
      </c>
      <c r="N31" t="s">
        <v>25</v>
      </c>
      <c r="O31" t="s">
        <v>26</v>
      </c>
      <c r="P31" t="s">
        <v>36</v>
      </c>
      <c r="Q31" s="5"/>
      <c r="S31">
        <f>DATEDIF(D31,DATE(2026,9,30),"Y")</f>
        <v>42</v>
      </c>
      <c r="T31" s="6">
        <f>(IF(Q31="",DATE(2026,9,30),Q31)-E31)/365.25</f>
        <v>5.3908281998631074</v>
      </c>
      <c r="U31" t="str">
        <f>_xlfn.XLOOKUP(Table1_1[[#This Row],[Bo''lim]],Bolimlar!A:A,Bolimlar!B:B,"Topilmadi")</f>
        <v>Aziz Karimov</v>
      </c>
      <c r="V31">
        <f>IF(P31="Ha",1,0)</f>
        <v>0</v>
      </c>
      <c r="W31" t="str">
        <f>IF(T31&lt;1,"1 yildan kam",IF(T31&lt;3,"1-3 yil","3 yildan ko'p"))</f>
        <v>3 yildan ko'p</v>
      </c>
    </row>
    <row r="32" spans="1:23" x14ac:dyDescent="0.3">
      <c r="A32" t="s">
        <v>365</v>
      </c>
      <c r="B32" t="s">
        <v>366</v>
      </c>
      <c r="C32" t="s">
        <v>20</v>
      </c>
      <c r="D32" s="5">
        <v>35294</v>
      </c>
      <c r="E32" s="5">
        <v>46257</v>
      </c>
      <c r="F32" t="s">
        <v>21</v>
      </c>
      <c r="G32" t="s">
        <v>22</v>
      </c>
      <c r="H32" t="s">
        <v>23</v>
      </c>
      <c r="I32" t="s">
        <v>24</v>
      </c>
      <c r="J32">
        <v>15270000</v>
      </c>
      <c r="K32">
        <v>3</v>
      </c>
      <c r="L32">
        <v>5</v>
      </c>
      <c r="M32">
        <v>0</v>
      </c>
      <c r="N32" t="s">
        <v>25</v>
      </c>
      <c r="P32" t="s">
        <v>36</v>
      </c>
      <c r="Q32" s="5"/>
      <c r="S32">
        <f>DATEDIF(D32,DATE(2026,9,30),"Y")</f>
        <v>30</v>
      </c>
      <c r="T32" s="6">
        <f>(IF(Q32="",DATE(2026,9,30),Q32)-E32)/365.25</f>
        <v>0.10403832991101986</v>
      </c>
      <c r="U32" t="str">
        <f>_xlfn.XLOOKUP(Table1_1[[#This Row],[Bo''lim]],Bolimlar!A:A,Bolimlar!B:B,"Topilmadi")</f>
        <v>Jasur Yusupov</v>
      </c>
      <c r="V32">
        <f>IF(P32="Ha",1,0)</f>
        <v>0</v>
      </c>
      <c r="W32" t="str">
        <f>IF(T32&lt;1,"1 yildan kam",IF(T32&lt;3,"1-3 yil","3 yildan ko'p"))</f>
        <v>1 yildan kam</v>
      </c>
    </row>
    <row r="33" spans="1:23" x14ac:dyDescent="0.3">
      <c r="A33" t="s">
        <v>434</v>
      </c>
      <c r="B33" t="s">
        <v>435</v>
      </c>
      <c r="C33" t="s">
        <v>31</v>
      </c>
      <c r="D33" s="5">
        <v>25782</v>
      </c>
      <c r="E33" s="5">
        <v>45593</v>
      </c>
      <c r="F33" t="s">
        <v>1226</v>
      </c>
      <c r="G33" t="s">
        <v>60</v>
      </c>
      <c r="H33" t="s">
        <v>23</v>
      </c>
      <c r="I33" t="s">
        <v>24</v>
      </c>
      <c r="J33">
        <v>15200000</v>
      </c>
      <c r="K33">
        <v>3</v>
      </c>
      <c r="L33">
        <v>4</v>
      </c>
      <c r="M33">
        <v>6</v>
      </c>
      <c r="N33" t="s">
        <v>25</v>
      </c>
      <c r="O33" t="s">
        <v>26</v>
      </c>
      <c r="P33" t="s">
        <v>36</v>
      </c>
      <c r="Q33" s="5"/>
      <c r="S33">
        <f>DATEDIF(D33,DATE(2026,9,30),"Y")</f>
        <v>56</v>
      </c>
      <c r="T33" s="6">
        <f>(IF(Q33="",DATE(2026,9,30),Q33)-E33)/365.25</f>
        <v>1.9219712525667352</v>
      </c>
      <c r="U33" t="str">
        <f>_xlfn.XLOOKUP(Table1_1[[#This Row],[Bo''lim]],Bolimlar!A:A,Bolimlar!B:B,"Topilmadi")</f>
        <v>Madina Abdullayeva</v>
      </c>
      <c r="V33">
        <f>IF(P33="Ha",1,0)</f>
        <v>0</v>
      </c>
      <c r="W33" t="str">
        <f>IF(T33&lt;1,"1 yildan kam",IF(T33&lt;3,"1-3 yil","3 yildan ko'p"))</f>
        <v>1-3 yil</v>
      </c>
    </row>
    <row r="34" spans="1:23" x14ac:dyDescent="0.3">
      <c r="A34" t="s">
        <v>1042</v>
      </c>
      <c r="B34" t="s">
        <v>359</v>
      </c>
      <c r="C34" t="s">
        <v>31</v>
      </c>
      <c r="D34" s="5">
        <v>32934</v>
      </c>
      <c r="E34" s="5">
        <v>45499</v>
      </c>
      <c r="F34" t="s">
        <v>1035</v>
      </c>
      <c r="G34" t="s">
        <v>79</v>
      </c>
      <c r="H34" t="s">
        <v>23</v>
      </c>
      <c r="I34" t="s">
        <v>82</v>
      </c>
      <c r="J34">
        <v>15150000</v>
      </c>
      <c r="K34">
        <v>5</v>
      </c>
      <c r="L34">
        <v>4</v>
      </c>
      <c r="M34">
        <v>20</v>
      </c>
      <c r="N34" t="s">
        <v>41</v>
      </c>
      <c r="O34" t="s">
        <v>26</v>
      </c>
      <c r="P34" t="s">
        <v>36</v>
      </c>
      <c r="Q34" s="5"/>
      <c r="S34">
        <f>DATEDIF(D34,DATE(2026,9,30),"Y")</f>
        <v>36</v>
      </c>
      <c r="T34" s="6">
        <f>(IF(Q34="",DATE(2026,9,30),Q34)-E34)/365.25</f>
        <v>2.1793292265571527</v>
      </c>
      <c r="U34" t="str">
        <f>_xlfn.XLOOKUP(Table1_1[[#This Row],[Bo''lim]],Bolimlar!A:A,Bolimlar!B:B,"Topilmadi")</f>
        <v>Aziz Karimov</v>
      </c>
      <c r="V34">
        <f>IF(P34="Ha",1,0)</f>
        <v>0</v>
      </c>
      <c r="W34" t="str">
        <f>IF(T34&lt;1,"1 yildan kam",IF(T34&lt;3,"1-3 yil","3 yildan ko'p"))</f>
        <v>1-3 yil</v>
      </c>
    </row>
    <row r="35" spans="1:23" x14ac:dyDescent="0.3">
      <c r="A35" t="s">
        <v>948</v>
      </c>
      <c r="B35" t="s">
        <v>507</v>
      </c>
      <c r="C35" t="s">
        <v>20</v>
      </c>
      <c r="D35" s="5">
        <v>34075</v>
      </c>
      <c r="E35" s="5">
        <v>46152</v>
      </c>
      <c r="F35" t="s">
        <v>1035</v>
      </c>
      <c r="G35" t="s">
        <v>65</v>
      </c>
      <c r="H35" t="s">
        <v>23</v>
      </c>
      <c r="I35" t="s">
        <v>104</v>
      </c>
      <c r="J35">
        <v>15080000</v>
      </c>
      <c r="K35">
        <v>5</v>
      </c>
      <c r="L35">
        <v>3</v>
      </c>
      <c r="M35">
        <v>33</v>
      </c>
      <c r="N35" t="s">
        <v>25</v>
      </c>
      <c r="O35" t="s">
        <v>26</v>
      </c>
      <c r="P35" t="s">
        <v>36</v>
      </c>
      <c r="Q35" s="5"/>
      <c r="S35">
        <f>DATEDIF(D35,DATE(2026,9,30),"Y")</f>
        <v>33</v>
      </c>
      <c r="T35" s="6">
        <f>(IF(Q35="",DATE(2026,9,30),Q35)-E35)/365.25</f>
        <v>0.39151266255989048</v>
      </c>
      <c r="U35" t="str">
        <f>_xlfn.XLOOKUP(Table1_1[[#This Row],[Bo''lim]],Bolimlar!A:A,Bolimlar!B:B,"Topilmadi")</f>
        <v>Aziz Karimov</v>
      </c>
      <c r="V35">
        <f>IF(P35="Ha",1,0)</f>
        <v>0</v>
      </c>
      <c r="W35" t="str">
        <f>IF(T35&lt;1,"1 yildan kam",IF(T35&lt;3,"1-3 yil","3 yildan ko'p"))</f>
        <v>1 yildan kam</v>
      </c>
    </row>
    <row r="36" spans="1:23" x14ac:dyDescent="0.3">
      <c r="A36" t="s">
        <v>831</v>
      </c>
      <c r="B36" t="s">
        <v>832</v>
      </c>
      <c r="C36" t="s">
        <v>20</v>
      </c>
      <c r="D36" s="5">
        <v>35667</v>
      </c>
      <c r="E36" s="5">
        <v>45991</v>
      </c>
      <c r="F36" t="s">
        <v>245</v>
      </c>
      <c r="G36" t="s">
        <v>127</v>
      </c>
      <c r="H36" t="s">
        <v>23</v>
      </c>
      <c r="I36" t="s">
        <v>24</v>
      </c>
      <c r="J36">
        <v>15040000</v>
      </c>
      <c r="K36">
        <v>4</v>
      </c>
      <c r="L36">
        <v>2</v>
      </c>
      <c r="M36">
        <v>10</v>
      </c>
      <c r="N36" t="s">
        <v>25</v>
      </c>
      <c r="O36" t="s">
        <v>53</v>
      </c>
      <c r="P36" t="s">
        <v>36</v>
      </c>
      <c r="Q36" s="5"/>
      <c r="S36">
        <f>DATEDIF(D36,DATE(2026,9,30),"Y")</f>
        <v>29</v>
      </c>
      <c r="T36" s="6">
        <f>(IF(Q36="",DATE(2026,9,30),Q36)-E36)/365.25</f>
        <v>0.83230663928815884</v>
      </c>
      <c r="U36" t="str">
        <f>_xlfn.XLOOKUP(Table1_1[[#This Row],[Bo''lim]],Bolimlar!A:A,Bolimlar!B:B,"Topilmadi")</f>
        <v>Dilnoza Rahimova</v>
      </c>
      <c r="V36">
        <f>IF(P36="Ha",1,0)</f>
        <v>0</v>
      </c>
      <c r="W36" t="str">
        <f>IF(T36&lt;1,"1 yildan kam",IF(T36&lt;3,"1-3 yil","3 yildan ko'p"))</f>
        <v>1 yildan kam</v>
      </c>
    </row>
    <row r="37" spans="1:23" x14ac:dyDescent="0.3">
      <c r="A37" t="s">
        <v>1093</v>
      </c>
      <c r="B37" t="s">
        <v>810</v>
      </c>
      <c r="C37" t="s">
        <v>20</v>
      </c>
      <c r="D37" s="5">
        <v>34503</v>
      </c>
      <c r="E37" s="5">
        <v>45514</v>
      </c>
      <c r="F37" t="s">
        <v>245</v>
      </c>
      <c r="G37" t="s">
        <v>48</v>
      </c>
      <c r="H37" t="s">
        <v>23</v>
      </c>
      <c r="I37" t="s">
        <v>104</v>
      </c>
      <c r="J37">
        <v>15030000</v>
      </c>
      <c r="K37">
        <v>3</v>
      </c>
      <c r="L37">
        <v>3</v>
      </c>
      <c r="M37">
        <v>38</v>
      </c>
      <c r="N37" t="s">
        <v>41</v>
      </c>
      <c r="O37" t="s">
        <v>26</v>
      </c>
      <c r="P37" t="s">
        <v>36</v>
      </c>
      <c r="Q37" s="5"/>
      <c r="S37">
        <f>DATEDIF(D37,DATE(2026,9,30),"Y")</f>
        <v>32</v>
      </c>
      <c r="T37" s="6">
        <f>(IF(Q37="",DATE(2026,9,30),Q37)-E37)/365.25</f>
        <v>2.1382614647501712</v>
      </c>
      <c r="U37" t="str">
        <f>_xlfn.XLOOKUP(Table1_1[[#This Row],[Bo''lim]],Bolimlar!A:A,Bolimlar!B:B,"Topilmadi")</f>
        <v>Dilnoza Rahimova</v>
      </c>
      <c r="V37">
        <f>IF(P37="Ha",1,0)</f>
        <v>0</v>
      </c>
      <c r="W37" t="str">
        <f>IF(T37&lt;1,"1 yildan kam",IF(T37&lt;3,"1-3 yil","3 yildan ko'p"))</f>
        <v>1-3 yil</v>
      </c>
    </row>
    <row r="38" spans="1:23" x14ac:dyDescent="0.3">
      <c r="A38" t="s">
        <v>512</v>
      </c>
      <c r="B38" t="s">
        <v>513</v>
      </c>
      <c r="C38" t="s">
        <v>20</v>
      </c>
      <c r="D38" s="5">
        <v>32649</v>
      </c>
      <c r="E38" s="5">
        <v>43892</v>
      </c>
      <c r="F38" t="s">
        <v>1035</v>
      </c>
      <c r="G38" t="s">
        <v>65</v>
      </c>
      <c r="H38" t="s">
        <v>23</v>
      </c>
      <c r="I38" t="s">
        <v>44</v>
      </c>
      <c r="J38">
        <v>14930000</v>
      </c>
      <c r="K38">
        <v>4</v>
      </c>
      <c r="L38">
        <v>1</v>
      </c>
      <c r="M38">
        <v>35</v>
      </c>
      <c r="N38" t="s">
        <v>41</v>
      </c>
      <c r="O38" t="s">
        <v>35</v>
      </c>
      <c r="P38" t="s">
        <v>36</v>
      </c>
      <c r="Q38" s="5"/>
      <c r="S38">
        <f>DATEDIF(D38,DATE(2026,9,30),"Y")</f>
        <v>37</v>
      </c>
      <c r="T38" s="6">
        <f>(IF(Q38="",DATE(2026,9,30),Q38)-E38)/365.25</f>
        <v>6.579055441478439</v>
      </c>
      <c r="U38" t="str">
        <f>_xlfn.XLOOKUP(Table1_1[[#This Row],[Bo''lim]],Bolimlar!A:A,Bolimlar!B:B,"Topilmadi")</f>
        <v>Aziz Karimov</v>
      </c>
      <c r="V38">
        <f>IF(P38="Ha",1,0)</f>
        <v>0</v>
      </c>
      <c r="W38" t="str">
        <f>IF(T38&lt;1,"1 yildan kam",IF(T38&lt;3,"1-3 yil","3 yildan ko'p"))</f>
        <v>3 yildan ko'p</v>
      </c>
    </row>
    <row r="39" spans="1:23" x14ac:dyDescent="0.3">
      <c r="A39" t="s">
        <v>1022</v>
      </c>
      <c r="B39" t="s">
        <v>279</v>
      </c>
      <c r="C39" t="s">
        <v>20</v>
      </c>
      <c r="D39" s="5">
        <v>36970</v>
      </c>
      <c r="E39" s="5">
        <v>45454</v>
      </c>
      <c r="F39" t="s">
        <v>1226</v>
      </c>
      <c r="G39" t="s">
        <v>57</v>
      </c>
      <c r="H39" t="s">
        <v>23</v>
      </c>
      <c r="I39" t="s">
        <v>34</v>
      </c>
      <c r="J39">
        <v>14850000</v>
      </c>
      <c r="K39">
        <v>5</v>
      </c>
      <c r="L39">
        <v>3</v>
      </c>
      <c r="M39">
        <v>8</v>
      </c>
      <c r="N39" t="s">
        <v>25</v>
      </c>
      <c r="O39" t="s">
        <v>26</v>
      </c>
      <c r="P39" t="s">
        <v>36</v>
      </c>
      <c r="Q39" s="5"/>
      <c r="S39">
        <f>DATEDIF(D39,DATE(2026,9,30),"Y")</f>
        <v>25</v>
      </c>
      <c r="T39" s="6">
        <f>(IF(Q39="",DATE(2026,9,30),Q39)-E39)/365.25</f>
        <v>2.3025325119780971</v>
      </c>
      <c r="U39" t="str">
        <f>_xlfn.XLOOKUP(Table1_1[[#This Row],[Bo''lim]],Bolimlar!A:A,Bolimlar!B:B,"Topilmadi")</f>
        <v>Madina Abdullayeva</v>
      </c>
      <c r="V39">
        <f>IF(P39="Ha",1,0)</f>
        <v>0</v>
      </c>
      <c r="W39" t="str">
        <f>IF(T39&lt;1,"1 yildan kam",IF(T39&lt;3,"1-3 yil","3 yildan ko'p"))</f>
        <v>1-3 yil</v>
      </c>
    </row>
    <row r="40" spans="1:23" x14ac:dyDescent="0.3">
      <c r="A40" t="s">
        <v>1255</v>
      </c>
      <c r="B40" t="s">
        <v>273</v>
      </c>
      <c r="C40" t="s">
        <v>20</v>
      </c>
      <c r="D40" s="5">
        <v>37018</v>
      </c>
      <c r="E40" s="5">
        <v>45558</v>
      </c>
      <c r="F40" t="s">
        <v>1035</v>
      </c>
      <c r="G40" t="s">
        <v>73</v>
      </c>
      <c r="H40" t="s">
        <v>23</v>
      </c>
      <c r="I40" t="s">
        <v>24</v>
      </c>
      <c r="J40">
        <v>14850000</v>
      </c>
      <c r="K40">
        <v>4</v>
      </c>
      <c r="L40">
        <v>3</v>
      </c>
      <c r="M40">
        <v>25</v>
      </c>
      <c r="N40" t="s">
        <v>41</v>
      </c>
      <c r="O40" t="s">
        <v>26</v>
      </c>
      <c r="P40" t="s">
        <v>36</v>
      </c>
      <c r="Q40" s="5"/>
      <c r="S40">
        <f>DATEDIF(D40,DATE(2026,9,30),"Y")</f>
        <v>25</v>
      </c>
      <c r="T40" s="6">
        <f>(IF(Q40="",DATE(2026,9,30),Q40)-E40)/365.25</f>
        <v>2.0177960301163584</v>
      </c>
      <c r="U40" t="str">
        <f>_xlfn.XLOOKUP(Table1_1[[#This Row],[Bo''lim]],Bolimlar!A:A,Bolimlar!B:B,"Topilmadi")</f>
        <v>Aziz Karimov</v>
      </c>
      <c r="V40">
        <f>IF(P40="Ha",1,0)</f>
        <v>0</v>
      </c>
      <c r="W40" t="str">
        <f>IF(T40&lt;1,"1 yildan kam",IF(T40&lt;3,"1-3 yil","3 yildan ko'p"))</f>
        <v>1-3 yil</v>
      </c>
    </row>
    <row r="41" spans="1:23" x14ac:dyDescent="0.3">
      <c r="A41" t="s">
        <v>505</v>
      </c>
      <c r="B41" t="s">
        <v>205</v>
      </c>
      <c r="C41" t="s">
        <v>31</v>
      </c>
      <c r="D41" s="5">
        <v>29365</v>
      </c>
      <c r="E41" s="5">
        <v>44470</v>
      </c>
      <c r="F41" t="s">
        <v>245</v>
      </c>
      <c r="G41" t="s">
        <v>90</v>
      </c>
      <c r="H41" t="s">
        <v>23</v>
      </c>
      <c r="I41" t="s">
        <v>34</v>
      </c>
      <c r="J41">
        <v>14780000</v>
      </c>
      <c r="K41">
        <v>1</v>
      </c>
      <c r="L41">
        <v>5</v>
      </c>
      <c r="M41">
        <v>9</v>
      </c>
      <c r="N41" t="s">
        <v>41</v>
      </c>
      <c r="O41" t="s">
        <v>53</v>
      </c>
      <c r="P41" t="s">
        <v>36</v>
      </c>
      <c r="Q41" s="5"/>
      <c r="S41">
        <f>DATEDIF(D41,DATE(2026,9,30),"Y")</f>
        <v>46</v>
      </c>
      <c r="T41" s="6">
        <f>(IF(Q41="",DATE(2026,9,30),Q41)-E41)/365.25</f>
        <v>4.9965776865160851</v>
      </c>
      <c r="U41" t="str">
        <f>_xlfn.XLOOKUP(Table1_1[[#This Row],[Bo''lim]],Bolimlar!A:A,Bolimlar!B:B,"Topilmadi")</f>
        <v>Dilnoza Rahimova</v>
      </c>
      <c r="V41">
        <f>IF(P41="Ha",1,0)</f>
        <v>0</v>
      </c>
      <c r="W41" t="str">
        <f>IF(T41&lt;1,"1 yildan kam",IF(T41&lt;3,"1-3 yil","3 yildan ko'p"))</f>
        <v>3 yildan ko'p</v>
      </c>
    </row>
    <row r="42" spans="1:23" x14ac:dyDescent="0.3">
      <c r="A42" t="s">
        <v>18</v>
      </c>
      <c r="B42" t="s">
        <v>19</v>
      </c>
      <c r="C42" t="s">
        <v>20</v>
      </c>
      <c r="D42" s="5">
        <v>34946</v>
      </c>
      <c r="E42" s="5">
        <v>43842</v>
      </c>
      <c r="F42" t="s">
        <v>21</v>
      </c>
      <c r="G42" t="s">
        <v>22</v>
      </c>
      <c r="H42" t="s">
        <v>23</v>
      </c>
      <c r="I42" t="s">
        <v>24</v>
      </c>
      <c r="J42">
        <v>14720000</v>
      </c>
      <c r="K42">
        <v>3</v>
      </c>
      <c r="L42">
        <v>2</v>
      </c>
      <c r="M42">
        <v>8</v>
      </c>
      <c r="N42" t="s">
        <v>25</v>
      </c>
      <c r="O42" t="s">
        <v>26</v>
      </c>
      <c r="P42" t="s">
        <v>27</v>
      </c>
      <c r="Q42" s="5">
        <v>46237</v>
      </c>
      <c r="R42" t="s">
        <v>28</v>
      </c>
      <c r="S42">
        <f>DATEDIF(D42,DATE(2026,9,30),"Y")</f>
        <v>31</v>
      </c>
      <c r="T42" s="6">
        <f>(IF(Q42="",DATE(2026,9,30),Q42)-E42)/365.25</f>
        <v>6.5571526351813825</v>
      </c>
      <c r="U42" t="str">
        <f>_xlfn.XLOOKUP(Table1_1[[#This Row],[Bo''lim]],Bolimlar!A:A,Bolimlar!B:B,"Topilmadi")</f>
        <v>Jasur Yusupov</v>
      </c>
      <c r="V42">
        <f>IF(P42="Ha",1,0)</f>
        <v>1</v>
      </c>
      <c r="W42" t="str">
        <f>IF(T42&lt;1,"1 yildan kam",IF(T42&lt;3,"1-3 yil","3 yildan ko'p"))</f>
        <v>3 yildan ko'p</v>
      </c>
    </row>
    <row r="43" spans="1:23" x14ac:dyDescent="0.3">
      <c r="A43" t="s">
        <v>1198</v>
      </c>
      <c r="B43" t="s">
        <v>373</v>
      </c>
      <c r="C43" t="s">
        <v>31</v>
      </c>
      <c r="D43" s="5">
        <v>34255</v>
      </c>
      <c r="E43" s="5">
        <v>46101</v>
      </c>
      <c r="F43" t="s">
        <v>39</v>
      </c>
      <c r="G43" t="s">
        <v>40</v>
      </c>
      <c r="H43" t="s">
        <v>23</v>
      </c>
      <c r="I43" t="s">
        <v>34</v>
      </c>
      <c r="J43">
        <v>14600000</v>
      </c>
      <c r="K43">
        <v>1</v>
      </c>
      <c r="L43">
        <v>4</v>
      </c>
      <c r="M43">
        <v>12</v>
      </c>
      <c r="N43" t="s">
        <v>88</v>
      </c>
      <c r="O43" t="s">
        <v>26</v>
      </c>
      <c r="P43" t="s">
        <v>36</v>
      </c>
      <c r="Q43" s="5"/>
      <c r="S43">
        <f>DATEDIF(D43,DATE(2026,9,30),"Y")</f>
        <v>32</v>
      </c>
      <c r="T43" s="6">
        <f>(IF(Q43="",DATE(2026,9,30),Q43)-E43)/365.25</f>
        <v>0.53114305270362761</v>
      </c>
      <c r="U43" t="str">
        <f>_xlfn.XLOOKUP(Table1_1[[#This Row],[Bo''lim]],Bolimlar!A:A,Bolimlar!B:B,"Topilmadi")</f>
        <v>Nodira Tursunova</v>
      </c>
      <c r="V43">
        <f>IF(P43="Ha",1,0)</f>
        <v>0</v>
      </c>
      <c r="W43" t="str">
        <f>IF(T43&lt;1,"1 yildan kam",IF(T43&lt;3,"1-3 yil","3 yildan ko'p"))</f>
        <v>1 yildan kam</v>
      </c>
    </row>
    <row r="44" spans="1:23" x14ac:dyDescent="0.3">
      <c r="A44" t="s">
        <v>699</v>
      </c>
      <c r="B44" t="s">
        <v>700</v>
      </c>
      <c r="C44" t="s">
        <v>31</v>
      </c>
      <c r="D44" s="5">
        <v>31019</v>
      </c>
      <c r="E44" s="5">
        <v>44081</v>
      </c>
      <c r="F44" t="s">
        <v>21</v>
      </c>
      <c r="G44" t="s">
        <v>32</v>
      </c>
      <c r="H44" t="s">
        <v>23</v>
      </c>
      <c r="I44" t="s">
        <v>44</v>
      </c>
      <c r="J44">
        <v>14560000</v>
      </c>
      <c r="K44">
        <v>4</v>
      </c>
      <c r="L44">
        <v>4</v>
      </c>
      <c r="M44">
        <v>17</v>
      </c>
      <c r="N44" t="s">
        <v>41</v>
      </c>
      <c r="O44" t="s">
        <v>26</v>
      </c>
      <c r="P44" t="s">
        <v>27</v>
      </c>
      <c r="Q44" s="5">
        <v>46156</v>
      </c>
      <c r="R44" t="s">
        <v>28</v>
      </c>
      <c r="S44">
        <f>DATEDIF(D44,DATE(2026,9,30),"Y")</f>
        <v>41</v>
      </c>
      <c r="T44" s="6">
        <f>(IF(Q44="",DATE(2026,9,30),Q44)-E44)/365.25</f>
        <v>5.6810403832991101</v>
      </c>
      <c r="U44" t="str">
        <f>_xlfn.XLOOKUP(Table1_1[[#This Row],[Bo''lim]],Bolimlar!A:A,Bolimlar!B:B,"Topilmadi")</f>
        <v>Jasur Yusupov</v>
      </c>
      <c r="V44">
        <f>IF(P44="Ha",1,0)</f>
        <v>1</v>
      </c>
      <c r="W44" t="str">
        <f>IF(T44&lt;1,"1 yildan kam",IF(T44&lt;3,"1-3 yil","3 yildan ko'p"))</f>
        <v>3 yildan ko'p</v>
      </c>
    </row>
    <row r="45" spans="1:23" x14ac:dyDescent="0.3">
      <c r="A45" t="s">
        <v>701</v>
      </c>
      <c r="B45" t="s">
        <v>154</v>
      </c>
      <c r="C45" t="s">
        <v>20</v>
      </c>
      <c r="D45" s="5">
        <v>32361</v>
      </c>
      <c r="E45" s="5">
        <v>46006</v>
      </c>
      <c r="F45" t="s">
        <v>1035</v>
      </c>
      <c r="G45" t="s">
        <v>65</v>
      </c>
      <c r="H45" t="s">
        <v>23</v>
      </c>
      <c r="I45" t="s">
        <v>104</v>
      </c>
      <c r="J45">
        <v>14550000</v>
      </c>
      <c r="K45">
        <v>2</v>
      </c>
      <c r="L45">
        <v>4</v>
      </c>
      <c r="M45">
        <v>17</v>
      </c>
      <c r="N45" t="s">
        <v>25</v>
      </c>
      <c r="P45" t="s">
        <v>27</v>
      </c>
      <c r="Q45" s="5">
        <v>46143</v>
      </c>
      <c r="R45" t="s">
        <v>235</v>
      </c>
      <c r="S45">
        <f>DATEDIF(D45,DATE(2026,9,30),"Y")</f>
        <v>38</v>
      </c>
      <c r="T45" s="6">
        <f>(IF(Q45="",DATE(2026,9,30),Q45)-E45)/365.25</f>
        <v>0.3750855578370979</v>
      </c>
      <c r="U45" t="str">
        <f>_xlfn.XLOOKUP(Table1_1[[#This Row],[Bo''lim]],Bolimlar!A:A,Bolimlar!B:B,"Topilmadi")</f>
        <v>Aziz Karimov</v>
      </c>
      <c r="V45">
        <f>IF(P45="Ha",1,0)</f>
        <v>1</v>
      </c>
      <c r="W45" t="str">
        <f>IF(T45&lt;1,"1 yildan kam",IF(T45&lt;3,"1-3 yil","3 yildan ko'p"))</f>
        <v>1 yildan kam</v>
      </c>
    </row>
    <row r="46" spans="1:23" x14ac:dyDescent="0.3">
      <c r="A46" t="s">
        <v>194</v>
      </c>
      <c r="B46" t="s">
        <v>192</v>
      </c>
      <c r="C46" t="s">
        <v>20</v>
      </c>
      <c r="D46" s="5">
        <v>37523</v>
      </c>
      <c r="E46" s="5">
        <v>45044</v>
      </c>
      <c r="F46" t="s">
        <v>1226</v>
      </c>
      <c r="G46" t="s">
        <v>142</v>
      </c>
      <c r="H46" t="s">
        <v>23</v>
      </c>
      <c r="I46" t="s">
        <v>24</v>
      </c>
      <c r="J46">
        <v>14510000</v>
      </c>
      <c r="K46">
        <v>3</v>
      </c>
      <c r="L46">
        <v>2</v>
      </c>
      <c r="M46">
        <v>5</v>
      </c>
      <c r="N46" t="s">
        <v>41</v>
      </c>
      <c r="O46" t="s">
        <v>26</v>
      </c>
      <c r="P46" t="s">
        <v>36</v>
      </c>
      <c r="Q46" s="5"/>
      <c r="S46">
        <f>DATEDIF(D46,DATE(2026,9,30),"Y")</f>
        <v>24</v>
      </c>
      <c r="T46" s="6">
        <f>(IF(Q46="",DATE(2026,9,30),Q46)-E46)/365.25</f>
        <v>3.4250513347022586</v>
      </c>
      <c r="U46" t="str">
        <f>_xlfn.XLOOKUP(Table1_1[[#This Row],[Bo''lim]],Bolimlar!A:A,Bolimlar!B:B,"Topilmadi")</f>
        <v>Madina Abdullayeva</v>
      </c>
      <c r="V46">
        <f>IF(P46="Ha",1,0)</f>
        <v>0</v>
      </c>
      <c r="W46" t="str">
        <f>IF(T46&lt;1,"1 yildan kam",IF(T46&lt;3,"1-3 yil","3 yildan ko'p"))</f>
        <v>3 yildan ko'p</v>
      </c>
    </row>
    <row r="47" spans="1:23" x14ac:dyDescent="0.3">
      <c r="A47" t="s">
        <v>964</v>
      </c>
      <c r="B47" t="s">
        <v>751</v>
      </c>
      <c r="C47" t="s">
        <v>31</v>
      </c>
      <c r="D47" s="5">
        <v>35381</v>
      </c>
      <c r="E47" s="5">
        <v>45910</v>
      </c>
      <c r="F47" t="s">
        <v>1035</v>
      </c>
      <c r="G47" t="s">
        <v>73</v>
      </c>
      <c r="H47" t="s">
        <v>23</v>
      </c>
      <c r="I47" t="s">
        <v>24</v>
      </c>
      <c r="J47">
        <v>14490000</v>
      </c>
      <c r="K47">
        <v>3</v>
      </c>
      <c r="L47">
        <v>3</v>
      </c>
      <c r="M47">
        <v>17</v>
      </c>
      <c r="N47" t="s">
        <v>88</v>
      </c>
      <c r="O47" t="s">
        <v>53</v>
      </c>
      <c r="P47" t="s">
        <v>36</v>
      </c>
      <c r="Q47" s="5"/>
      <c r="S47">
        <f>DATEDIF(D47,DATE(2026,9,30),"Y")</f>
        <v>29</v>
      </c>
      <c r="T47" s="6">
        <f>(IF(Q47="",DATE(2026,9,30),Q47)-E47)/365.25</f>
        <v>1.054072553045859</v>
      </c>
      <c r="U47" t="str">
        <f>_xlfn.XLOOKUP(Table1_1[[#This Row],[Bo''lim]],Bolimlar!A:A,Bolimlar!B:B,"Topilmadi")</f>
        <v>Aziz Karimov</v>
      </c>
      <c r="V47">
        <f>IF(P47="Ha",1,0)</f>
        <v>0</v>
      </c>
      <c r="W47" t="str">
        <f>IF(T47&lt;1,"1 yildan kam",IF(T47&lt;3,"1-3 yil","3 yildan ko'p"))</f>
        <v>1-3 yil</v>
      </c>
    </row>
    <row r="48" spans="1:23" x14ac:dyDescent="0.3">
      <c r="A48" t="s">
        <v>436</v>
      </c>
      <c r="B48" t="s">
        <v>437</v>
      </c>
      <c r="C48" t="s">
        <v>20</v>
      </c>
      <c r="D48" s="5">
        <v>33588</v>
      </c>
      <c r="E48" s="5">
        <v>46016</v>
      </c>
      <c r="F48" t="s">
        <v>1035</v>
      </c>
      <c r="G48" t="s">
        <v>79</v>
      </c>
      <c r="H48" t="s">
        <v>23</v>
      </c>
      <c r="I48" t="s">
        <v>104</v>
      </c>
      <c r="J48">
        <v>14470000</v>
      </c>
      <c r="K48">
        <v>4</v>
      </c>
      <c r="L48">
        <v>4</v>
      </c>
      <c r="M48">
        <v>10</v>
      </c>
      <c r="N48" t="s">
        <v>41</v>
      </c>
      <c r="O48" t="s">
        <v>53</v>
      </c>
      <c r="P48" t="s">
        <v>36</v>
      </c>
      <c r="Q48" s="5"/>
      <c r="S48">
        <f>DATEDIF(D48,DATE(2026,9,30),"Y")</f>
        <v>34</v>
      </c>
      <c r="T48" s="6">
        <f>(IF(Q48="",DATE(2026,9,30),Q48)-E48)/365.25</f>
        <v>0.76386036960985626</v>
      </c>
      <c r="U48" t="str">
        <f>_xlfn.XLOOKUP(Table1_1[[#This Row],[Bo''lim]],Bolimlar!A:A,Bolimlar!B:B,"Topilmadi")</f>
        <v>Aziz Karimov</v>
      </c>
      <c r="V48">
        <f>IF(P48="Ha",1,0)</f>
        <v>0</v>
      </c>
      <c r="W48" t="str">
        <f>IF(T48&lt;1,"1 yildan kam",IF(T48&lt;3,"1-3 yil","3 yildan ko'p"))</f>
        <v>1 yildan kam</v>
      </c>
    </row>
    <row r="49" spans="1:23" x14ac:dyDescent="0.3">
      <c r="A49" t="s">
        <v>889</v>
      </c>
      <c r="B49" t="s">
        <v>322</v>
      </c>
      <c r="C49" t="s">
        <v>20</v>
      </c>
      <c r="D49" s="5">
        <v>30933</v>
      </c>
      <c r="E49" s="5">
        <v>45244</v>
      </c>
      <c r="F49" t="s">
        <v>1035</v>
      </c>
      <c r="G49" t="s">
        <v>65</v>
      </c>
      <c r="H49" t="s">
        <v>23</v>
      </c>
      <c r="I49" t="s">
        <v>82</v>
      </c>
      <c r="J49">
        <v>14420000</v>
      </c>
      <c r="K49">
        <v>4</v>
      </c>
      <c r="L49">
        <v>4</v>
      </c>
      <c r="M49">
        <v>11</v>
      </c>
      <c r="N49" t="s">
        <v>25</v>
      </c>
      <c r="O49" t="s">
        <v>35</v>
      </c>
      <c r="P49" t="s">
        <v>36</v>
      </c>
      <c r="Q49" s="5"/>
      <c r="S49">
        <f>DATEDIF(D49,DATE(2026,9,30),"Y")</f>
        <v>42</v>
      </c>
      <c r="T49" s="6">
        <f>(IF(Q49="",DATE(2026,9,30),Q49)-E49)/365.25</f>
        <v>2.8774811772758384</v>
      </c>
      <c r="U49" t="str">
        <f>_xlfn.XLOOKUP(Table1_1[[#This Row],[Bo''lim]],Bolimlar!A:A,Bolimlar!B:B,"Topilmadi")</f>
        <v>Aziz Karimov</v>
      </c>
      <c r="V49">
        <f>IF(P49="Ha",1,0)</f>
        <v>0</v>
      </c>
      <c r="W49" t="str">
        <f>IF(T49&lt;1,"1 yildan kam",IF(T49&lt;3,"1-3 yil","3 yildan ko'p"))</f>
        <v>1-3 yil</v>
      </c>
    </row>
    <row r="50" spans="1:23" x14ac:dyDescent="0.3">
      <c r="A50" t="s">
        <v>730</v>
      </c>
      <c r="B50" t="s">
        <v>731</v>
      </c>
      <c r="C50" t="s">
        <v>31</v>
      </c>
      <c r="D50" s="5">
        <v>33955</v>
      </c>
      <c r="E50" s="5">
        <v>44185</v>
      </c>
      <c r="F50" t="s">
        <v>245</v>
      </c>
      <c r="G50" t="s">
        <v>48</v>
      </c>
      <c r="H50" t="s">
        <v>23</v>
      </c>
      <c r="I50" t="s">
        <v>24</v>
      </c>
      <c r="J50">
        <v>14320000</v>
      </c>
      <c r="K50">
        <v>2</v>
      </c>
      <c r="L50">
        <v>3</v>
      </c>
      <c r="M50">
        <v>6</v>
      </c>
      <c r="N50" t="s">
        <v>25</v>
      </c>
      <c r="O50" t="s">
        <v>35</v>
      </c>
      <c r="P50" t="s">
        <v>36</v>
      </c>
      <c r="Q50" s="5"/>
      <c r="S50">
        <f>DATEDIF(D50,DATE(2026,9,30),"Y")</f>
        <v>33</v>
      </c>
      <c r="T50" s="6">
        <f>(IF(Q50="",DATE(2026,9,30),Q50)-E50)/365.25</f>
        <v>5.7768651608487334</v>
      </c>
      <c r="U50" t="str">
        <f>_xlfn.XLOOKUP(Table1_1[[#This Row],[Bo''lim]],Bolimlar!A:A,Bolimlar!B:B,"Topilmadi")</f>
        <v>Dilnoza Rahimova</v>
      </c>
      <c r="V50">
        <f>IF(P50="Ha",1,0)</f>
        <v>0</v>
      </c>
      <c r="W50" t="str">
        <f>IF(T50&lt;1,"1 yildan kam",IF(T50&lt;3,"1-3 yil","3 yildan ko'p"))</f>
        <v>3 yildan ko'p</v>
      </c>
    </row>
    <row r="51" spans="1:23" x14ac:dyDescent="0.3">
      <c r="A51" t="s">
        <v>1094</v>
      </c>
      <c r="B51" t="s">
        <v>1095</v>
      </c>
      <c r="C51" t="s">
        <v>20</v>
      </c>
      <c r="D51" s="5">
        <v>33956</v>
      </c>
      <c r="E51" s="5">
        <v>42622</v>
      </c>
      <c r="F51" t="s">
        <v>1035</v>
      </c>
      <c r="G51" t="s">
        <v>79</v>
      </c>
      <c r="H51" t="s">
        <v>23</v>
      </c>
      <c r="I51" t="s">
        <v>44</v>
      </c>
      <c r="J51">
        <v>14290000</v>
      </c>
      <c r="K51">
        <v>3</v>
      </c>
      <c r="L51">
        <v>3</v>
      </c>
      <c r="M51">
        <v>12</v>
      </c>
      <c r="N51" t="s">
        <v>25</v>
      </c>
      <c r="O51" t="s">
        <v>26</v>
      </c>
      <c r="P51" t="s">
        <v>36</v>
      </c>
      <c r="Q51" s="5"/>
      <c r="S51">
        <f>DATEDIF(D51,DATE(2026,9,30),"Y")</f>
        <v>33</v>
      </c>
      <c r="T51" s="6">
        <f>(IF(Q51="",DATE(2026,9,30),Q51)-E51)/365.25</f>
        <v>10.056125941136209</v>
      </c>
      <c r="U51" t="str">
        <f>_xlfn.XLOOKUP(Table1_1[[#This Row],[Bo''lim]],Bolimlar!A:A,Bolimlar!B:B,"Topilmadi")</f>
        <v>Aziz Karimov</v>
      </c>
      <c r="V51">
        <f>IF(P51="Ha",1,0)</f>
        <v>0</v>
      </c>
      <c r="W51" t="str">
        <f>IF(T51&lt;1,"1 yildan kam",IF(T51&lt;3,"1-3 yil","3 yildan ko'p"))</f>
        <v>3 yildan ko'p</v>
      </c>
    </row>
    <row r="52" spans="1:23" x14ac:dyDescent="0.3">
      <c r="A52" t="s">
        <v>1209</v>
      </c>
      <c r="B52" t="s">
        <v>398</v>
      </c>
      <c r="C52" t="s">
        <v>20</v>
      </c>
      <c r="D52" s="5">
        <v>37265</v>
      </c>
      <c r="E52" s="5">
        <v>45817</v>
      </c>
      <c r="F52" t="s">
        <v>484</v>
      </c>
      <c r="G52" t="s">
        <v>150</v>
      </c>
      <c r="H52" t="s">
        <v>23</v>
      </c>
      <c r="I52" t="s">
        <v>104</v>
      </c>
      <c r="J52">
        <v>14180000</v>
      </c>
      <c r="K52">
        <v>4</v>
      </c>
      <c r="L52">
        <v>1</v>
      </c>
      <c r="M52">
        <v>31</v>
      </c>
      <c r="N52" t="s">
        <v>25</v>
      </c>
      <c r="O52" t="s">
        <v>26</v>
      </c>
      <c r="P52" t="s">
        <v>36</v>
      </c>
      <c r="Q52" s="5"/>
      <c r="S52">
        <f>DATEDIF(D52,DATE(2026,9,30),"Y")</f>
        <v>24</v>
      </c>
      <c r="T52" s="6">
        <f>(IF(Q52="",DATE(2026,9,30),Q52)-E52)/365.25</f>
        <v>1.3086926762491444</v>
      </c>
      <c r="U52" t="str">
        <f>_xlfn.XLOOKUP(Table1_1[[#This Row],[Bo''lim]],Bolimlar!A:A,Bolimlar!B:B,"Topilmadi")</f>
        <v>Sardor Nazarov</v>
      </c>
      <c r="V52">
        <f>IF(P52="Ha",1,0)</f>
        <v>0</v>
      </c>
      <c r="W52" t="str">
        <f>IF(T52&lt;1,"1 yildan kam",IF(T52&lt;3,"1-3 yil","3 yildan ko'p"))</f>
        <v>1-3 yil</v>
      </c>
    </row>
    <row r="53" spans="1:23" x14ac:dyDescent="0.3">
      <c r="A53" t="s">
        <v>747</v>
      </c>
      <c r="B53" t="s">
        <v>748</v>
      </c>
      <c r="C53" t="s">
        <v>20</v>
      </c>
      <c r="D53" s="5">
        <v>32494</v>
      </c>
      <c r="E53" s="5">
        <v>44286</v>
      </c>
      <c r="F53" t="s">
        <v>1035</v>
      </c>
      <c r="G53" t="s">
        <v>65</v>
      </c>
      <c r="H53" t="s">
        <v>23</v>
      </c>
      <c r="I53" t="s">
        <v>24</v>
      </c>
      <c r="J53">
        <v>14160000</v>
      </c>
      <c r="K53">
        <v>3</v>
      </c>
      <c r="L53">
        <v>5</v>
      </c>
      <c r="M53">
        <v>22</v>
      </c>
      <c r="N53" t="s">
        <v>25</v>
      </c>
      <c r="O53" t="s">
        <v>53</v>
      </c>
      <c r="P53" t="s">
        <v>36</v>
      </c>
      <c r="Q53" s="5"/>
      <c r="S53">
        <f>DATEDIF(D53,DATE(2026,9,30),"Y")</f>
        <v>37</v>
      </c>
      <c r="T53" s="6">
        <f>(IF(Q53="",DATE(2026,9,30),Q53)-E53)/365.25</f>
        <v>5.5003422313483918</v>
      </c>
      <c r="U53" t="str">
        <f>_xlfn.XLOOKUP(Table1_1[[#This Row],[Bo''lim]],Bolimlar!A:A,Bolimlar!B:B,"Topilmadi")</f>
        <v>Aziz Karimov</v>
      </c>
      <c r="V53">
        <f>IF(P53="Ha",1,0)</f>
        <v>0</v>
      </c>
      <c r="W53" t="str">
        <f>IF(T53&lt;1,"1 yildan kam",IF(T53&lt;3,"1-3 yil","3 yildan ko'p"))</f>
        <v>3 yildan ko'p</v>
      </c>
    </row>
    <row r="54" spans="1:23" x14ac:dyDescent="0.3">
      <c r="A54" t="s">
        <v>835</v>
      </c>
      <c r="B54" t="s">
        <v>836</v>
      </c>
      <c r="C54" t="s">
        <v>31</v>
      </c>
      <c r="D54" s="5">
        <v>38051</v>
      </c>
      <c r="E54" s="5">
        <v>46144</v>
      </c>
      <c r="F54" t="s">
        <v>484</v>
      </c>
      <c r="G54" t="s">
        <v>150</v>
      </c>
      <c r="H54" t="s">
        <v>23</v>
      </c>
      <c r="I54" t="s">
        <v>44</v>
      </c>
      <c r="J54">
        <v>14120000</v>
      </c>
      <c r="K54">
        <v>4</v>
      </c>
      <c r="L54">
        <v>3</v>
      </c>
      <c r="M54">
        <v>15</v>
      </c>
      <c r="N54" t="s">
        <v>25</v>
      </c>
      <c r="O54" t="s">
        <v>35</v>
      </c>
      <c r="P54" t="s">
        <v>36</v>
      </c>
      <c r="Q54" s="5"/>
      <c r="S54">
        <f>DATEDIF(D54,DATE(2026,9,30),"Y")</f>
        <v>22</v>
      </c>
      <c r="T54" s="6">
        <f>(IF(Q54="",DATE(2026,9,30),Q54)-E54)/365.25</f>
        <v>0.4134154688569473</v>
      </c>
      <c r="U54" t="str">
        <f>_xlfn.XLOOKUP(Table1_1[[#This Row],[Bo''lim]],Bolimlar!A:A,Bolimlar!B:B,"Topilmadi")</f>
        <v>Sardor Nazarov</v>
      </c>
      <c r="V54">
        <f>IF(P54="Ha",1,0)</f>
        <v>0</v>
      </c>
      <c r="W54" t="str">
        <f>IF(T54&lt;1,"1 yildan kam",IF(T54&lt;3,"1-3 yil","3 yildan ko'p"))</f>
        <v>1 yildan kam</v>
      </c>
    </row>
    <row r="55" spans="1:23" x14ac:dyDescent="0.3">
      <c r="A55" t="s">
        <v>315</v>
      </c>
      <c r="B55" t="s">
        <v>316</v>
      </c>
      <c r="C55" t="s">
        <v>31</v>
      </c>
      <c r="D55" s="5">
        <v>28729</v>
      </c>
      <c r="E55" s="5">
        <v>42809</v>
      </c>
      <c r="F55" t="s">
        <v>21</v>
      </c>
      <c r="G55" t="s">
        <v>103</v>
      </c>
      <c r="H55" t="s">
        <v>23</v>
      </c>
      <c r="I55" t="s">
        <v>24</v>
      </c>
      <c r="J55">
        <v>14100000</v>
      </c>
      <c r="K55">
        <v>4</v>
      </c>
      <c r="L55">
        <v>3</v>
      </c>
      <c r="M55">
        <v>23</v>
      </c>
      <c r="N55" t="s">
        <v>25</v>
      </c>
      <c r="P55" t="s">
        <v>36</v>
      </c>
      <c r="Q55" s="5"/>
      <c r="S55">
        <f>DATEDIF(D55,DATE(2026,9,30),"Y")</f>
        <v>48</v>
      </c>
      <c r="T55" s="6">
        <f>(IF(Q55="",DATE(2026,9,30),Q55)-E55)/365.25</f>
        <v>9.5441478439425058</v>
      </c>
      <c r="U55" t="str">
        <f>_xlfn.XLOOKUP(Table1_1[[#This Row],[Bo''lim]],Bolimlar!A:A,Bolimlar!B:B,"Topilmadi")</f>
        <v>Jasur Yusupov</v>
      </c>
      <c r="V55">
        <f>IF(P55="Ha",1,0)</f>
        <v>0</v>
      </c>
      <c r="W55" t="str">
        <f>IF(T55&lt;1,"1 yildan kam",IF(T55&lt;3,"1-3 yil","3 yildan ko'p"))</f>
        <v>3 yildan ko'p</v>
      </c>
    </row>
    <row r="56" spans="1:23" x14ac:dyDescent="0.3">
      <c r="A56" t="s">
        <v>538</v>
      </c>
      <c r="B56" t="s">
        <v>362</v>
      </c>
      <c r="C56" t="s">
        <v>20</v>
      </c>
      <c r="D56" s="5">
        <v>34446</v>
      </c>
      <c r="E56" s="5">
        <v>45061</v>
      </c>
      <c r="F56" t="s">
        <v>21</v>
      </c>
      <c r="G56" t="s">
        <v>22</v>
      </c>
      <c r="H56" t="s">
        <v>23</v>
      </c>
      <c r="I56" t="s">
        <v>24</v>
      </c>
      <c r="J56">
        <v>14090000</v>
      </c>
      <c r="K56">
        <v>4</v>
      </c>
      <c r="L56">
        <v>4</v>
      </c>
      <c r="M56">
        <v>2</v>
      </c>
      <c r="N56" t="s">
        <v>88</v>
      </c>
      <c r="O56" t="s">
        <v>26</v>
      </c>
      <c r="P56" t="s">
        <v>36</v>
      </c>
      <c r="Q56" s="5"/>
      <c r="S56">
        <f>DATEDIF(D56,DATE(2026,9,30),"Y")</f>
        <v>32</v>
      </c>
      <c r="T56" s="6">
        <f>(IF(Q56="",DATE(2026,9,30),Q56)-E56)/365.25</f>
        <v>3.378507871321013</v>
      </c>
      <c r="U56" t="str">
        <f>_xlfn.XLOOKUP(Table1_1[[#This Row],[Bo''lim]],Bolimlar!A:A,Bolimlar!B:B,"Topilmadi")</f>
        <v>Jasur Yusupov</v>
      </c>
      <c r="V56">
        <f>IF(P56="Ha",1,0)</f>
        <v>0</v>
      </c>
      <c r="W56" t="str">
        <f>IF(T56&lt;1,"1 yildan kam",IF(T56&lt;3,"1-3 yil","3 yildan ko'p"))</f>
        <v>3 yildan ko'p</v>
      </c>
    </row>
    <row r="57" spans="1:23" x14ac:dyDescent="0.3">
      <c r="A57" t="s">
        <v>1027</v>
      </c>
      <c r="B57" t="s">
        <v>154</v>
      </c>
      <c r="C57" t="s">
        <v>20</v>
      </c>
      <c r="D57" s="5">
        <v>34635</v>
      </c>
      <c r="E57" s="5">
        <v>45739</v>
      </c>
      <c r="F57" t="s">
        <v>245</v>
      </c>
      <c r="G57" t="s">
        <v>90</v>
      </c>
      <c r="H57" t="s">
        <v>23</v>
      </c>
      <c r="I57" t="s">
        <v>206</v>
      </c>
      <c r="J57">
        <v>14090000</v>
      </c>
      <c r="K57">
        <v>3</v>
      </c>
      <c r="L57">
        <v>1</v>
      </c>
      <c r="M57">
        <v>21</v>
      </c>
      <c r="N57" t="s">
        <v>41</v>
      </c>
      <c r="O57" t="s">
        <v>53</v>
      </c>
      <c r="P57" t="s">
        <v>36</v>
      </c>
      <c r="Q57" s="5"/>
      <c r="S57">
        <f>DATEDIF(D57,DATE(2026,9,30),"Y")</f>
        <v>31</v>
      </c>
      <c r="T57" s="6">
        <f>(IF(Q57="",DATE(2026,9,30),Q57)-E57)/365.25</f>
        <v>1.5222450376454484</v>
      </c>
      <c r="U57" t="str">
        <f>_xlfn.XLOOKUP(Table1_1[[#This Row],[Bo''lim]],Bolimlar!A:A,Bolimlar!B:B,"Topilmadi")</f>
        <v>Dilnoza Rahimova</v>
      </c>
      <c r="V57">
        <f>IF(P57="Ha",1,0)</f>
        <v>0</v>
      </c>
      <c r="W57" t="str">
        <f>IF(T57&lt;1,"1 yildan kam",IF(T57&lt;3,"1-3 yil","3 yildan ko'p"))</f>
        <v>1-3 yil</v>
      </c>
    </row>
    <row r="58" spans="1:23" x14ac:dyDescent="0.3">
      <c r="A58" t="s">
        <v>374</v>
      </c>
      <c r="B58" t="s">
        <v>322</v>
      </c>
      <c r="C58" t="s">
        <v>20</v>
      </c>
      <c r="D58" s="5">
        <v>31099</v>
      </c>
      <c r="E58" s="5">
        <v>44461</v>
      </c>
      <c r="F58" t="s">
        <v>484</v>
      </c>
      <c r="G58" t="s">
        <v>150</v>
      </c>
      <c r="H58" t="s">
        <v>23</v>
      </c>
      <c r="I58" t="s">
        <v>24</v>
      </c>
      <c r="J58">
        <v>14080000</v>
      </c>
      <c r="K58">
        <v>5</v>
      </c>
      <c r="L58">
        <v>1</v>
      </c>
      <c r="M58">
        <v>5</v>
      </c>
      <c r="N58" t="s">
        <v>25</v>
      </c>
      <c r="O58" t="s">
        <v>26</v>
      </c>
      <c r="P58" t="s">
        <v>36</v>
      </c>
      <c r="Q58" s="5"/>
      <c r="S58">
        <f>DATEDIF(D58,DATE(2026,9,30),"Y")</f>
        <v>41</v>
      </c>
      <c r="T58" s="6">
        <f>(IF(Q58="",DATE(2026,9,30),Q58)-E58)/365.25</f>
        <v>5.0212183436002737</v>
      </c>
      <c r="U58" t="str">
        <f>_xlfn.XLOOKUP(Table1_1[[#This Row],[Bo''lim]],Bolimlar!A:A,Bolimlar!B:B,"Topilmadi")</f>
        <v>Sardor Nazarov</v>
      </c>
      <c r="V58">
        <f>IF(P58="Ha",1,0)</f>
        <v>0</v>
      </c>
      <c r="W58" t="str">
        <f>IF(T58&lt;1,"1 yildan kam",IF(T58&lt;3,"1-3 yil","3 yildan ko'p"))</f>
        <v>3 yildan ko'p</v>
      </c>
    </row>
    <row r="59" spans="1:23" x14ac:dyDescent="0.3">
      <c r="A59" t="s">
        <v>669</v>
      </c>
      <c r="B59" t="s">
        <v>119</v>
      </c>
      <c r="C59" t="s">
        <v>31</v>
      </c>
      <c r="D59" s="5">
        <v>29911</v>
      </c>
      <c r="E59" s="5">
        <v>45765</v>
      </c>
      <c r="F59" t="s">
        <v>245</v>
      </c>
      <c r="G59" t="s">
        <v>127</v>
      </c>
      <c r="H59" t="s">
        <v>23</v>
      </c>
      <c r="I59" t="s">
        <v>24</v>
      </c>
      <c r="J59">
        <v>14070000</v>
      </c>
      <c r="K59">
        <v>3</v>
      </c>
      <c r="L59">
        <v>5</v>
      </c>
      <c r="M59">
        <v>10</v>
      </c>
      <c r="N59" t="s">
        <v>41</v>
      </c>
      <c r="O59" t="s">
        <v>26</v>
      </c>
      <c r="P59" t="s">
        <v>36</v>
      </c>
      <c r="Q59" s="5"/>
      <c r="S59">
        <f>DATEDIF(D59,DATE(2026,9,30),"Y")</f>
        <v>44</v>
      </c>
      <c r="T59" s="6">
        <f>(IF(Q59="",DATE(2026,9,30),Q59)-E59)/365.25</f>
        <v>1.4510609171800137</v>
      </c>
      <c r="U59" t="str">
        <f>_xlfn.XLOOKUP(Table1_1[[#This Row],[Bo''lim]],Bolimlar!A:A,Bolimlar!B:B,"Topilmadi")</f>
        <v>Dilnoza Rahimova</v>
      </c>
      <c r="V59">
        <f>IF(P59="Ha",1,0)</f>
        <v>0</v>
      </c>
      <c r="W59" t="str">
        <f>IF(T59&lt;1,"1 yildan kam",IF(T59&lt;3,"1-3 yil","3 yildan ko'p"))</f>
        <v>1-3 yil</v>
      </c>
    </row>
    <row r="60" spans="1:23" x14ac:dyDescent="0.3">
      <c r="A60" t="s">
        <v>1225</v>
      </c>
      <c r="B60" t="s">
        <v>165</v>
      </c>
      <c r="C60" t="s">
        <v>20</v>
      </c>
      <c r="D60" s="5">
        <v>32318</v>
      </c>
      <c r="E60" s="5">
        <v>46025</v>
      </c>
      <c r="F60" t="s">
        <v>1226</v>
      </c>
      <c r="G60" t="s">
        <v>60</v>
      </c>
      <c r="H60" t="s">
        <v>23</v>
      </c>
      <c r="I60" t="s">
        <v>24</v>
      </c>
      <c r="J60">
        <v>14010000</v>
      </c>
      <c r="K60">
        <v>3</v>
      </c>
      <c r="L60">
        <v>4</v>
      </c>
      <c r="M60">
        <v>0</v>
      </c>
      <c r="N60" t="s">
        <v>41</v>
      </c>
      <c r="O60" t="s">
        <v>35</v>
      </c>
      <c r="P60" t="s">
        <v>36</v>
      </c>
      <c r="Q60" s="5"/>
      <c r="S60">
        <f>DATEDIF(D60,DATE(2026,9,30),"Y")</f>
        <v>38</v>
      </c>
      <c r="T60" s="6">
        <f>(IF(Q60="",DATE(2026,9,30),Q60)-E60)/365.25</f>
        <v>0.73921971252566732</v>
      </c>
      <c r="U60" t="str">
        <f>_xlfn.XLOOKUP(Table1_1[[#This Row],[Bo''lim]],Bolimlar!A:A,Bolimlar!B:B,"Topilmadi")</f>
        <v>Madina Abdullayeva</v>
      </c>
      <c r="V60">
        <f>IF(P60="Ha",1,0)</f>
        <v>0</v>
      </c>
      <c r="W60" t="str">
        <f>IF(T60&lt;1,"1 yildan kam",IF(T60&lt;3,"1-3 yil","3 yildan ko'p"))</f>
        <v>1 yildan kam</v>
      </c>
    </row>
    <row r="61" spans="1:23" x14ac:dyDescent="0.3">
      <c r="A61" t="s">
        <v>965</v>
      </c>
      <c r="B61" t="s">
        <v>341</v>
      </c>
      <c r="C61" t="s">
        <v>31</v>
      </c>
      <c r="D61" s="5">
        <v>35299</v>
      </c>
      <c r="E61" s="5">
        <v>46261</v>
      </c>
      <c r="F61" t="s">
        <v>1035</v>
      </c>
      <c r="G61" t="s">
        <v>73</v>
      </c>
      <c r="H61" t="s">
        <v>23</v>
      </c>
      <c r="I61" t="s">
        <v>24</v>
      </c>
      <c r="J61">
        <v>13940000</v>
      </c>
      <c r="K61">
        <v>5</v>
      </c>
      <c r="L61">
        <v>4</v>
      </c>
      <c r="M61">
        <v>13</v>
      </c>
      <c r="N61" t="s">
        <v>25</v>
      </c>
      <c r="O61" t="s">
        <v>26</v>
      </c>
      <c r="P61" t="s">
        <v>36</v>
      </c>
      <c r="Q61" s="5"/>
      <c r="S61">
        <f>DATEDIF(D61,DATE(2026,9,30),"Y")</f>
        <v>30</v>
      </c>
      <c r="T61" s="6">
        <f>(IF(Q61="",DATE(2026,9,30),Q61)-E61)/365.25</f>
        <v>9.3086926762491445E-2</v>
      </c>
      <c r="U61" t="str">
        <f>_xlfn.XLOOKUP(Table1_1[[#This Row],[Bo''lim]],Bolimlar!A:A,Bolimlar!B:B,"Topilmadi")</f>
        <v>Aziz Karimov</v>
      </c>
      <c r="V61">
        <f>IF(P61="Ha",1,0)</f>
        <v>0</v>
      </c>
      <c r="W61" t="str">
        <f>IF(T61&lt;1,"1 yildan kam",IF(T61&lt;3,"1-3 yil","3 yildan ko'p"))</f>
        <v>1 yildan kam</v>
      </c>
    </row>
    <row r="62" spans="1:23" x14ac:dyDescent="0.3">
      <c r="A62" t="s">
        <v>321</v>
      </c>
      <c r="B62" t="s">
        <v>322</v>
      </c>
      <c r="C62" t="s">
        <v>20</v>
      </c>
      <c r="D62" s="5">
        <v>32398</v>
      </c>
      <c r="E62" s="5">
        <v>44218</v>
      </c>
      <c r="F62" t="s">
        <v>1035</v>
      </c>
      <c r="G62" t="s">
        <v>79</v>
      </c>
      <c r="H62" t="s">
        <v>23</v>
      </c>
      <c r="I62" t="s">
        <v>24</v>
      </c>
      <c r="J62">
        <v>13910000</v>
      </c>
      <c r="K62">
        <v>5</v>
      </c>
      <c r="L62">
        <v>3</v>
      </c>
      <c r="M62">
        <v>15</v>
      </c>
      <c r="N62" t="s">
        <v>25</v>
      </c>
      <c r="O62" t="s">
        <v>26</v>
      </c>
      <c r="P62" t="s">
        <v>36</v>
      </c>
      <c r="Q62" s="5"/>
      <c r="S62">
        <f>DATEDIF(D62,DATE(2026,9,30),"Y")</f>
        <v>38</v>
      </c>
      <c r="T62" s="6">
        <f>(IF(Q62="",DATE(2026,9,30),Q62)-E62)/365.25</f>
        <v>5.6865160848733742</v>
      </c>
      <c r="U62" t="str">
        <f>_xlfn.XLOOKUP(Table1_1[[#This Row],[Bo''lim]],Bolimlar!A:A,Bolimlar!B:B,"Topilmadi")</f>
        <v>Aziz Karimov</v>
      </c>
      <c r="V62">
        <f>IF(P62="Ha",1,0)</f>
        <v>0</v>
      </c>
      <c r="W62" t="str">
        <f>IF(T62&lt;1,"1 yildan kam",IF(T62&lt;3,"1-3 yil","3 yildan ko'p"))</f>
        <v>3 yildan ko'p</v>
      </c>
    </row>
    <row r="63" spans="1:23" x14ac:dyDescent="0.3">
      <c r="A63" t="s">
        <v>778</v>
      </c>
      <c r="B63" t="s">
        <v>283</v>
      </c>
      <c r="C63" t="s">
        <v>31</v>
      </c>
      <c r="D63" s="5">
        <v>33643</v>
      </c>
      <c r="E63" s="5">
        <v>44920</v>
      </c>
      <c r="F63" t="s">
        <v>1035</v>
      </c>
      <c r="G63" t="s">
        <v>73</v>
      </c>
      <c r="H63" t="s">
        <v>23</v>
      </c>
      <c r="I63" t="s">
        <v>24</v>
      </c>
      <c r="J63">
        <v>13770000</v>
      </c>
      <c r="K63">
        <v>5</v>
      </c>
      <c r="L63">
        <v>3</v>
      </c>
      <c r="M63">
        <v>11</v>
      </c>
      <c r="N63" t="s">
        <v>41</v>
      </c>
      <c r="O63" t="s">
        <v>53</v>
      </c>
      <c r="P63" t="s">
        <v>36</v>
      </c>
      <c r="Q63" s="5"/>
      <c r="S63">
        <f>DATEDIF(D63,DATE(2026,9,30),"Y")</f>
        <v>34</v>
      </c>
      <c r="T63" s="6">
        <f>(IF(Q63="",DATE(2026,9,30),Q63)-E63)/365.25</f>
        <v>3.7645448323066395</v>
      </c>
      <c r="U63" t="str">
        <f>_xlfn.XLOOKUP(Table1_1[[#This Row],[Bo''lim]],Bolimlar!A:A,Bolimlar!B:B,"Topilmadi")</f>
        <v>Aziz Karimov</v>
      </c>
      <c r="V63">
        <f>IF(P63="Ha",1,0)</f>
        <v>0</v>
      </c>
      <c r="W63" t="str">
        <f>IF(T63&lt;1,"1 yildan kam",IF(T63&lt;3,"1-3 yil","3 yildan ko'p"))</f>
        <v>3 yildan ko'p</v>
      </c>
    </row>
    <row r="64" spans="1:23" x14ac:dyDescent="0.3">
      <c r="A64" t="s">
        <v>483</v>
      </c>
      <c r="B64" t="s">
        <v>200</v>
      </c>
      <c r="C64" t="s">
        <v>31</v>
      </c>
      <c r="D64" s="5">
        <v>33573</v>
      </c>
      <c r="E64" s="5">
        <v>44575</v>
      </c>
      <c r="F64" t="s">
        <v>484</v>
      </c>
      <c r="G64" t="s">
        <v>115</v>
      </c>
      <c r="H64" t="s">
        <v>23</v>
      </c>
      <c r="I64" t="s">
        <v>44</v>
      </c>
      <c r="J64">
        <v>13740000</v>
      </c>
      <c r="K64">
        <v>3</v>
      </c>
      <c r="L64">
        <v>5</v>
      </c>
      <c r="M64">
        <v>19</v>
      </c>
      <c r="N64" t="s">
        <v>41</v>
      </c>
      <c r="O64" t="s">
        <v>26</v>
      </c>
      <c r="P64" t="s">
        <v>36</v>
      </c>
      <c r="Q64" s="5"/>
      <c r="S64">
        <f>DATEDIF(D64,DATE(2026,9,30),"Y")</f>
        <v>34</v>
      </c>
      <c r="T64" s="6">
        <f>(IF(Q64="",DATE(2026,9,30),Q64)-E64)/365.25</f>
        <v>4.7091033538672145</v>
      </c>
      <c r="U64" t="str">
        <f>_xlfn.XLOOKUP(Table1_1[[#This Row],[Bo''lim]],Bolimlar!A:A,Bolimlar!B:B,"Topilmadi")</f>
        <v>Sardor Nazarov</v>
      </c>
      <c r="V64">
        <f>IF(P64="Ha",1,0)</f>
        <v>0</v>
      </c>
      <c r="W64" t="str">
        <f>IF(T64&lt;1,"1 yildan kam",IF(T64&lt;3,"1-3 yil","3 yildan ko'p"))</f>
        <v>3 yildan ko'p</v>
      </c>
    </row>
    <row r="65" spans="1:23" x14ac:dyDescent="0.3">
      <c r="A65" t="s">
        <v>243</v>
      </c>
      <c r="B65" t="s">
        <v>244</v>
      </c>
      <c r="C65" t="s">
        <v>31</v>
      </c>
      <c r="D65" s="5">
        <v>35091</v>
      </c>
      <c r="E65" s="5">
        <v>44639</v>
      </c>
      <c r="F65" t="s">
        <v>245</v>
      </c>
      <c r="G65" t="s">
        <v>127</v>
      </c>
      <c r="H65" t="s">
        <v>23</v>
      </c>
      <c r="I65" t="s">
        <v>44</v>
      </c>
      <c r="J65">
        <v>13670000</v>
      </c>
      <c r="K65">
        <v>3</v>
      </c>
      <c r="L65">
        <v>3</v>
      </c>
      <c r="M65">
        <v>18</v>
      </c>
      <c r="N65" t="s">
        <v>88</v>
      </c>
      <c r="O65" t="s">
        <v>26</v>
      </c>
      <c r="P65" t="s">
        <v>36</v>
      </c>
      <c r="Q65" s="5"/>
      <c r="S65">
        <f>DATEDIF(D65,DATE(2026,9,30),"Y")</f>
        <v>30</v>
      </c>
      <c r="T65" s="6">
        <f>(IF(Q65="",DATE(2026,9,30),Q65)-E65)/365.25</f>
        <v>4.5338809034907595</v>
      </c>
      <c r="U65" t="str">
        <f>_xlfn.XLOOKUP(Table1_1[[#This Row],[Bo''lim]],Bolimlar!A:A,Bolimlar!B:B,"Topilmadi")</f>
        <v>Dilnoza Rahimova</v>
      </c>
      <c r="V65">
        <f>IF(P65="Ha",1,0)</f>
        <v>0</v>
      </c>
      <c r="W65" t="str">
        <f>IF(T65&lt;1,"1 yildan kam",IF(T65&lt;3,"1-3 yil","3 yildan ko'p"))</f>
        <v>3 yildan ko'p</v>
      </c>
    </row>
    <row r="66" spans="1:23" x14ac:dyDescent="0.3">
      <c r="A66" t="s">
        <v>975</v>
      </c>
      <c r="B66" t="s">
        <v>428</v>
      </c>
      <c r="C66" t="s">
        <v>31</v>
      </c>
      <c r="D66" s="5">
        <v>33046</v>
      </c>
      <c r="E66" s="5">
        <v>46177</v>
      </c>
      <c r="F66" t="s">
        <v>1226</v>
      </c>
      <c r="G66" t="s">
        <v>142</v>
      </c>
      <c r="H66" t="s">
        <v>23</v>
      </c>
      <c r="I66" t="s">
        <v>34</v>
      </c>
      <c r="J66">
        <v>13630000</v>
      </c>
      <c r="K66">
        <v>5</v>
      </c>
      <c r="L66">
        <v>4</v>
      </c>
      <c r="M66">
        <v>15</v>
      </c>
      <c r="N66" t="s">
        <v>41</v>
      </c>
      <c r="O66" t="s">
        <v>26</v>
      </c>
      <c r="P66" t="s">
        <v>36</v>
      </c>
      <c r="Q66" s="5"/>
      <c r="S66">
        <f>DATEDIF(D66,DATE(2026,9,30),"Y")</f>
        <v>36</v>
      </c>
      <c r="T66" s="6">
        <f>(IF(Q66="",DATE(2026,9,30),Q66)-E66)/365.25</f>
        <v>0.32306639288158795</v>
      </c>
      <c r="U66" t="str">
        <f>_xlfn.XLOOKUP(Table1_1[[#This Row],[Bo''lim]],Bolimlar!A:A,Bolimlar!B:B,"Topilmadi")</f>
        <v>Madina Abdullayeva</v>
      </c>
      <c r="V66">
        <f>IF(P66="Ha",1,0)</f>
        <v>0</v>
      </c>
      <c r="W66" t="str">
        <f>IF(T66&lt;1,"1 yildan kam",IF(T66&lt;3,"1-3 yil","3 yildan ko'p"))</f>
        <v>1 yildan kam</v>
      </c>
    </row>
    <row r="67" spans="1:23" x14ac:dyDescent="0.3">
      <c r="A67" t="s">
        <v>756</v>
      </c>
      <c r="B67" t="s">
        <v>757</v>
      </c>
      <c r="C67" t="s">
        <v>31</v>
      </c>
      <c r="D67" s="5">
        <v>32143</v>
      </c>
      <c r="E67" s="5">
        <v>45697</v>
      </c>
      <c r="F67" t="s">
        <v>1226</v>
      </c>
      <c r="G67" t="s">
        <v>60</v>
      </c>
      <c r="H67" t="s">
        <v>23</v>
      </c>
      <c r="I67" t="s">
        <v>24</v>
      </c>
      <c r="J67">
        <v>13570000</v>
      </c>
      <c r="K67">
        <v>4</v>
      </c>
      <c r="L67">
        <v>4</v>
      </c>
      <c r="M67">
        <v>13</v>
      </c>
      <c r="N67" t="s">
        <v>25</v>
      </c>
      <c r="O67" t="s">
        <v>26</v>
      </c>
      <c r="P67" t="s">
        <v>36</v>
      </c>
      <c r="Q67" s="5"/>
      <c r="S67">
        <f>DATEDIF(D67,DATE(2026,9,30),"Y")</f>
        <v>38</v>
      </c>
      <c r="T67" s="6">
        <f>(IF(Q67="",DATE(2026,9,30),Q67)-E67)/365.25</f>
        <v>1.6372347707049966</v>
      </c>
      <c r="U67" t="str">
        <f>_xlfn.XLOOKUP(Table1_1[[#This Row],[Bo''lim]],Bolimlar!A:A,Bolimlar!B:B,"Topilmadi")</f>
        <v>Madina Abdullayeva</v>
      </c>
      <c r="V67">
        <f>IF(P67="Ha",1,0)</f>
        <v>0</v>
      </c>
      <c r="W67" t="str">
        <f>IF(T67&lt;1,"1 yildan kam",IF(T67&lt;3,"1-3 yil","3 yildan ko'p"))</f>
        <v>1-3 yil</v>
      </c>
    </row>
    <row r="68" spans="1:23" x14ac:dyDescent="0.3">
      <c r="A68" t="s">
        <v>549</v>
      </c>
      <c r="B68" t="s">
        <v>352</v>
      </c>
      <c r="C68" t="s">
        <v>20</v>
      </c>
      <c r="D68" s="5">
        <v>34602</v>
      </c>
      <c r="E68" s="5">
        <v>45155</v>
      </c>
      <c r="F68" t="s">
        <v>1226</v>
      </c>
      <c r="G68" t="s">
        <v>57</v>
      </c>
      <c r="H68" t="s">
        <v>23</v>
      </c>
      <c r="I68" t="s">
        <v>24</v>
      </c>
      <c r="J68">
        <v>13490000</v>
      </c>
      <c r="K68">
        <v>4</v>
      </c>
      <c r="L68">
        <v>5</v>
      </c>
      <c r="M68">
        <v>5</v>
      </c>
      <c r="N68" t="s">
        <v>41</v>
      </c>
      <c r="O68" t="s">
        <v>26</v>
      </c>
      <c r="P68" t="s">
        <v>27</v>
      </c>
      <c r="Q68" s="5">
        <v>46222</v>
      </c>
      <c r="R68" t="s">
        <v>111</v>
      </c>
      <c r="S68">
        <f>DATEDIF(D68,DATE(2026,9,30),"Y")</f>
        <v>32</v>
      </c>
      <c r="T68" s="6">
        <f>(IF(Q68="",DATE(2026,9,30),Q68)-E68)/365.25</f>
        <v>2.9212867898699519</v>
      </c>
      <c r="U68" t="str">
        <f>_xlfn.XLOOKUP(Table1_1[[#This Row],[Bo''lim]],Bolimlar!A:A,Bolimlar!B:B,"Topilmadi")</f>
        <v>Madina Abdullayeva</v>
      </c>
      <c r="V68">
        <f>IF(P68="Ha",1,0)</f>
        <v>1</v>
      </c>
      <c r="W68" t="str">
        <f>IF(T68&lt;1,"1 yildan kam",IF(T68&lt;3,"1-3 yil","3 yildan ko'p"))</f>
        <v>1-3 yil</v>
      </c>
    </row>
    <row r="69" spans="1:23" x14ac:dyDescent="0.3">
      <c r="A69" t="s">
        <v>758</v>
      </c>
      <c r="B69" t="s">
        <v>330</v>
      </c>
      <c r="C69" t="s">
        <v>20</v>
      </c>
      <c r="D69" s="5">
        <v>29378</v>
      </c>
      <c r="E69" s="5">
        <v>45878</v>
      </c>
      <c r="F69" t="s">
        <v>484</v>
      </c>
      <c r="G69" t="s">
        <v>196</v>
      </c>
      <c r="H69" t="s">
        <v>23</v>
      </c>
      <c r="I69" t="s">
        <v>34</v>
      </c>
      <c r="J69">
        <v>13410000</v>
      </c>
      <c r="K69">
        <v>3</v>
      </c>
      <c r="L69">
        <v>2</v>
      </c>
      <c r="M69">
        <v>29</v>
      </c>
      <c r="N69" t="s">
        <v>41</v>
      </c>
      <c r="O69" t="s">
        <v>26</v>
      </c>
      <c r="P69" t="s">
        <v>36</v>
      </c>
      <c r="Q69" s="5"/>
      <c r="S69">
        <f>DATEDIF(D69,DATE(2026,9,30),"Y")</f>
        <v>46</v>
      </c>
      <c r="T69" s="6">
        <f>(IF(Q69="",DATE(2026,9,30),Q69)-E69)/365.25</f>
        <v>1.1416837782340863</v>
      </c>
      <c r="U69" t="str">
        <f>_xlfn.XLOOKUP(Table1_1[[#This Row],[Bo''lim]],Bolimlar!A:A,Bolimlar!B:B,"Topilmadi")</f>
        <v>Sardor Nazarov</v>
      </c>
      <c r="V69">
        <f>IF(P69="Ha",1,0)</f>
        <v>0</v>
      </c>
      <c r="W69" t="str">
        <f>IF(T69&lt;1,"1 yildan kam",IF(T69&lt;3,"1-3 yil","3 yildan ko'p"))</f>
        <v>1-3 yil</v>
      </c>
    </row>
    <row r="70" spans="1:23" x14ac:dyDescent="0.3">
      <c r="A70" t="s">
        <v>494</v>
      </c>
      <c r="B70" t="s">
        <v>495</v>
      </c>
      <c r="C70" t="s">
        <v>20</v>
      </c>
      <c r="D70" s="5">
        <v>35836</v>
      </c>
      <c r="E70" s="5">
        <v>44817</v>
      </c>
      <c r="F70" t="s">
        <v>1035</v>
      </c>
      <c r="G70" t="s">
        <v>73</v>
      </c>
      <c r="H70" t="s">
        <v>23</v>
      </c>
      <c r="I70" t="s">
        <v>104</v>
      </c>
      <c r="J70">
        <v>13250000</v>
      </c>
      <c r="L70">
        <v>3</v>
      </c>
      <c r="M70">
        <v>12</v>
      </c>
      <c r="N70" t="s">
        <v>41</v>
      </c>
      <c r="O70" t="s">
        <v>53</v>
      </c>
      <c r="P70" t="s">
        <v>36</v>
      </c>
      <c r="Q70" s="5"/>
      <c r="S70">
        <f>DATEDIF(D70,DATE(2026,9,30),"Y")</f>
        <v>28</v>
      </c>
      <c r="T70" s="6">
        <f>(IF(Q70="",DATE(2026,9,30),Q70)-E70)/365.25</f>
        <v>4.046543463381246</v>
      </c>
      <c r="U70" t="str">
        <f>_xlfn.XLOOKUP(Table1_1[[#This Row],[Bo''lim]],Bolimlar!A:A,Bolimlar!B:B,"Topilmadi")</f>
        <v>Aziz Karimov</v>
      </c>
      <c r="V70">
        <f>IF(P70="Ha",1,0)</f>
        <v>0</v>
      </c>
      <c r="W70" t="str">
        <f>IF(T70&lt;1,"1 yildan kam",IF(T70&lt;3,"1-3 yil","3 yildan ko'p"))</f>
        <v>3 yildan ko'p</v>
      </c>
    </row>
    <row r="71" spans="1:23" x14ac:dyDescent="0.3">
      <c r="A71" t="s">
        <v>218</v>
      </c>
      <c r="B71" t="s">
        <v>219</v>
      </c>
      <c r="C71" t="s">
        <v>20</v>
      </c>
      <c r="D71" s="5">
        <v>34322</v>
      </c>
      <c r="E71" s="5">
        <v>45348</v>
      </c>
      <c r="F71" t="s">
        <v>39</v>
      </c>
      <c r="G71" t="s">
        <v>40</v>
      </c>
      <c r="H71" t="s">
        <v>23</v>
      </c>
      <c r="I71" t="s">
        <v>24</v>
      </c>
      <c r="J71">
        <v>13220000</v>
      </c>
      <c r="K71">
        <v>5</v>
      </c>
      <c r="L71">
        <v>4</v>
      </c>
      <c r="M71">
        <v>31</v>
      </c>
      <c r="N71" t="s">
        <v>25</v>
      </c>
      <c r="O71" t="s">
        <v>35</v>
      </c>
      <c r="P71" t="s">
        <v>36</v>
      </c>
      <c r="Q71" s="5"/>
      <c r="S71">
        <f>DATEDIF(D71,DATE(2026,9,30),"Y")</f>
        <v>32</v>
      </c>
      <c r="T71" s="6">
        <f>(IF(Q71="",DATE(2026,9,30),Q71)-E71)/365.25</f>
        <v>2.5927446954140998</v>
      </c>
      <c r="U71" t="str">
        <f>_xlfn.XLOOKUP(Table1_1[[#This Row],[Bo''lim]],Bolimlar!A:A,Bolimlar!B:B,"Topilmadi")</f>
        <v>Nodira Tursunova</v>
      </c>
      <c r="V71">
        <f>IF(P71="Ha",1,0)</f>
        <v>0</v>
      </c>
      <c r="W71" t="str">
        <f>IF(T71&lt;1,"1 yildan kam",IF(T71&lt;3,"1-3 yil","3 yildan ko'p"))</f>
        <v>1-3 yil</v>
      </c>
    </row>
    <row r="72" spans="1:23" x14ac:dyDescent="0.3">
      <c r="A72" t="s">
        <v>486</v>
      </c>
      <c r="B72" t="s">
        <v>487</v>
      </c>
      <c r="C72" t="s">
        <v>31</v>
      </c>
      <c r="D72" s="5">
        <v>32671</v>
      </c>
      <c r="E72" s="5">
        <v>43429</v>
      </c>
      <c r="F72" t="s">
        <v>1035</v>
      </c>
      <c r="G72" t="s">
        <v>73</v>
      </c>
      <c r="H72" t="s">
        <v>23</v>
      </c>
      <c r="I72" t="s">
        <v>82</v>
      </c>
      <c r="J72">
        <v>13190000</v>
      </c>
      <c r="K72">
        <v>4</v>
      </c>
      <c r="L72">
        <v>3</v>
      </c>
      <c r="M72">
        <v>9</v>
      </c>
      <c r="N72" t="s">
        <v>88</v>
      </c>
      <c r="O72" t="s">
        <v>26</v>
      </c>
      <c r="P72" t="s">
        <v>36</v>
      </c>
      <c r="Q72" s="5"/>
      <c r="S72">
        <f>DATEDIF(D72,DATE(2026,9,30),"Y")</f>
        <v>37</v>
      </c>
      <c r="T72" s="6">
        <f>(IF(Q72="",DATE(2026,9,30),Q72)-E72)/365.25</f>
        <v>7.8466803559206024</v>
      </c>
      <c r="U72" t="str">
        <f>_xlfn.XLOOKUP(Table1_1[[#This Row],[Bo''lim]],Bolimlar!A:A,Bolimlar!B:B,"Topilmadi")</f>
        <v>Aziz Karimov</v>
      </c>
      <c r="V72">
        <f>IF(P72="Ha",1,0)</f>
        <v>0</v>
      </c>
      <c r="W72" t="str">
        <f>IF(T72&lt;1,"1 yildan kam",IF(T72&lt;3,"1-3 yil","3 yildan ko'p"))</f>
        <v>3 yildan ko'p</v>
      </c>
    </row>
    <row r="73" spans="1:23" x14ac:dyDescent="0.3">
      <c r="A73" t="s">
        <v>677</v>
      </c>
      <c r="B73" t="s">
        <v>518</v>
      </c>
      <c r="C73" t="s">
        <v>31</v>
      </c>
      <c r="D73" s="5">
        <v>36895</v>
      </c>
      <c r="E73" s="5">
        <v>46248</v>
      </c>
      <c r="F73" t="s">
        <v>484</v>
      </c>
      <c r="G73" t="s">
        <v>150</v>
      </c>
      <c r="H73" t="s">
        <v>23</v>
      </c>
      <c r="I73" t="s">
        <v>24</v>
      </c>
      <c r="J73">
        <v>13100000</v>
      </c>
      <c r="K73">
        <v>2</v>
      </c>
      <c r="L73">
        <v>5</v>
      </c>
      <c r="M73">
        <v>26</v>
      </c>
      <c r="N73" t="s">
        <v>25</v>
      </c>
      <c r="O73" t="s">
        <v>26</v>
      </c>
      <c r="P73" t="s">
        <v>36</v>
      </c>
      <c r="Q73" s="5"/>
      <c r="S73">
        <f>DATEDIF(D73,DATE(2026,9,30),"Y")</f>
        <v>25</v>
      </c>
      <c r="T73" s="6">
        <f>(IF(Q73="",DATE(2026,9,30),Q73)-E73)/365.25</f>
        <v>0.12867898699520877</v>
      </c>
      <c r="U73" t="str">
        <f>_xlfn.XLOOKUP(Table1_1[[#This Row],[Bo''lim]],Bolimlar!A:A,Bolimlar!B:B,"Topilmadi")</f>
        <v>Sardor Nazarov</v>
      </c>
      <c r="V73">
        <f>IF(P73="Ha",1,0)</f>
        <v>0</v>
      </c>
      <c r="W73" t="str">
        <f>IF(T73&lt;1,"1 yildan kam",IF(T73&lt;3,"1-3 yil","3 yildan ko'p"))</f>
        <v>1 yildan kam</v>
      </c>
    </row>
    <row r="74" spans="1:23" x14ac:dyDescent="0.3">
      <c r="A74" t="s">
        <v>828</v>
      </c>
      <c r="B74" t="s">
        <v>205</v>
      </c>
      <c r="C74" t="s">
        <v>31</v>
      </c>
      <c r="D74" s="5">
        <v>33170</v>
      </c>
      <c r="E74" s="5">
        <v>44956</v>
      </c>
      <c r="F74" t="s">
        <v>484</v>
      </c>
      <c r="G74" t="s">
        <v>150</v>
      </c>
      <c r="H74" t="s">
        <v>23</v>
      </c>
      <c r="I74" t="s">
        <v>82</v>
      </c>
      <c r="J74">
        <v>13090000</v>
      </c>
      <c r="K74">
        <v>4</v>
      </c>
      <c r="L74">
        <v>3</v>
      </c>
      <c r="M74">
        <v>6</v>
      </c>
      <c r="N74" t="s">
        <v>41</v>
      </c>
      <c r="O74" t="s">
        <v>26</v>
      </c>
      <c r="P74" t="s">
        <v>36</v>
      </c>
      <c r="Q74" s="5"/>
      <c r="S74">
        <f>DATEDIF(D74,DATE(2026,9,30),"Y")</f>
        <v>35</v>
      </c>
      <c r="T74" s="6">
        <f>(IF(Q74="",DATE(2026,9,30),Q74)-E74)/365.25</f>
        <v>3.6659822039698837</v>
      </c>
      <c r="U74" t="str">
        <f>_xlfn.XLOOKUP(Table1_1[[#This Row],[Bo''lim]],Bolimlar!A:A,Bolimlar!B:B,"Topilmadi")</f>
        <v>Sardor Nazarov</v>
      </c>
      <c r="V74">
        <f>IF(P74="Ha",1,0)</f>
        <v>0</v>
      </c>
      <c r="W74" t="str">
        <f>IF(T74&lt;1,"1 yildan kam",IF(T74&lt;3,"1-3 yil","3 yildan ko'p"))</f>
        <v>3 yildan ko'p</v>
      </c>
    </row>
    <row r="75" spans="1:23" x14ac:dyDescent="0.3">
      <c r="A75" t="s">
        <v>1081</v>
      </c>
      <c r="B75" t="s">
        <v>167</v>
      </c>
      <c r="C75" t="s">
        <v>31</v>
      </c>
      <c r="D75" s="5">
        <v>32542</v>
      </c>
      <c r="E75" s="5">
        <v>44160</v>
      </c>
      <c r="F75" t="s">
        <v>484</v>
      </c>
      <c r="G75" t="s">
        <v>115</v>
      </c>
      <c r="H75" t="s">
        <v>23</v>
      </c>
      <c r="I75" t="s">
        <v>96</v>
      </c>
      <c r="J75">
        <v>13040000</v>
      </c>
      <c r="K75">
        <v>3</v>
      </c>
      <c r="L75">
        <v>4</v>
      </c>
      <c r="M75">
        <v>5</v>
      </c>
      <c r="N75" t="s">
        <v>41</v>
      </c>
      <c r="O75" t="s">
        <v>26</v>
      </c>
      <c r="P75" t="s">
        <v>36</v>
      </c>
      <c r="Q75" s="5"/>
      <c r="S75">
        <f>DATEDIF(D75,DATE(2026,9,30),"Y")</f>
        <v>37</v>
      </c>
      <c r="T75" s="6">
        <f>(IF(Q75="",DATE(2026,9,30),Q75)-E75)/365.25</f>
        <v>5.8453114305270359</v>
      </c>
      <c r="U75" t="str">
        <f>_xlfn.XLOOKUP(Table1_1[[#This Row],[Bo''lim]],Bolimlar!A:A,Bolimlar!B:B,"Topilmadi")</f>
        <v>Sardor Nazarov</v>
      </c>
      <c r="V75">
        <f>IF(P75="Ha",1,0)</f>
        <v>0</v>
      </c>
      <c r="W75" t="str">
        <f>IF(T75&lt;1,"1 yildan kam",IF(T75&lt;3,"1-3 yil","3 yildan ko'p"))</f>
        <v>3 yildan ko'p</v>
      </c>
    </row>
    <row r="76" spans="1:23" x14ac:dyDescent="0.3">
      <c r="A76" t="s">
        <v>1111</v>
      </c>
      <c r="B76" t="s">
        <v>172</v>
      </c>
      <c r="C76" t="s">
        <v>31</v>
      </c>
      <c r="D76" s="5">
        <v>38243</v>
      </c>
      <c r="E76" s="5">
        <v>46093</v>
      </c>
      <c r="F76" t="s">
        <v>484</v>
      </c>
      <c r="G76" t="s">
        <v>115</v>
      </c>
      <c r="H76" t="s">
        <v>23</v>
      </c>
      <c r="I76" t="s">
        <v>24</v>
      </c>
      <c r="J76">
        <v>12900000</v>
      </c>
      <c r="K76">
        <v>3</v>
      </c>
      <c r="L76">
        <v>4</v>
      </c>
      <c r="M76">
        <v>3</v>
      </c>
      <c r="N76" t="s">
        <v>25</v>
      </c>
      <c r="O76" t="s">
        <v>26</v>
      </c>
      <c r="P76" t="s">
        <v>36</v>
      </c>
      <c r="Q76" s="5"/>
      <c r="S76">
        <f>DATEDIF(D76,DATE(2026,9,30),"Y")</f>
        <v>22</v>
      </c>
      <c r="T76" s="6">
        <f>(IF(Q76="",DATE(2026,9,30),Q76)-E76)/365.25</f>
        <v>0.55304585900068448</v>
      </c>
      <c r="U76" t="str">
        <f>_xlfn.XLOOKUP(Table1_1[[#This Row],[Bo''lim]],Bolimlar!A:A,Bolimlar!B:B,"Topilmadi")</f>
        <v>Sardor Nazarov</v>
      </c>
      <c r="V76">
        <f>IF(P76="Ha",1,0)</f>
        <v>0</v>
      </c>
      <c r="W76" t="str">
        <f>IF(T76&lt;1,"1 yildan kam",IF(T76&lt;3,"1-3 yil","3 yildan ko'p"))</f>
        <v>1 yildan kam</v>
      </c>
    </row>
    <row r="77" spans="1:23" x14ac:dyDescent="0.3">
      <c r="A77" t="s">
        <v>62</v>
      </c>
      <c r="B77" t="s">
        <v>63</v>
      </c>
      <c r="C77" t="s">
        <v>31</v>
      </c>
      <c r="D77" s="5">
        <v>29141</v>
      </c>
      <c r="E77" s="5">
        <v>45147</v>
      </c>
      <c r="F77" t="s">
        <v>1035</v>
      </c>
      <c r="G77" t="s">
        <v>65</v>
      </c>
      <c r="H77" t="s">
        <v>23</v>
      </c>
      <c r="I77" t="s">
        <v>24</v>
      </c>
      <c r="J77">
        <v>12840000</v>
      </c>
      <c r="L77">
        <v>3</v>
      </c>
      <c r="M77">
        <v>22</v>
      </c>
      <c r="N77" t="s">
        <v>41</v>
      </c>
      <c r="O77" t="s">
        <v>26</v>
      </c>
      <c r="P77" t="s">
        <v>36</v>
      </c>
      <c r="Q77" s="5"/>
      <c r="S77">
        <f>DATEDIF(D77,DATE(2026,9,30),"Y")</f>
        <v>46</v>
      </c>
      <c r="T77" s="6">
        <f>(IF(Q77="",DATE(2026,9,30),Q77)-E77)/365.25</f>
        <v>3.1430527036276521</v>
      </c>
      <c r="U77" t="str">
        <f>_xlfn.XLOOKUP(Table1_1[[#This Row],[Bo''lim]],Bolimlar!A:A,Bolimlar!B:B,"Topilmadi")</f>
        <v>Aziz Karimov</v>
      </c>
      <c r="V77">
        <f>IF(P77="Ha",1,0)</f>
        <v>0</v>
      </c>
      <c r="W77" t="str">
        <f>IF(T77&lt;1,"1 yildan kam",IF(T77&lt;3,"1-3 yil","3 yildan ko'p"))</f>
        <v>3 yildan ko'p</v>
      </c>
    </row>
    <row r="78" spans="1:23" x14ac:dyDescent="0.3">
      <c r="A78" t="s">
        <v>573</v>
      </c>
      <c r="B78" t="s">
        <v>574</v>
      </c>
      <c r="C78" t="s">
        <v>31</v>
      </c>
      <c r="D78" s="5">
        <v>35546</v>
      </c>
      <c r="E78" s="5">
        <v>46246</v>
      </c>
      <c r="F78" t="s">
        <v>484</v>
      </c>
      <c r="G78" t="s">
        <v>196</v>
      </c>
      <c r="H78" t="s">
        <v>23</v>
      </c>
      <c r="I78" t="s">
        <v>34</v>
      </c>
      <c r="J78">
        <v>12720000</v>
      </c>
      <c r="K78">
        <v>3</v>
      </c>
      <c r="L78">
        <v>4</v>
      </c>
      <c r="M78">
        <v>21</v>
      </c>
      <c r="N78" t="s">
        <v>25</v>
      </c>
      <c r="O78" t="s">
        <v>26</v>
      </c>
      <c r="P78" t="s">
        <v>36</v>
      </c>
      <c r="Q78" s="5"/>
      <c r="S78">
        <f>DATEDIF(D78,DATE(2026,9,30),"Y")</f>
        <v>29</v>
      </c>
      <c r="T78" s="6">
        <f>(IF(Q78="",DATE(2026,9,30),Q78)-E78)/365.25</f>
        <v>0.13415468856947296</v>
      </c>
      <c r="U78" t="str">
        <f>_xlfn.XLOOKUP(Table1_1[[#This Row],[Bo''lim]],Bolimlar!A:A,Bolimlar!B:B,"Topilmadi")</f>
        <v>Sardor Nazarov</v>
      </c>
      <c r="V78">
        <f>IF(P78="Ha",1,0)</f>
        <v>0</v>
      </c>
      <c r="W78" t="str">
        <f>IF(T78&lt;1,"1 yildan kam",IF(T78&lt;3,"1-3 yil","3 yildan ko'p"))</f>
        <v>1 yildan kam</v>
      </c>
    </row>
    <row r="79" spans="1:23" x14ac:dyDescent="0.3">
      <c r="A79" t="s">
        <v>232</v>
      </c>
      <c r="B79" t="s">
        <v>233</v>
      </c>
      <c r="C79" t="s">
        <v>31</v>
      </c>
      <c r="D79" s="5">
        <v>30822</v>
      </c>
      <c r="E79" s="5">
        <v>43556</v>
      </c>
      <c r="F79" t="s">
        <v>1035</v>
      </c>
      <c r="G79" t="s">
        <v>73</v>
      </c>
      <c r="H79" t="s">
        <v>23</v>
      </c>
      <c r="I79" t="s">
        <v>24</v>
      </c>
      <c r="J79">
        <v>12710000</v>
      </c>
      <c r="K79">
        <v>4</v>
      </c>
      <c r="L79">
        <v>2</v>
      </c>
      <c r="M79">
        <v>13</v>
      </c>
      <c r="N79" t="s">
        <v>25</v>
      </c>
      <c r="O79" t="s">
        <v>53</v>
      </c>
      <c r="P79" t="s">
        <v>27</v>
      </c>
      <c r="Q79" s="5">
        <v>46280</v>
      </c>
      <c r="R79" t="s">
        <v>235</v>
      </c>
      <c r="S79">
        <f>DATEDIF(D79,DATE(2026,9,30),"Y")</f>
        <v>42</v>
      </c>
      <c r="T79" s="6">
        <f>(IF(Q79="",DATE(2026,9,30),Q79)-E79)/365.25</f>
        <v>7.4579055441478443</v>
      </c>
      <c r="U79" t="str">
        <f>_xlfn.XLOOKUP(Table1_1[[#This Row],[Bo''lim]],Bolimlar!A:A,Bolimlar!B:B,"Topilmadi")</f>
        <v>Aziz Karimov</v>
      </c>
      <c r="V79">
        <f>IF(P79="Ha",1,0)</f>
        <v>1</v>
      </c>
      <c r="W79" t="str">
        <f>IF(T79&lt;1,"1 yildan kam",IF(T79&lt;3,"1-3 yil","3 yildan ko'p"))</f>
        <v>3 yildan ko'p</v>
      </c>
    </row>
    <row r="80" spans="1:23" x14ac:dyDescent="0.3">
      <c r="A80" t="s">
        <v>405</v>
      </c>
      <c r="B80" t="s">
        <v>133</v>
      </c>
      <c r="C80" t="s">
        <v>20</v>
      </c>
      <c r="D80" s="5">
        <v>35898</v>
      </c>
      <c r="E80" s="5">
        <v>44336</v>
      </c>
      <c r="F80" t="s">
        <v>1300</v>
      </c>
      <c r="G80" t="s">
        <v>93</v>
      </c>
      <c r="H80" t="s">
        <v>23</v>
      </c>
      <c r="I80" t="s">
        <v>24</v>
      </c>
      <c r="J80">
        <v>12660000</v>
      </c>
      <c r="K80">
        <v>4</v>
      </c>
      <c r="L80">
        <v>3</v>
      </c>
      <c r="M80">
        <v>17</v>
      </c>
      <c r="N80" t="s">
        <v>41</v>
      </c>
      <c r="O80" t="s">
        <v>26</v>
      </c>
      <c r="P80" t="s">
        <v>36</v>
      </c>
      <c r="Q80" s="5"/>
      <c r="S80">
        <f>DATEDIF(D80,DATE(2026,9,30),"Y")</f>
        <v>28</v>
      </c>
      <c r="T80" s="6">
        <f>(IF(Q80="",DATE(2026,9,30),Q80)-E80)/365.25</f>
        <v>5.3634496919917867</v>
      </c>
      <c r="U80" t="str">
        <f>_xlfn.XLOOKUP(Table1_1[[#This Row],[Bo''lim]],Bolimlar!A:A,Bolimlar!B:B,"Topilmadi")</f>
        <v>Shahlo Ismoilova</v>
      </c>
      <c r="V80">
        <f>IF(P80="Ha",1,0)</f>
        <v>0</v>
      </c>
      <c r="W80" t="str">
        <f>IF(T80&lt;1,"1 yildan kam",IF(T80&lt;3,"1-3 yil","3 yildan ko'p"))</f>
        <v>3 yildan ko'p</v>
      </c>
    </row>
    <row r="81" spans="1:23" x14ac:dyDescent="0.3">
      <c r="A81" t="s">
        <v>514</v>
      </c>
      <c r="B81" t="s">
        <v>515</v>
      </c>
      <c r="C81" t="s">
        <v>20</v>
      </c>
      <c r="D81" s="5">
        <v>33678</v>
      </c>
      <c r="E81" s="5">
        <v>43002</v>
      </c>
      <c r="F81" t="s">
        <v>1300</v>
      </c>
      <c r="G81" t="s">
        <v>93</v>
      </c>
      <c r="H81" t="s">
        <v>23</v>
      </c>
      <c r="I81" t="s">
        <v>82</v>
      </c>
      <c r="J81">
        <v>12660000</v>
      </c>
      <c r="K81">
        <v>4</v>
      </c>
      <c r="L81">
        <v>3</v>
      </c>
      <c r="M81">
        <v>2</v>
      </c>
      <c r="N81" t="s">
        <v>88</v>
      </c>
      <c r="O81" t="s">
        <v>26</v>
      </c>
      <c r="P81" t="s">
        <v>36</v>
      </c>
      <c r="Q81" s="5"/>
      <c r="S81">
        <f>DATEDIF(D81,DATE(2026,9,30),"Y")</f>
        <v>34</v>
      </c>
      <c r="T81" s="6">
        <f>(IF(Q81="",DATE(2026,9,30),Q81)-E81)/365.25</f>
        <v>9.0157426420260087</v>
      </c>
      <c r="U81" t="str">
        <f>_xlfn.XLOOKUP(Table1_1[[#This Row],[Bo''lim]],Bolimlar!A:A,Bolimlar!B:B,"Topilmadi")</f>
        <v>Shahlo Ismoilova</v>
      </c>
      <c r="V81">
        <f>IF(P81="Ha",1,0)</f>
        <v>0</v>
      </c>
      <c r="W81" t="str">
        <f>IF(T81&lt;1,"1 yildan kam",IF(T81&lt;3,"1-3 yil","3 yildan ko'p"))</f>
        <v>3 yildan ko'p</v>
      </c>
    </row>
    <row r="82" spans="1:23" x14ac:dyDescent="0.3">
      <c r="A82" t="s">
        <v>1073</v>
      </c>
      <c r="B82" t="s">
        <v>311</v>
      </c>
      <c r="C82" t="s">
        <v>31</v>
      </c>
      <c r="D82" s="5">
        <v>32972</v>
      </c>
      <c r="E82" s="5">
        <v>43042</v>
      </c>
      <c r="F82" t="s">
        <v>1226</v>
      </c>
      <c r="G82" t="s">
        <v>57</v>
      </c>
      <c r="H82" t="s">
        <v>23</v>
      </c>
      <c r="I82" t="s">
        <v>24</v>
      </c>
      <c r="J82">
        <v>12660000</v>
      </c>
      <c r="K82">
        <v>3</v>
      </c>
      <c r="L82">
        <v>5</v>
      </c>
      <c r="M82">
        <v>20</v>
      </c>
      <c r="N82" t="s">
        <v>88</v>
      </c>
      <c r="O82" t="s">
        <v>35</v>
      </c>
      <c r="P82" t="s">
        <v>27</v>
      </c>
      <c r="Q82" s="5">
        <v>45700</v>
      </c>
      <c r="R82" t="s">
        <v>28</v>
      </c>
      <c r="S82">
        <f>DATEDIF(D82,DATE(2026,9,30),"Y")</f>
        <v>36</v>
      </c>
      <c r="T82" s="6">
        <f>(IF(Q82="",DATE(2026,9,30),Q82)-E82)/365.25</f>
        <v>7.2772073921971252</v>
      </c>
      <c r="U82" t="str">
        <f>_xlfn.XLOOKUP(Table1_1[[#This Row],[Bo''lim]],Bolimlar!A:A,Bolimlar!B:B,"Topilmadi")</f>
        <v>Madina Abdullayeva</v>
      </c>
      <c r="V82">
        <f>IF(P82="Ha",1,0)</f>
        <v>1</v>
      </c>
      <c r="W82" t="str">
        <f>IF(T82&lt;1,"1 yildan kam",IF(T82&lt;3,"1-3 yil","3 yildan ko'p"))</f>
        <v>3 yildan ko'p</v>
      </c>
    </row>
    <row r="83" spans="1:23" x14ac:dyDescent="0.3">
      <c r="A83" t="s">
        <v>1262</v>
      </c>
      <c r="B83" t="s">
        <v>1263</v>
      </c>
      <c r="C83" t="s">
        <v>31</v>
      </c>
      <c r="D83" s="5">
        <v>33433</v>
      </c>
      <c r="E83" s="5">
        <v>43997</v>
      </c>
      <c r="F83" t="s">
        <v>1035</v>
      </c>
      <c r="G83" t="s">
        <v>79</v>
      </c>
      <c r="H83" t="s">
        <v>23</v>
      </c>
      <c r="I83" t="s">
        <v>104</v>
      </c>
      <c r="J83">
        <v>12660000</v>
      </c>
      <c r="K83">
        <v>2</v>
      </c>
      <c r="L83">
        <v>3</v>
      </c>
      <c r="M83">
        <v>14</v>
      </c>
      <c r="N83" t="s">
        <v>41</v>
      </c>
      <c r="O83" t="s">
        <v>26</v>
      </c>
      <c r="P83" t="s">
        <v>36</v>
      </c>
      <c r="Q83" s="5"/>
      <c r="S83">
        <f>DATEDIF(D83,DATE(2026,9,30),"Y")</f>
        <v>35</v>
      </c>
      <c r="T83" s="6">
        <f>(IF(Q83="",DATE(2026,9,30),Q83)-E83)/365.25</f>
        <v>6.2915811088295692</v>
      </c>
      <c r="U83" t="str">
        <f>_xlfn.XLOOKUP(Table1_1[[#This Row],[Bo''lim]],Bolimlar!A:A,Bolimlar!B:B,"Topilmadi")</f>
        <v>Aziz Karimov</v>
      </c>
      <c r="V83">
        <f>IF(P83="Ha",1,0)</f>
        <v>0</v>
      </c>
      <c r="W83" t="str">
        <f>IF(T83&lt;1,"1 yildan kam",IF(T83&lt;3,"1-3 yil","3 yildan ko'p"))</f>
        <v>3 yildan ko'p</v>
      </c>
    </row>
    <row r="84" spans="1:23" x14ac:dyDescent="0.3">
      <c r="A84" t="s">
        <v>991</v>
      </c>
      <c r="B84" t="s">
        <v>100</v>
      </c>
      <c r="C84" t="s">
        <v>20</v>
      </c>
      <c r="D84" s="5">
        <v>35434</v>
      </c>
      <c r="E84" s="5">
        <v>44974</v>
      </c>
      <c r="F84" t="s">
        <v>1035</v>
      </c>
      <c r="G84" t="s">
        <v>65</v>
      </c>
      <c r="H84" t="s">
        <v>23</v>
      </c>
      <c r="I84" t="s">
        <v>24</v>
      </c>
      <c r="J84">
        <v>12650000</v>
      </c>
      <c r="K84">
        <v>1</v>
      </c>
      <c r="L84">
        <v>2</v>
      </c>
      <c r="M84">
        <v>2</v>
      </c>
      <c r="N84" t="s">
        <v>41</v>
      </c>
      <c r="O84" t="s">
        <v>26</v>
      </c>
      <c r="P84" t="s">
        <v>36</v>
      </c>
      <c r="Q84" s="5"/>
      <c r="S84">
        <f>DATEDIF(D84,DATE(2026,9,30),"Y")</f>
        <v>29</v>
      </c>
      <c r="T84" s="6">
        <f>(IF(Q84="",DATE(2026,9,30),Q84)-E84)/365.25</f>
        <v>3.6167008898015056</v>
      </c>
      <c r="U84" t="str">
        <f>_xlfn.XLOOKUP(Table1_1[[#This Row],[Bo''lim]],Bolimlar!A:A,Bolimlar!B:B,"Topilmadi")</f>
        <v>Aziz Karimov</v>
      </c>
      <c r="V84">
        <f>IF(P84="Ha",1,0)</f>
        <v>0</v>
      </c>
      <c r="W84" t="str">
        <f>IF(T84&lt;1,"1 yildan kam",IF(T84&lt;3,"1-3 yil","3 yildan ko'p"))</f>
        <v>3 yildan ko'p</v>
      </c>
    </row>
    <row r="85" spans="1:23" x14ac:dyDescent="0.3">
      <c r="A85" t="s">
        <v>325</v>
      </c>
      <c r="B85" t="s">
        <v>205</v>
      </c>
      <c r="C85" t="s">
        <v>31</v>
      </c>
      <c r="D85" s="5">
        <v>36394</v>
      </c>
      <c r="E85" s="5">
        <v>45578</v>
      </c>
      <c r="F85" t="s">
        <v>1035</v>
      </c>
      <c r="G85" t="s">
        <v>79</v>
      </c>
      <c r="H85" t="s">
        <v>23</v>
      </c>
      <c r="I85" t="s">
        <v>96</v>
      </c>
      <c r="J85">
        <v>12640000</v>
      </c>
      <c r="K85">
        <v>5</v>
      </c>
      <c r="L85">
        <v>3</v>
      </c>
      <c r="M85">
        <v>17</v>
      </c>
      <c r="N85" t="s">
        <v>25</v>
      </c>
      <c r="O85" t="s">
        <v>35</v>
      </c>
      <c r="P85" t="s">
        <v>36</v>
      </c>
      <c r="Q85" s="5"/>
      <c r="S85">
        <f>DATEDIF(D85,DATE(2026,9,30),"Y")</f>
        <v>27</v>
      </c>
      <c r="T85" s="6">
        <f>(IF(Q85="",DATE(2026,9,30),Q85)-E85)/365.25</f>
        <v>1.9630390143737166</v>
      </c>
      <c r="U85" t="str">
        <f>_xlfn.XLOOKUP(Table1_1[[#This Row],[Bo''lim]],Bolimlar!A:A,Bolimlar!B:B,"Topilmadi")</f>
        <v>Aziz Karimov</v>
      </c>
      <c r="V85">
        <f>IF(P85="Ha",1,0)</f>
        <v>0</v>
      </c>
      <c r="W85" t="str">
        <f>IF(T85&lt;1,"1 yildan kam",IF(T85&lt;3,"1-3 yil","3 yildan ko'p"))</f>
        <v>1-3 yil</v>
      </c>
    </row>
    <row r="86" spans="1:23" x14ac:dyDescent="0.3">
      <c r="A86" t="s">
        <v>396</v>
      </c>
      <c r="B86" t="s">
        <v>106</v>
      </c>
      <c r="C86" t="s">
        <v>20</v>
      </c>
      <c r="D86" s="5">
        <v>37084</v>
      </c>
      <c r="E86" s="5">
        <v>45234</v>
      </c>
      <c r="F86" t="s">
        <v>484</v>
      </c>
      <c r="G86" t="s">
        <v>150</v>
      </c>
      <c r="H86" t="s">
        <v>23</v>
      </c>
      <c r="I86" t="s">
        <v>82</v>
      </c>
      <c r="J86">
        <v>12560000</v>
      </c>
      <c r="K86">
        <v>4</v>
      </c>
      <c r="L86">
        <v>1</v>
      </c>
      <c r="M86">
        <v>8</v>
      </c>
      <c r="N86" t="s">
        <v>25</v>
      </c>
      <c r="O86" t="s">
        <v>26</v>
      </c>
      <c r="P86" t="s">
        <v>36</v>
      </c>
      <c r="Q86" s="5"/>
      <c r="S86">
        <f>DATEDIF(D86,DATE(2026,9,30),"Y")</f>
        <v>25</v>
      </c>
      <c r="T86" s="6">
        <f>(IF(Q86="",DATE(2026,9,30),Q86)-E86)/365.25</f>
        <v>2.9048596851471595</v>
      </c>
      <c r="U86" t="str">
        <f>_xlfn.XLOOKUP(Table1_1[[#This Row],[Bo''lim]],Bolimlar!A:A,Bolimlar!B:B,"Topilmadi")</f>
        <v>Sardor Nazarov</v>
      </c>
      <c r="V86">
        <f>IF(P86="Ha",1,0)</f>
        <v>0</v>
      </c>
      <c r="W86" t="str">
        <f>IF(T86&lt;1,"1 yildan kam",IF(T86&lt;3,"1-3 yil","3 yildan ko'p"))</f>
        <v>1-3 yil</v>
      </c>
    </row>
    <row r="87" spans="1:23" x14ac:dyDescent="0.3">
      <c r="A87" t="s">
        <v>1108</v>
      </c>
      <c r="B87" t="s">
        <v>754</v>
      </c>
      <c r="C87" t="s">
        <v>20</v>
      </c>
      <c r="D87" s="5">
        <v>34225</v>
      </c>
      <c r="E87" s="5">
        <v>44972</v>
      </c>
      <c r="F87" t="s">
        <v>1300</v>
      </c>
      <c r="G87" t="s">
        <v>52</v>
      </c>
      <c r="H87" t="s">
        <v>23</v>
      </c>
      <c r="I87" t="s">
        <v>24</v>
      </c>
      <c r="J87">
        <v>12540000</v>
      </c>
      <c r="K87">
        <v>1</v>
      </c>
      <c r="L87">
        <v>4</v>
      </c>
      <c r="M87">
        <v>27</v>
      </c>
      <c r="N87" t="s">
        <v>25</v>
      </c>
      <c r="O87" t="s">
        <v>53</v>
      </c>
      <c r="P87" t="s">
        <v>36</v>
      </c>
      <c r="Q87" s="5"/>
      <c r="S87">
        <f>DATEDIF(D87,DATE(2026,9,30),"Y")</f>
        <v>33</v>
      </c>
      <c r="T87" s="6">
        <f>(IF(Q87="",DATE(2026,9,30),Q87)-E87)/365.25</f>
        <v>3.6221765913757702</v>
      </c>
      <c r="U87" t="str">
        <f>_xlfn.XLOOKUP(Table1_1[[#This Row],[Bo''lim]],Bolimlar!A:A,Bolimlar!B:B,"Topilmadi")</f>
        <v>Shahlo Ismoilova</v>
      </c>
      <c r="V87">
        <f>IF(P87="Ha",1,0)</f>
        <v>0</v>
      </c>
      <c r="W87" t="str">
        <f>IF(T87&lt;1,"1 yildan kam",IF(T87&lt;3,"1-3 yil","3 yildan ko'p"))</f>
        <v>3 yildan ko'p</v>
      </c>
    </row>
    <row r="88" spans="1:23" x14ac:dyDescent="0.3">
      <c r="A88" t="s">
        <v>531</v>
      </c>
      <c r="B88" t="s">
        <v>532</v>
      </c>
      <c r="C88" t="s">
        <v>31</v>
      </c>
      <c r="D88" s="5">
        <v>36481</v>
      </c>
      <c r="E88" s="5">
        <v>46171</v>
      </c>
      <c r="F88" t="s">
        <v>1035</v>
      </c>
      <c r="G88" t="s">
        <v>65</v>
      </c>
      <c r="H88" t="s">
        <v>23</v>
      </c>
      <c r="I88" t="s">
        <v>96</v>
      </c>
      <c r="J88">
        <v>12510000</v>
      </c>
      <c r="K88">
        <v>4</v>
      </c>
      <c r="L88">
        <v>3</v>
      </c>
      <c r="M88">
        <v>17</v>
      </c>
      <c r="N88" t="s">
        <v>25</v>
      </c>
      <c r="O88" t="s">
        <v>35</v>
      </c>
      <c r="P88" t="s">
        <v>27</v>
      </c>
      <c r="Q88" s="5">
        <v>46289</v>
      </c>
      <c r="R88" t="s">
        <v>28</v>
      </c>
      <c r="S88">
        <f>DATEDIF(D88,DATE(2026,9,30),"Y")</f>
        <v>26</v>
      </c>
      <c r="T88" s="6">
        <f>(IF(Q88="",DATE(2026,9,30),Q88)-E88)/365.25</f>
        <v>0.32306639288158795</v>
      </c>
      <c r="U88" t="str">
        <f>_xlfn.XLOOKUP(Table1_1[[#This Row],[Bo''lim]],Bolimlar!A:A,Bolimlar!B:B,"Topilmadi")</f>
        <v>Aziz Karimov</v>
      </c>
      <c r="V88">
        <f>IF(P88="Ha",1,0)</f>
        <v>1</v>
      </c>
      <c r="W88" t="str">
        <f>IF(T88&lt;1,"1 yildan kam",IF(T88&lt;3,"1-3 yil","3 yildan ko'p"))</f>
        <v>1 yildan kam</v>
      </c>
    </row>
    <row r="89" spans="1:23" x14ac:dyDescent="0.3">
      <c r="A89" t="s">
        <v>662</v>
      </c>
      <c r="B89" t="s">
        <v>301</v>
      </c>
      <c r="C89" t="s">
        <v>20</v>
      </c>
      <c r="D89" s="5">
        <v>31980</v>
      </c>
      <c r="E89" s="5">
        <v>45018</v>
      </c>
      <c r="F89" t="s">
        <v>21</v>
      </c>
      <c r="G89" t="s">
        <v>103</v>
      </c>
      <c r="H89" t="s">
        <v>68</v>
      </c>
      <c r="I89" t="s">
        <v>24</v>
      </c>
      <c r="J89">
        <v>12480000</v>
      </c>
      <c r="K89">
        <v>3</v>
      </c>
      <c r="L89">
        <v>4</v>
      </c>
      <c r="M89">
        <v>35</v>
      </c>
      <c r="N89" t="s">
        <v>41</v>
      </c>
      <c r="O89" t="s">
        <v>35</v>
      </c>
      <c r="P89" t="s">
        <v>36</v>
      </c>
      <c r="Q89" s="5"/>
      <c r="S89">
        <f>DATEDIF(D89,DATE(2026,9,30),"Y")</f>
        <v>39</v>
      </c>
      <c r="T89" s="6">
        <f>(IF(Q89="",DATE(2026,9,30),Q89)-E89)/365.25</f>
        <v>3.4962354551676933</v>
      </c>
      <c r="U89" t="str">
        <f>_xlfn.XLOOKUP(Table1_1[[#This Row],[Bo''lim]],Bolimlar!A:A,Bolimlar!B:B,"Topilmadi")</f>
        <v>Jasur Yusupov</v>
      </c>
      <c r="V89">
        <f>IF(P89="Ha",1,0)</f>
        <v>0</v>
      </c>
      <c r="W89" t="str">
        <f>IF(T89&lt;1,"1 yildan kam",IF(T89&lt;3,"1-3 yil","3 yildan ko'p"))</f>
        <v>3 yildan ko'p</v>
      </c>
    </row>
    <row r="90" spans="1:23" x14ac:dyDescent="0.3">
      <c r="A90" t="s">
        <v>393</v>
      </c>
      <c r="B90" t="s">
        <v>277</v>
      </c>
      <c r="C90" t="s">
        <v>20</v>
      </c>
      <c r="D90" s="5">
        <v>35502</v>
      </c>
      <c r="E90" s="5">
        <v>46048</v>
      </c>
      <c r="F90" t="s">
        <v>484</v>
      </c>
      <c r="G90" t="s">
        <v>150</v>
      </c>
      <c r="H90" t="s">
        <v>23</v>
      </c>
      <c r="I90" t="s">
        <v>206</v>
      </c>
      <c r="J90">
        <v>12430000</v>
      </c>
      <c r="K90">
        <v>3</v>
      </c>
      <c r="L90">
        <v>3</v>
      </c>
      <c r="M90">
        <v>25</v>
      </c>
      <c r="N90" t="s">
        <v>25</v>
      </c>
      <c r="O90" t="s">
        <v>26</v>
      </c>
      <c r="P90" t="s">
        <v>36</v>
      </c>
      <c r="Q90" s="5"/>
      <c r="S90">
        <f>DATEDIF(D90,DATE(2026,9,30),"Y")</f>
        <v>29</v>
      </c>
      <c r="T90" s="6">
        <f>(IF(Q90="",DATE(2026,9,30),Q90)-E90)/365.25</f>
        <v>0.67624914442162898</v>
      </c>
      <c r="U90" t="str">
        <f>_xlfn.XLOOKUP(Table1_1[[#This Row],[Bo''lim]],Bolimlar!A:A,Bolimlar!B:B,"Topilmadi")</f>
        <v>Sardor Nazarov</v>
      </c>
      <c r="V90">
        <f>IF(P90="Ha",1,0)</f>
        <v>0</v>
      </c>
      <c r="W90" t="str">
        <f>IF(T90&lt;1,"1 yildan kam",IF(T90&lt;3,"1-3 yil","3 yildan ko'p"))</f>
        <v>1 yildan kam</v>
      </c>
    </row>
    <row r="91" spans="1:23" x14ac:dyDescent="0.3">
      <c r="A91" t="s">
        <v>1117</v>
      </c>
      <c r="B91" t="s">
        <v>167</v>
      </c>
      <c r="C91" t="s">
        <v>31</v>
      </c>
      <c r="D91" s="5">
        <v>35917</v>
      </c>
      <c r="E91" s="5">
        <v>45492</v>
      </c>
      <c r="F91" t="s">
        <v>245</v>
      </c>
      <c r="G91" t="s">
        <v>90</v>
      </c>
      <c r="H91" t="s">
        <v>23</v>
      </c>
      <c r="I91" t="s">
        <v>34</v>
      </c>
      <c r="J91">
        <v>12430000</v>
      </c>
      <c r="K91">
        <v>3</v>
      </c>
      <c r="L91">
        <v>3</v>
      </c>
      <c r="M91">
        <v>13</v>
      </c>
      <c r="N91" t="s">
        <v>41</v>
      </c>
      <c r="O91" t="s">
        <v>26</v>
      </c>
      <c r="P91" t="s">
        <v>27</v>
      </c>
      <c r="Q91" s="5">
        <v>45818</v>
      </c>
      <c r="R91" t="s">
        <v>28</v>
      </c>
      <c r="S91">
        <f>DATEDIF(D91,DATE(2026,9,30),"Y")</f>
        <v>28</v>
      </c>
      <c r="T91" s="6">
        <f>(IF(Q91="",DATE(2026,9,30),Q91)-E91)/365.25</f>
        <v>0.892539356605065</v>
      </c>
      <c r="U91" t="str">
        <f>_xlfn.XLOOKUP(Table1_1[[#This Row],[Bo''lim]],Bolimlar!A:A,Bolimlar!B:B,"Topilmadi")</f>
        <v>Dilnoza Rahimova</v>
      </c>
      <c r="V91">
        <f>IF(P91="Ha",1,0)</f>
        <v>1</v>
      </c>
      <c r="W91" t="str">
        <f>IF(T91&lt;1,"1 yildan kam",IF(T91&lt;3,"1-3 yil","3 yildan ko'p"))</f>
        <v>1 yildan kam</v>
      </c>
    </row>
    <row r="92" spans="1:23" x14ac:dyDescent="0.3">
      <c r="A92" t="s">
        <v>509</v>
      </c>
      <c r="B92" t="s">
        <v>510</v>
      </c>
      <c r="C92" t="s">
        <v>31</v>
      </c>
      <c r="D92" s="5">
        <v>35303</v>
      </c>
      <c r="E92" s="5">
        <v>45948</v>
      </c>
      <c r="F92" t="s">
        <v>21</v>
      </c>
      <c r="G92" t="s">
        <v>32</v>
      </c>
      <c r="H92" t="s">
        <v>68</v>
      </c>
      <c r="I92" t="s">
        <v>96</v>
      </c>
      <c r="J92">
        <v>12390000</v>
      </c>
      <c r="K92">
        <v>3</v>
      </c>
      <c r="L92">
        <v>5</v>
      </c>
      <c r="M92">
        <v>13</v>
      </c>
      <c r="N92" t="s">
        <v>41</v>
      </c>
      <c r="O92" t="s">
        <v>35</v>
      </c>
      <c r="P92" t="s">
        <v>27</v>
      </c>
      <c r="Q92" s="5">
        <v>46061</v>
      </c>
      <c r="R92" t="s">
        <v>235</v>
      </c>
      <c r="S92">
        <f>DATEDIF(D92,DATE(2026,9,30),"Y")</f>
        <v>30</v>
      </c>
      <c r="T92" s="6">
        <f>(IF(Q92="",DATE(2026,9,30),Q92)-E92)/365.25</f>
        <v>0.30937713894592744</v>
      </c>
      <c r="U92" t="str">
        <f>_xlfn.XLOOKUP(Table1_1[[#This Row],[Bo''lim]],Bolimlar!A:A,Bolimlar!B:B,"Topilmadi")</f>
        <v>Jasur Yusupov</v>
      </c>
      <c r="V92">
        <f>IF(P92="Ha",1,0)</f>
        <v>1</v>
      </c>
      <c r="W92" t="str">
        <f>IF(T92&lt;1,"1 yildan kam",IF(T92&lt;3,"1-3 yil","3 yildan ko'p"))</f>
        <v>1 yildan kam</v>
      </c>
    </row>
    <row r="93" spans="1:23" x14ac:dyDescent="0.3">
      <c r="A93" t="s">
        <v>559</v>
      </c>
      <c r="B93" t="s">
        <v>560</v>
      </c>
      <c r="C93" t="s">
        <v>20</v>
      </c>
      <c r="D93" s="5">
        <v>34684</v>
      </c>
      <c r="E93" s="5">
        <v>45380</v>
      </c>
      <c r="F93" t="s">
        <v>21</v>
      </c>
      <c r="G93" t="s">
        <v>32</v>
      </c>
      <c r="H93" t="s">
        <v>68</v>
      </c>
      <c r="I93" t="s">
        <v>24</v>
      </c>
      <c r="J93">
        <v>12370000</v>
      </c>
      <c r="K93">
        <v>4</v>
      </c>
      <c r="L93">
        <v>2</v>
      </c>
      <c r="M93">
        <v>11</v>
      </c>
      <c r="N93" t="s">
        <v>25</v>
      </c>
      <c r="O93" t="s">
        <v>26</v>
      </c>
      <c r="P93" t="s">
        <v>36</v>
      </c>
      <c r="Q93" s="5"/>
      <c r="S93">
        <f>DATEDIF(D93,DATE(2026,9,30),"Y")</f>
        <v>31</v>
      </c>
      <c r="T93" s="6">
        <f>(IF(Q93="",DATE(2026,9,30),Q93)-E93)/365.25</f>
        <v>2.5051334702258727</v>
      </c>
      <c r="U93" t="str">
        <f>_xlfn.XLOOKUP(Table1_1[[#This Row],[Bo''lim]],Bolimlar!A:A,Bolimlar!B:B,"Topilmadi")</f>
        <v>Jasur Yusupov</v>
      </c>
      <c r="V93">
        <f>IF(P93="Ha",1,0)</f>
        <v>0</v>
      </c>
      <c r="W93" t="str">
        <f>IF(T93&lt;1,"1 yildan kam",IF(T93&lt;3,"1-3 yil","3 yildan ko'p"))</f>
        <v>1-3 yil</v>
      </c>
    </row>
    <row r="94" spans="1:23" x14ac:dyDescent="0.3">
      <c r="A94" t="s">
        <v>927</v>
      </c>
      <c r="B94" t="s">
        <v>928</v>
      </c>
      <c r="C94" t="s">
        <v>31</v>
      </c>
      <c r="D94" s="5">
        <v>34982</v>
      </c>
      <c r="E94" s="5">
        <v>44485</v>
      </c>
      <c r="F94" t="s">
        <v>21</v>
      </c>
      <c r="G94" t="s">
        <v>22</v>
      </c>
      <c r="H94" t="s">
        <v>68</v>
      </c>
      <c r="I94" t="s">
        <v>24</v>
      </c>
      <c r="J94">
        <v>12340000</v>
      </c>
      <c r="K94">
        <v>5</v>
      </c>
      <c r="L94">
        <v>2</v>
      </c>
      <c r="M94">
        <v>21</v>
      </c>
      <c r="N94" t="s">
        <v>41</v>
      </c>
      <c r="O94" t="s">
        <v>26</v>
      </c>
      <c r="P94" t="s">
        <v>36</v>
      </c>
      <c r="Q94" s="5"/>
      <c r="S94">
        <f>DATEDIF(D94,DATE(2026,9,30),"Y")</f>
        <v>30</v>
      </c>
      <c r="T94" s="6">
        <f>(IF(Q94="",DATE(2026,9,30),Q94)-E94)/365.25</f>
        <v>4.9555099247091032</v>
      </c>
      <c r="U94" t="str">
        <f>_xlfn.XLOOKUP(Table1_1[[#This Row],[Bo''lim]],Bolimlar!A:A,Bolimlar!B:B,"Topilmadi")</f>
        <v>Jasur Yusupov</v>
      </c>
      <c r="V94">
        <f>IF(P94="Ha",1,0)</f>
        <v>0</v>
      </c>
      <c r="W94" t="str">
        <f>IF(T94&lt;1,"1 yildan kam",IF(T94&lt;3,"1-3 yil","3 yildan ko'p"))</f>
        <v>3 yildan ko'p</v>
      </c>
    </row>
    <row r="95" spans="1:23" x14ac:dyDescent="0.3">
      <c r="A95" t="s">
        <v>553</v>
      </c>
      <c r="B95" t="s">
        <v>554</v>
      </c>
      <c r="C95" t="s">
        <v>31</v>
      </c>
      <c r="D95" s="5">
        <v>31063</v>
      </c>
      <c r="E95" s="5">
        <v>45919</v>
      </c>
      <c r="F95" t="s">
        <v>1300</v>
      </c>
      <c r="G95" t="s">
        <v>52</v>
      </c>
      <c r="H95" t="s">
        <v>23</v>
      </c>
      <c r="I95" t="s">
        <v>206</v>
      </c>
      <c r="J95">
        <v>12310000</v>
      </c>
      <c r="K95">
        <v>4</v>
      </c>
      <c r="L95">
        <v>3</v>
      </c>
      <c r="M95">
        <v>5</v>
      </c>
      <c r="N95" t="s">
        <v>41</v>
      </c>
      <c r="O95" t="s">
        <v>26</v>
      </c>
      <c r="P95" t="s">
        <v>36</v>
      </c>
      <c r="Q95" s="5"/>
      <c r="S95">
        <f>DATEDIF(D95,DATE(2026,9,30),"Y")</f>
        <v>41</v>
      </c>
      <c r="T95" s="6">
        <f>(IF(Q95="",DATE(2026,9,30),Q95)-E95)/365.25</f>
        <v>1.0294318959616702</v>
      </c>
      <c r="U95" t="str">
        <f>_xlfn.XLOOKUP(Table1_1[[#This Row],[Bo''lim]],Bolimlar!A:A,Bolimlar!B:B,"Topilmadi")</f>
        <v>Shahlo Ismoilova</v>
      </c>
      <c r="V95">
        <f>IF(P95="Ha",1,0)</f>
        <v>0</v>
      </c>
      <c r="W95" t="str">
        <f>IF(T95&lt;1,"1 yildan kam",IF(T95&lt;3,"1-3 yil","3 yildan ko'p"))</f>
        <v>1-3 yil</v>
      </c>
    </row>
    <row r="96" spans="1:23" x14ac:dyDescent="0.3">
      <c r="A96" t="s">
        <v>45</v>
      </c>
      <c r="B96" t="s">
        <v>46</v>
      </c>
      <c r="C96" t="s">
        <v>31</v>
      </c>
      <c r="D96" s="5">
        <v>34691</v>
      </c>
      <c r="E96" s="5">
        <v>45792</v>
      </c>
      <c r="F96" t="s">
        <v>245</v>
      </c>
      <c r="G96" t="s">
        <v>48</v>
      </c>
      <c r="H96" t="s">
        <v>23</v>
      </c>
      <c r="I96" t="s">
        <v>24</v>
      </c>
      <c r="J96">
        <v>12290000</v>
      </c>
      <c r="K96">
        <v>3</v>
      </c>
      <c r="L96">
        <v>4</v>
      </c>
      <c r="M96">
        <v>8</v>
      </c>
      <c r="N96" t="s">
        <v>41</v>
      </c>
      <c r="O96" t="s">
        <v>35</v>
      </c>
      <c r="P96" t="s">
        <v>36</v>
      </c>
      <c r="Q96" s="5"/>
      <c r="S96">
        <f>DATEDIF(D96,DATE(2026,9,30),"Y")</f>
        <v>31</v>
      </c>
      <c r="T96" s="6">
        <f>(IF(Q96="",DATE(2026,9,30),Q96)-E96)/365.25</f>
        <v>1.377138945927447</v>
      </c>
      <c r="U96" t="str">
        <f>_xlfn.XLOOKUP(Table1_1[[#This Row],[Bo''lim]],Bolimlar!A:A,Bolimlar!B:B,"Topilmadi")</f>
        <v>Dilnoza Rahimova</v>
      </c>
      <c r="V96">
        <f>IF(P96="Ha",1,0)</f>
        <v>0</v>
      </c>
      <c r="W96" t="str">
        <f>IF(T96&lt;1,"1 yildan kam",IF(T96&lt;3,"1-3 yil","3 yildan ko'p"))</f>
        <v>1-3 yil</v>
      </c>
    </row>
    <row r="97" spans="1:23" x14ac:dyDescent="0.3">
      <c r="A97" t="s">
        <v>644</v>
      </c>
      <c r="B97" t="s">
        <v>645</v>
      </c>
      <c r="C97" t="s">
        <v>31</v>
      </c>
      <c r="D97" s="5">
        <v>34796</v>
      </c>
      <c r="E97" s="5">
        <v>44544</v>
      </c>
      <c r="F97" t="s">
        <v>21</v>
      </c>
      <c r="G97" t="s">
        <v>103</v>
      </c>
      <c r="H97" t="s">
        <v>68</v>
      </c>
      <c r="I97" t="s">
        <v>34</v>
      </c>
      <c r="J97">
        <v>12260000</v>
      </c>
      <c r="K97">
        <v>3</v>
      </c>
      <c r="L97">
        <v>3</v>
      </c>
      <c r="M97">
        <v>12</v>
      </c>
      <c r="N97" t="s">
        <v>41</v>
      </c>
      <c r="O97" t="s">
        <v>26</v>
      </c>
      <c r="P97" t="s">
        <v>36</v>
      </c>
      <c r="Q97" s="5"/>
      <c r="S97">
        <f>DATEDIF(D97,DATE(2026,9,30),"Y")</f>
        <v>31</v>
      </c>
      <c r="T97" s="6">
        <f>(IF(Q97="",DATE(2026,9,30),Q97)-E97)/365.25</f>
        <v>4.7939767282683095</v>
      </c>
      <c r="U97" t="str">
        <f>_xlfn.XLOOKUP(Table1_1[[#This Row],[Bo''lim]],Bolimlar!A:A,Bolimlar!B:B,"Topilmadi")</f>
        <v>Jasur Yusupov</v>
      </c>
      <c r="V97">
        <f>IF(P97="Ha",1,0)</f>
        <v>0</v>
      </c>
      <c r="W97" t="str">
        <f>IF(T97&lt;1,"1 yildan kam",IF(T97&lt;3,"1-3 yil","3 yildan ko'p"))</f>
        <v>3 yildan ko'p</v>
      </c>
    </row>
    <row r="98" spans="1:23" x14ac:dyDescent="0.3">
      <c r="A98" t="s">
        <v>455</v>
      </c>
      <c r="B98" t="s">
        <v>456</v>
      </c>
      <c r="C98" t="s">
        <v>31</v>
      </c>
      <c r="D98" s="5">
        <v>32679</v>
      </c>
      <c r="E98" s="5">
        <v>45966</v>
      </c>
      <c r="F98" t="s">
        <v>1300</v>
      </c>
      <c r="G98" t="s">
        <v>52</v>
      </c>
      <c r="H98" t="s">
        <v>23</v>
      </c>
      <c r="I98" t="s">
        <v>96</v>
      </c>
      <c r="J98">
        <v>12200000</v>
      </c>
      <c r="K98">
        <v>2</v>
      </c>
      <c r="L98">
        <v>4</v>
      </c>
      <c r="M98">
        <v>6</v>
      </c>
      <c r="N98" t="s">
        <v>25</v>
      </c>
      <c r="O98" t="s">
        <v>35</v>
      </c>
      <c r="P98" t="s">
        <v>36</v>
      </c>
      <c r="Q98" s="5"/>
      <c r="S98">
        <f>DATEDIF(D98,DATE(2026,9,30),"Y")</f>
        <v>37</v>
      </c>
      <c r="T98" s="6">
        <f>(IF(Q98="",DATE(2026,9,30),Q98)-E98)/365.25</f>
        <v>0.90075290896646132</v>
      </c>
      <c r="U98" t="str">
        <f>_xlfn.XLOOKUP(Table1_1[[#This Row],[Bo''lim]],Bolimlar!A:A,Bolimlar!B:B,"Topilmadi")</f>
        <v>Shahlo Ismoilova</v>
      </c>
      <c r="V98">
        <f>IF(P98="Ha",1,0)</f>
        <v>0</v>
      </c>
      <c r="W98" t="str">
        <f>IF(T98&lt;1,"1 yildan kam",IF(T98&lt;3,"1-3 yil","3 yildan ko'p"))</f>
        <v>1 yildan kam</v>
      </c>
    </row>
    <row r="99" spans="1:23" x14ac:dyDescent="0.3">
      <c r="A99" t="s">
        <v>162</v>
      </c>
      <c r="B99" t="s">
        <v>163</v>
      </c>
      <c r="C99" t="s">
        <v>31</v>
      </c>
      <c r="D99" s="5">
        <v>33865</v>
      </c>
      <c r="E99" s="5">
        <v>46233</v>
      </c>
      <c r="F99" t="s">
        <v>245</v>
      </c>
      <c r="G99" t="s">
        <v>127</v>
      </c>
      <c r="H99" t="s">
        <v>23</v>
      </c>
      <c r="I99" t="s">
        <v>24</v>
      </c>
      <c r="J99">
        <v>12170000</v>
      </c>
      <c r="K99">
        <v>2</v>
      </c>
      <c r="L99">
        <v>2</v>
      </c>
      <c r="M99">
        <v>13</v>
      </c>
      <c r="N99" t="s">
        <v>41</v>
      </c>
      <c r="O99" t="s">
        <v>35</v>
      </c>
      <c r="P99" t="s">
        <v>36</v>
      </c>
      <c r="Q99" s="5"/>
      <c r="S99">
        <f>DATEDIF(D99,DATE(2026,9,30),"Y")</f>
        <v>34</v>
      </c>
      <c r="T99" s="6">
        <f>(IF(Q99="",DATE(2026,9,30),Q99)-E99)/365.25</f>
        <v>0.16974674880219029</v>
      </c>
      <c r="U99" t="str">
        <f>_xlfn.XLOOKUP(Table1_1[[#This Row],[Bo''lim]],Bolimlar!A:A,Bolimlar!B:B,"Topilmadi")</f>
        <v>Dilnoza Rahimova</v>
      </c>
      <c r="V99">
        <f>IF(P99="Ha",1,0)</f>
        <v>0</v>
      </c>
      <c r="W99" t="str">
        <f>IF(T99&lt;1,"1 yildan kam",IF(T99&lt;3,"1-3 yil","3 yildan ko'p"))</f>
        <v>1 yildan kam</v>
      </c>
    </row>
    <row r="100" spans="1:23" x14ac:dyDescent="0.3">
      <c r="A100" t="s">
        <v>1021</v>
      </c>
      <c r="B100" t="s">
        <v>254</v>
      </c>
      <c r="C100" t="s">
        <v>31</v>
      </c>
      <c r="D100" s="5">
        <v>36529</v>
      </c>
      <c r="E100" s="5">
        <v>45428</v>
      </c>
      <c r="F100" t="s">
        <v>21</v>
      </c>
      <c r="G100" t="s">
        <v>22</v>
      </c>
      <c r="H100" t="s">
        <v>68</v>
      </c>
      <c r="I100" t="s">
        <v>24</v>
      </c>
      <c r="J100">
        <v>12160000</v>
      </c>
      <c r="K100">
        <v>3</v>
      </c>
      <c r="L100">
        <v>3</v>
      </c>
      <c r="M100">
        <v>4</v>
      </c>
      <c r="N100" t="s">
        <v>25</v>
      </c>
      <c r="O100" t="s">
        <v>26</v>
      </c>
      <c r="P100" t="s">
        <v>36</v>
      </c>
      <c r="Q100" s="5"/>
      <c r="S100">
        <f>DATEDIF(D100,DATE(2026,9,30),"Y")</f>
        <v>26</v>
      </c>
      <c r="T100" s="6">
        <f>(IF(Q100="",DATE(2026,9,30),Q100)-E100)/365.25</f>
        <v>2.3737166324435317</v>
      </c>
      <c r="U100" t="str">
        <f>_xlfn.XLOOKUP(Table1_1[[#This Row],[Bo''lim]],Bolimlar!A:A,Bolimlar!B:B,"Topilmadi")</f>
        <v>Jasur Yusupov</v>
      </c>
      <c r="V100">
        <f>IF(P100="Ha",1,0)</f>
        <v>0</v>
      </c>
      <c r="W100" t="str">
        <f>IF(T100&lt;1,"1 yildan kam",IF(T100&lt;3,"1-3 yil","3 yildan ko'p"))</f>
        <v>1-3 yil</v>
      </c>
    </row>
    <row r="101" spans="1:23" x14ac:dyDescent="0.3">
      <c r="A101" t="s">
        <v>1059</v>
      </c>
      <c r="B101" t="s">
        <v>871</v>
      </c>
      <c r="C101" t="s">
        <v>20</v>
      </c>
      <c r="D101" s="5">
        <v>37719</v>
      </c>
      <c r="E101" s="5">
        <v>45878</v>
      </c>
      <c r="F101" t="s">
        <v>1035</v>
      </c>
      <c r="G101" t="s">
        <v>79</v>
      </c>
      <c r="H101" t="s">
        <v>23</v>
      </c>
      <c r="I101" t="s">
        <v>24</v>
      </c>
      <c r="J101">
        <v>12160000</v>
      </c>
      <c r="K101">
        <v>3</v>
      </c>
      <c r="L101">
        <v>2</v>
      </c>
      <c r="M101">
        <v>1</v>
      </c>
      <c r="N101" t="s">
        <v>25</v>
      </c>
      <c r="O101" t="s">
        <v>26</v>
      </c>
      <c r="P101" t="s">
        <v>36</v>
      </c>
      <c r="Q101" s="5"/>
      <c r="S101">
        <f>DATEDIF(D101,DATE(2026,9,30),"Y")</f>
        <v>23</v>
      </c>
      <c r="T101" s="6">
        <f>(IF(Q101="",DATE(2026,9,30),Q101)-E101)/365.25</f>
        <v>1.1416837782340863</v>
      </c>
      <c r="U101" t="str">
        <f>_xlfn.XLOOKUP(Table1_1[[#This Row],[Bo''lim]],Bolimlar!A:A,Bolimlar!B:B,"Topilmadi")</f>
        <v>Aziz Karimov</v>
      </c>
      <c r="V101">
        <f>IF(P101="Ha",1,0)</f>
        <v>0</v>
      </c>
      <c r="W101" t="str">
        <f>IF(T101&lt;1,"1 yildan kam",IF(T101&lt;3,"1-3 yil","3 yildan ko'p"))</f>
        <v>1-3 yil</v>
      </c>
    </row>
    <row r="102" spans="1:23" x14ac:dyDescent="0.3">
      <c r="A102" t="s">
        <v>904</v>
      </c>
      <c r="B102" t="s">
        <v>905</v>
      </c>
      <c r="C102" t="s">
        <v>20</v>
      </c>
      <c r="D102" s="5">
        <v>34044</v>
      </c>
      <c r="E102" s="5">
        <v>45998</v>
      </c>
      <c r="F102" t="s">
        <v>21</v>
      </c>
      <c r="G102" t="s">
        <v>103</v>
      </c>
      <c r="H102" t="s">
        <v>68</v>
      </c>
      <c r="I102" t="s">
        <v>24</v>
      </c>
      <c r="J102">
        <v>12090000</v>
      </c>
      <c r="K102">
        <v>4</v>
      </c>
      <c r="L102">
        <v>3</v>
      </c>
      <c r="M102">
        <v>24</v>
      </c>
      <c r="N102" t="s">
        <v>41</v>
      </c>
      <c r="O102" t="s">
        <v>26</v>
      </c>
      <c r="P102" t="s">
        <v>36</v>
      </c>
      <c r="Q102" s="5"/>
      <c r="S102">
        <f>DATEDIF(D102,DATE(2026,9,30),"Y")</f>
        <v>33</v>
      </c>
      <c r="T102" s="6">
        <f>(IF(Q102="",DATE(2026,9,30),Q102)-E102)/365.25</f>
        <v>0.81314168377823404</v>
      </c>
      <c r="U102" t="str">
        <f>_xlfn.XLOOKUP(Table1_1[[#This Row],[Bo''lim]],Bolimlar!A:A,Bolimlar!B:B,"Topilmadi")</f>
        <v>Jasur Yusupov</v>
      </c>
      <c r="V102">
        <f>IF(P102="Ha",1,0)</f>
        <v>0</v>
      </c>
      <c r="W102" t="str">
        <f>IF(T102&lt;1,"1 yildan kam",IF(T102&lt;3,"1-3 yil","3 yildan ko'p"))</f>
        <v>1 yildan kam</v>
      </c>
    </row>
    <row r="103" spans="1:23" x14ac:dyDescent="0.3">
      <c r="A103" t="s">
        <v>962</v>
      </c>
      <c r="B103" t="s">
        <v>636</v>
      </c>
      <c r="C103" t="s">
        <v>20</v>
      </c>
      <c r="D103" s="5">
        <v>30133</v>
      </c>
      <c r="E103" s="5">
        <v>45001</v>
      </c>
      <c r="F103" t="s">
        <v>1035</v>
      </c>
      <c r="G103" t="s">
        <v>65</v>
      </c>
      <c r="H103" t="s">
        <v>23</v>
      </c>
      <c r="I103" t="s">
        <v>44</v>
      </c>
      <c r="J103">
        <v>12080000</v>
      </c>
      <c r="K103">
        <v>4</v>
      </c>
      <c r="L103">
        <v>1</v>
      </c>
      <c r="M103">
        <v>21</v>
      </c>
      <c r="N103" t="s">
        <v>41</v>
      </c>
      <c r="O103" t="s">
        <v>35</v>
      </c>
      <c r="P103" t="s">
        <v>27</v>
      </c>
      <c r="Q103" s="5">
        <v>45816</v>
      </c>
      <c r="R103" t="s">
        <v>61</v>
      </c>
      <c r="S103">
        <f>DATEDIF(D103,DATE(2026,9,30),"Y")</f>
        <v>44</v>
      </c>
      <c r="T103" s="6">
        <f>(IF(Q103="",DATE(2026,9,30),Q103)-E103)/365.25</f>
        <v>2.2313483915126624</v>
      </c>
      <c r="U103" t="str">
        <f>_xlfn.XLOOKUP(Table1_1[[#This Row],[Bo''lim]],Bolimlar!A:A,Bolimlar!B:B,"Topilmadi")</f>
        <v>Aziz Karimov</v>
      </c>
      <c r="V103">
        <f>IF(P103="Ha",1,0)</f>
        <v>1</v>
      </c>
      <c r="W103" t="str">
        <f>IF(T103&lt;1,"1 yildan kam",IF(T103&lt;3,"1-3 yil","3 yildan ko'p"))</f>
        <v>1-3 yil</v>
      </c>
    </row>
    <row r="104" spans="1:23" x14ac:dyDescent="0.3">
      <c r="A104" t="s">
        <v>1067</v>
      </c>
      <c r="B104" t="s">
        <v>826</v>
      </c>
      <c r="C104" t="s">
        <v>31</v>
      </c>
      <c r="D104" s="5">
        <v>37168</v>
      </c>
      <c r="E104" s="5">
        <v>45671</v>
      </c>
      <c r="F104" t="s">
        <v>21</v>
      </c>
      <c r="G104" t="s">
        <v>32</v>
      </c>
      <c r="H104" t="s">
        <v>68</v>
      </c>
      <c r="I104" t="s">
        <v>24</v>
      </c>
      <c r="J104">
        <v>12030000</v>
      </c>
      <c r="K104">
        <v>3</v>
      </c>
      <c r="L104">
        <v>5</v>
      </c>
      <c r="M104">
        <v>0</v>
      </c>
      <c r="N104" t="s">
        <v>41</v>
      </c>
      <c r="O104" t="s">
        <v>26</v>
      </c>
      <c r="P104" t="s">
        <v>36</v>
      </c>
      <c r="Q104" s="5"/>
      <c r="S104">
        <f>DATEDIF(D104,DATE(2026,9,30),"Y")</f>
        <v>24</v>
      </c>
      <c r="T104" s="6">
        <f>(IF(Q104="",DATE(2026,9,30),Q104)-E104)/365.25</f>
        <v>1.7084188911704312</v>
      </c>
      <c r="U104" t="str">
        <f>_xlfn.XLOOKUP(Table1_1[[#This Row],[Bo''lim]],Bolimlar!A:A,Bolimlar!B:B,"Topilmadi")</f>
        <v>Jasur Yusupov</v>
      </c>
      <c r="V104">
        <f>IF(P104="Ha",1,0)</f>
        <v>0</v>
      </c>
      <c r="W104" t="str">
        <f>IF(T104&lt;1,"1 yildan kam",IF(T104&lt;3,"1-3 yil","3 yildan ko'p"))</f>
        <v>1-3 yil</v>
      </c>
    </row>
    <row r="105" spans="1:23" x14ac:dyDescent="0.3">
      <c r="A105" t="s">
        <v>1168</v>
      </c>
      <c r="B105" t="s">
        <v>190</v>
      </c>
      <c r="C105" t="s">
        <v>31</v>
      </c>
      <c r="D105" s="5">
        <v>34366</v>
      </c>
      <c r="E105" s="5">
        <v>45484</v>
      </c>
      <c r="F105" t="s">
        <v>245</v>
      </c>
      <c r="G105" t="s">
        <v>127</v>
      </c>
      <c r="H105" t="s">
        <v>23</v>
      </c>
      <c r="I105" t="s">
        <v>24</v>
      </c>
      <c r="J105">
        <v>12000000</v>
      </c>
      <c r="K105">
        <v>4</v>
      </c>
      <c r="L105">
        <v>4</v>
      </c>
      <c r="M105">
        <v>19</v>
      </c>
      <c r="N105" t="s">
        <v>41</v>
      </c>
      <c r="O105" t="s">
        <v>35</v>
      </c>
      <c r="P105" t="s">
        <v>36</v>
      </c>
      <c r="Q105" s="5"/>
      <c r="S105">
        <f>DATEDIF(D105,DATE(2026,9,30),"Y")</f>
        <v>32</v>
      </c>
      <c r="T105" s="6">
        <f>(IF(Q105="",DATE(2026,9,30),Q105)-E105)/365.25</f>
        <v>2.2203969883641341</v>
      </c>
      <c r="U105" t="str">
        <f>_xlfn.XLOOKUP(Table1_1[[#This Row],[Bo''lim]],Bolimlar!A:A,Bolimlar!B:B,"Topilmadi")</f>
        <v>Dilnoza Rahimova</v>
      </c>
      <c r="V105">
        <f>IF(P105="Ha",1,0)</f>
        <v>0</v>
      </c>
      <c r="W105" t="str">
        <f>IF(T105&lt;1,"1 yildan kam",IF(T105&lt;3,"1-3 yil","3 yildan ko'p"))</f>
        <v>1-3 yil</v>
      </c>
    </row>
    <row r="106" spans="1:23" x14ac:dyDescent="0.3">
      <c r="A106" t="s">
        <v>406</v>
      </c>
      <c r="B106" t="s">
        <v>407</v>
      </c>
      <c r="C106" t="s">
        <v>20</v>
      </c>
      <c r="D106" s="5">
        <v>38721</v>
      </c>
      <c r="E106" s="5">
        <v>46218</v>
      </c>
      <c r="F106" t="s">
        <v>39</v>
      </c>
      <c r="G106" t="s">
        <v>40</v>
      </c>
      <c r="H106" t="s">
        <v>23</v>
      </c>
      <c r="I106" t="s">
        <v>24</v>
      </c>
      <c r="J106">
        <v>11990000</v>
      </c>
      <c r="K106">
        <v>5</v>
      </c>
      <c r="L106">
        <v>2</v>
      </c>
      <c r="M106">
        <v>12</v>
      </c>
      <c r="N106" t="s">
        <v>41</v>
      </c>
      <c r="O106" t="s">
        <v>26</v>
      </c>
      <c r="P106" t="s">
        <v>36</v>
      </c>
      <c r="Q106" s="5"/>
      <c r="S106">
        <f>DATEDIF(D106,DATE(2026,9,30),"Y")</f>
        <v>20</v>
      </c>
      <c r="T106" s="6">
        <f>(IF(Q106="",DATE(2026,9,30),Q106)-E106)/365.25</f>
        <v>0.21081451060917181</v>
      </c>
      <c r="U106" t="str">
        <f>_xlfn.XLOOKUP(Table1_1[[#This Row],[Bo''lim]],Bolimlar!A:A,Bolimlar!B:B,"Topilmadi")</f>
        <v>Nodira Tursunova</v>
      </c>
      <c r="V106">
        <f>IF(P106="Ha",1,0)</f>
        <v>0</v>
      </c>
      <c r="W106" t="str">
        <f>IF(T106&lt;1,"1 yildan kam",IF(T106&lt;3,"1-3 yil","3 yildan ko'p"))</f>
        <v>1 yildan kam</v>
      </c>
    </row>
    <row r="107" spans="1:23" x14ac:dyDescent="0.3">
      <c r="A107" t="s">
        <v>457</v>
      </c>
      <c r="B107" t="s">
        <v>345</v>
      </c>
      <c r="C107" t="s">
        <v>31</v>
      </c>
      <c r="D107" s="5">
        <v>38713</v>
      </c>
      <c r="E107" s="5">
        <v>46144</v>
      </c>
      <c r="F107" t="s">
        <v>21</v>
      </c>
      <c r="G107" t="s">
        <v>103</v>
      </c>
      <c r="H107" t="s">
        <v>68</v>
      </c>
      <c r="I107" t="s">
        <v>96</v>
      </c>
      <c r="J107">
        <v>11940000</v>
      </c>
      <c r="K107">
        <v>4</v>
      </c>
      <c r="L107">
        <v>2</v>
      </c>
      <c r="M107">
        <v>22</v>
      </c>
      <c r="N107" t="s">
        <v>25</v>
      </c>
      <c r="O107" t="s">
        <v>26</v>
      </c>
      <c r="P107" t="s">
        <v>36</v>
      </c>
      <c r="Q107" s="5"/>
      <c r="S107">
        <f>DATEDIF(D107,DATE(2026,9,30),"Y")</f>
        <v>20</v>
      </c>
      <c r="T107" s="6">
        <f>(IF(Q107="",DATE(2026,9,30),Q107)-E107)/365.25</f>
        <v>0.4134154688569473</v>
      </c>
      <c r="U107" t="str">
        <f>_xlfn.XLOOKUP(Table1_1[[#This Row],[Bo''lim]],Bolimlar!A:A,Bolimlar!B:B,"Topilmadi")</f>
        <v>Jasur Yusupov</v>
      </c>
      <c r="V107">
        <f>IF(P107="Ha",1,0)</f>
        <v>0</v>
      </c>
      <c r="W107" t="str">
        <f>IF(T107&lt;1,"1 yildan kam",IF(T107&lt;3,"1-3 yil","3 yildan ko'p"))</f>
        <v>1 yildan kam</v>
      </c>
    </row>
    <row r="108" spans="1:23" x14ac:dyDescent="0.3">
      <c r="A108" t="s">
        <v>519</v>
      </c>
      <c r="B108" t="s">
        <v>520</v>
      </c>
      <c r="C108" t="s">
        <v>20</v>
      </c>
      <c r="D108" s="5">
        <v>31741</v>
      </c>
      <c r="E108" s="5">
        <v>45126</v>
      </c>
      <c r="F108" t="s">
        <v>39</v>
      </c>
      <c r="G108" t="s">
        <v>170</v>
      </c>
      <c r="H108" t="s">
        <v>23</v>
      </c>
      <c r="I108" t="s">
        <v>24</v>
      </c>
      <c r="J108">
        <v>11850000</v>
      </c>
      <c r="K108">
        <v>4</v>
      </c>
      <c r="L108">
        <v>1</v>
      </c>
      <c r="M108">
        <v>16</v>
      </c>
      <c r="N108" t="s">
        <v>25</v>
      </c>
      <c r="O108" t="s">
        <v>35</v>
      </c>
      <c r="P108" t="s">
        <v>36</v>
      </c>
      <c r="Q108" s="5"/>
      <c r="S108">
        <f>DATEDIF(D108,DATE(2026,9,30),"Y")</f>
        <v>39</v>
      </c>
      <c r="T108" s="6">
        <f>(IF(Q108="",DATE(2026,9,30),Q108)-E108)/365.25</f>
        <v>3.2005475701574264</v>
      </c>
      <c r="U108" t="str">
        <f>_xlfn.XLOOKUP(Table1_1[[#This Row],[Bo''lim]],Bolimlar!A:A,Bolimlar!B:B,"Topilmadi")</f>
        <v>Nodira Tursunova</v>
      </c>
      <c r="V108">
        <f>IF(P108="Ha",1,0)</f>
        <v>0</v>
      </c>
      <c r="W108" t="str">
        <f>IF(T108&lt;1,"1 yildan kam",IF(T108&lt;3,"1-3 yil","3 yildan ko'p"))</f>
        <v>3 yildan ko'p</v>
      </c>
    </row>
    <row r="109" spans="1:23" x14ac:dyDescent="0.3">
      <c r="A109" t="s">
        <v>971</v>
      </c>
      <c r="B109" t="s">
        <v>972</v>
      </c>
      <c r="C109" t="s">
        <v>20</v>
      </c>
      <c r="D109" s="5">
        <v>36495</v>
      </c>
      <c r="E109" s="5">
        <v>45480</v>
      </c>
      <c r="F109" t="s">
        <v>21</v>
      </c>
      <c r="G109" t="s">
        <v>32</v>
      </c>
      <c r="H109" t="s">
        <v>68</v>
      </c>
      <c r="I109" t="s">
        <v>82</v>
      </c>
      <c r="J109">
        <v>11820000</v>
      </c>
      <c r="K109">
        <v>2</v>
      </c>
      <c r="L109">
        <v>4</v>
      </c>
      <c r="M109">
        <v>23</v>
      </c>
      <c r="N109" t="s">
        <v>41</v>
      </c>
      <c r="O109" t="s">
        <v>26</v>
      </c>
      <c r="P109" t="s">
        <v>36</v>
      </c>
      <c r="Q109" s="5"/>
      <c r="S109">
        <f>DATEDIF(D109,DATE(2026,9,30),"Y")</f>
        <v>26</v>
      </c>
      <c r="T109" s="6">
        <f>(IF(Q109="",DATE(2026,9,30),Q109)-E109)/365.25</f>
        <v>2.2313483915126624</v>
      </c>
      <c r="U109" t="str">
        <f>_xlfn.XLOOKUP(Table1_1[[#This Row],[Bo''lim]],Bolimlar!A:A,Bolimlar!B:B,"Topilmadi")</f>
        <v>Jasur Yusupov</v>
      </c>
      <c r="V109">
        <f>IF(P109="Ha",1,0)</f>
        <v>0</v>
      </c>
      <c r="W109" t="str">
        <f>IF(T109&lt;1,"1 yildan kam",IF(T109&lt;3,"1-3 yil","3 yildan ko'p"))</f>
        <v>1-3 yil</v>
      </c>
    </row>
    <row r="110" spans="1:23" x14ac:dyDescent="0.3">
      <c r="A110" t="s">
        <v>469</v>
      </c>
      <c r="B110" t="s">
        <v>470</v>
      </c>
      <c r="C110" t="s">
        <v>20</v>
      </c>
      <c r="D110" s="5">
        <v>37067</v>
      </c>
      <c r="E110" s="5">
        <v>46162</v>
      </c>
      <c r="F110" t="s">
        <v>1300</v>
      </c>
      <c r="G110" t="s">
        <v>52</v>
      </c>
      <c r="H110" t="s">
        <v>23</v>
      </c>
      <c r="I110" t="s">
        <v>24</v>
      </c>
      <c r="J110">
        <v>11810000</v>
      </c>
      <c r="K110">
        <v>3</v>
      </c>
      <c r="L110">
        <v>4</v>
      </c>
      <c r="M110">
        <v>30</v>
      </c>
      <c r="N110" t="s">
        <v>25</v>
      </c>
      <c r="O110" t="s">
        <v>26</v>
      </c>
      <c r="P110" t="s">
        <v>36</v>
      </c>
      <c r="Q110" s="5"/>
      <c r="S110">
        <f>DATEDIF(D110,DATE(2026,9,30),"Y")</f>
        <v>25</v>
      </c>
      <c r="T110" s="6">
        <f>(IF(Q110="",DATE(2026,9,30),Q110)-E110)/365.25</f>
        <v>0.36413415468856947</v>
      </c>
      <c r="U110" t="str">
        <f>_xlfn.XLOOKUP(Table1_1[[#This Row],[Bo''lim]],Bolimlar!A:A,Bolimlar!B:B,"Topilmadi")</f>
        <v>Shahlo Ismoilova</v>
      </c>
      <c r="V110">
        <f>IF(P110="Ha",1,0)</f>
        <v>0</v>
      </c>
      <c r="W110" t="str">
        <f>IF(T110&lt;1,"1 yildan kam",IF(T110&lt;3,"1-3 yil","3 yildan ko'p"))</f>
        <v>1 yildan kam</v>
      </c>
    </row>
    <row r="111" spans="1:23" x14ac:dyDescent="0.3">
      <c r="A111" t="s">
        <v>759</v>
      </c>
      <c r="B111" t="s">
        <v>697</v>
      </c>
      <c r="C111" t="s">
        <v>20</v>
      </c>
      <c r="D111" s="5">
        <v>35227</v>
      </c>
      <c r="E111" s="5">
        <v>43686</v>
      </c>
      <c r="F111" t="s">
        <v>1300</v>
      </c>
      <c r="G111" t="s">
        <v>52</v>
      </c>
      <c r="H111" t="s">
        <v>23</v>
      </c>
      <c r="I111" t="s">
        <v>24</v>
      </c>
      <c r="J111">
        <v>11800000</v>
      </c>
      <c r="K111">
        <v>1</v>
      </c>
      <c r="L111">
        <v>4</v>
      </c>
      <c r="M111">
        <v>10</v>
      </c>
      <c r="N111" t="s">
        <v>41</v>
      </c>
      <c r="O111" t="s">
        <v>35</v>
      </c>
      <c r="P111" t="s">
        <v>36</v>
      </c>
      <c r="Q111" s="5"/>
      <c r="S111">
        <f>DATEDIF(D111,DATE(2026,9,30),"Y")</f>
        <v>30</v>
      </c>
      <c r="T111" s="6">
        <f>(IF(Q111="",DATE(2026,9,30),Q111)-E111)/365.25</f>
        <v>7.1430527036276521</v>
      </c>
      <c r="U111" t="str">
        <f>_xlfn.XLOOKUP(Table1_1[[#This Row],[Bo''lim]],Bolimlar!A:A,Bolimlar!B:B,"Topilmadi")</f>
        <v>Shahlo Ismoilova</v>
      </c>
      <c r="V111">
        <f>IF(P111="Ha",1,0)</f>
        <v>0</v>
      </c>
      <c r="W111" t="str">
        <f>IF(T111&lt;1,"1 yildan kam",IF(T111&lt;3,"1-3 yil","3 yildan ko'p"))</f>
        <v>3 yildan ko'p</v>
      </c>
    </row>
    <row r="112" spans="1:23" x14ac:dyDescent="0.3">
      <c r="A112" t="s">
        <v>1175</v>
      </c>
      <c r="B112" t="s">
        <v>273</v>
      </c>
      <c r="C112" t="s">
        <v>20</v>
      </c>
      <c r="D112" s="5">
        <v>37220</v>
      </c>
      <c r="E112" s="5">
        <v>46022</v>
      </c>
      <c r="F112" t="s">
        <v>1035</v>
      </c>
      <c r="G112" t="s">
        <v>79</v>
      </c>
      <c r="H112" t="s">
        <v>23</v>
      </c>
      <c r="I112" t="s">
        <v>44</v>
      </c>
      <c r="J112">
        <v>11790000</v>
      </c>
      <c r="K112">
        <v>2</v>
      </c>
      <c r="L112">
        <v>3</v>
      </c>
      <c r="M112">
        <v>29</v>
      </c>
      <c r="N112" t="s">
        <v>25</v>
      </c>
      <c r="O112" t="s">
        <v>26</v>
      </c>
      <c r="P112" t="s">
        <v>36</v>
      </c>
      <c r="Q112" s="5"/>
      <c r="S112">
        <f>DATEDIF(D112,DATE(2026,9,30),"Y")</f>
        <v>24</v>
      </c>
      <c r="T112" s="6">
        <f>(IF(Q112="",DATE(2026,9,30),Q112)-E112)/365.25</f>
        <v>0.74743326488706363</v>
      </c>
      <c r="U112" t="str">
        <f>_xlfn.XLOOKUP(Table1_1[[#This Row],[Bo''lim]],Bolimlar!A:A,Bolimlar!B:B,"Topilmadi")</f>
        <v>Aziz Karimov</v>
      </c>
      <c r="V112">
        <f>IF(P112="Ha",1,0)</f>
        <v>0</v>
      </c>
      <c r="W112" t="str">
        <f>IF(T112&lt;1,"1 yildan kam",IF(T112&lt;3,"1-3 yil","3 yildan ko'p"))</f>
        <v>1 yildan kam</v>
      </c>
    </row>
    <row r="113" spans="1:23" x14ac:dyDescent="0.3">
      <c r="A113" t="s">
        <v>1006</v>
      </c>
      <c r="B113" t="s">
        <v>1007</v>
      </c>
      <c r="C113" t="s">
        <v>20</v>
      </c>
      <c r="D113" s="5">
        <v>36631</v>
      </c>
      <c r="E113" s="5">
        <v>45893</v>
      </c>
      <c r="F113" t="s">
        <v>484</v>
      </c>
      <c r="G113" t="s">
        <v>196</v>
      </c>
      <c r="H113" t="s">
        <v>23</v>
      </c>
      <c r="I113" t="s">
        <v>206</v>
      </c>
      <c r="J113">
        <v>11770000</v>
      </c>
      <c r="K113">
        <v>4</v>
      </c>
      <c r="L113">
        <v>3</v>
      </c>
      <c r="M113">
        <v>19</v>
      </c>
      <c r="N113" t="s">
        <v>41</v>
      </c>
      <c r="O113" t="s">
        <v>26</v>
      </c>
      <c r="P113" t="s">
        <v>36</v>
      </c>
      <c r="Q113" s="5"/>
      <c r="S113">
        <f>DATEDIF(D113,DATE(2026,9,30),"Y")</f>
        <v>26</v>
      </c>
      <c r="T113" s="6">
        <f>(IF(Q113="",DATE(2026,9,30),Q113)-E113)/365.25</f>
        <v>1.1006160164271048</v>
      </c>
      <c r="U113" t="str">
        <f>_xlfn.XLOOKUP(Table1_1[[#This Row],[Bo''lim]],Bolimlar!A:A,Bolimlar!B:B,"Topilmadi")</f>
        <v>Sardor Nazarov</v>
      </c>
      <c r="V113">
        <f>IF(P113="Ha",1,0)</f>
        <v>0</v>
      </c>
      <c r="W113" t="str">
        <f>IF(T113&lt;1,"1 yildan kam",IF(T113&lt;3,"1-3 yil","3 yildan ko'p"))</f>
        <v>1-3 yil</v>
      </c>
    </row>
    <row r="114" spans="1:23" x14ac:dyDescent="0.3">
      <c r="A114" t="s">
        <v>936</v>
      </c>
      <c r="B114" t="s">
        <v>301</v>
      </c>
      <c r="C114" t="s">
        <v>20</v>
      </c>
      <c r="D114" s="5">
        <v>35474</v>
      </c>
      <c r="E114" s="5">
        <v>45266</v>
      </c>
      <c r="F114" t="s">
        <v>1300</v>
      </c>
      <c r="G114" t="s">
        <v>52</v>
      </c>
      <c r="H114" t="s">
        <v>23</v>
      </c>
      <c r="I114" t="s">
        <v>24</v>
      </c>
      <c r="J114">
        <v>11630000</v>
      </c>
      <c r="K114">
        <v>3</v>
      </c>
      <c r="L114">
        <v>3</v>
      </c>
      <c r="M114">
        <v>9</v>
      </c>
      <c r="N114" t="s">
        <v>41</v>
      </c>
      <c r="O114" t="s">
        <v>35</v>
      </c>
      <c r="P114" t="s">
        <v>36</v>
      </c>
      <c r="Q114" s="5"/>
      <c r="S114">
        <f>DATEDIF(D114,DATE(2026,9,30),"Y")</f>
        <v>29</v>
      </c>
      <c r="T114" s="6">
        <f>(IF(Q114="",DATE(2026,9,30),Q114)-E114)/365.25</f>
        <v>2.817248459958932</v>
      </c>
      <c r="U114" t="str">
        <f>_xlfn.XLOOKUP(Table1_1[[#This Row],[Bo''lim]],Bolimlar!A:A,Bolimlar!B:B,"Topilmadi")</f>
        <v>Shahlo Ismoilova</v>
      </c>
      <c r="V114">
        <f>IF(P114="Ha",1,0)</f>
        <v>0</v>
      </c>
      <c r="W114" t="str">
        <f>IF(T114&lt;1,"1 yildan kam",IF(T114&lt;3,"1-3 yil","3 yildan ko'p"))</f>
        <v>1-3 yil</v>
      </c>
    </row>
    <row r="115" spans="1:23" x14ac:dyDescent="0.3">
      <c r="A115" t="s">
        <v>1176</v>
      </c>
      <c r="B115" t="s">
        <v>558</v>
      </c>
      <c r="C115" t="s">
        <v>20</v>
      </c>
      <c r="D115" s="5">
        <v>30226</v>
      </c>
      <c r="E115" s="5">
        <v>46256</v>
      </c>
      <c r="F115" t="s">
        <v>1300</v>
      </c>
      <c r="G115" t="s">
        <v>93</v>
      </c>
      <c r="H115" t="s">
        <v>23</v>
      </c>
      <c r="I115" t="s">
        <v>24</v>
      </c>
      <c r="J115">
        <v>11610000</v>
      </c>
      <c r="K115">
        <v>3</v>
      </c>
      <c r="L115">
        <v>4</v>
      </c>
      <c r="M115">
        <v>8</v>
      </c>
      <c r="N115" t="s">
        <v>41</v>
      </c>
      <c r="O115" t="s">
        <v>26</v>
      </c>
      <c r="P115" t="s">
        <v>36</v>
      </c>
      <c r="Q115" s="5"/>
      <c r="S115">
        <f>DATEDIF(D115,DATE(2026,9,30),"Y")</f>
        <v>43</v>
      </c>
      <c r="T115" s="6">
        <f>(IF(Q115="",DATE(2026,9,30),Q115)-E115)/365.25</f>
        <v>0.10677618069815195</v>
      </c>
      <c r="U115" t="str">
        <f>_xlfn.XLOOKUP(Table1_1[[#This Row],[Bo''lim]],Bolimlar!A:A,Bolimlar!B:B,"Topilmadi")</f>
        <v>Shahlo Ismoilova</v>
      </c>
      <c r="V115">
        <f>IF(P115="Ha",1,0)</f>
        <v>0</v>
      </c>
      <c r="W115" t="str">
        <f>IF(T115&lt;1,"1 yildan kam",IF(T115&lt;3,"1-3 yil","3 yildan ko'p"))</f>
        <v>1 yildan kam</v>
      </c>
    </row>
    <row r="116" spans="1:23" x14ac:dyDescent="0.3">
      <c r="A116" t="s">
        <v>197</v>
      </c>
      <c r="B116" t="s">
        <v>198</v>
      </c>
      <c r="C116" t="s">
        <v>20</v>
      </c>
      <c r="D116" s="5">
        <v>32449</v>
      </c>
      <c r="E116" s="5">
        <v>46117</v>
      </c>
      <c r="F116" t="s">
        <v>1035</v>
      </c>
      <c r="G116" t="s">
        <v>79</v>
      </c>
      <c r="H116" t="s">
        <v>23</v>
      </c>
      <c r="I116" t="s">
        <v>34</v>
      </c>
      <c r="J116">
        <v>11580000</v>
      </c>
      <c r="K116">
        <v>2</v>
      </c>
      <c r="L116">
        <v>4</v>
      </c>
      <c r="M116">
        <v>21</v>
      </c>
      <c r="N116" t="s">
        <v>41</v>
      </c>
      <c r="O116" t="s">
        <v>26</v>
      </c>
      <c r="P116" t="s">
        <v>36</v>
      </c>
      <c r="Q116" s="5"/>
      <c r="S116">
        <f>DATEDIF(D116,DATE(2026,9,30),"Y")</f>
        <v>37</v>
      </c>
      <c r="T116" s="6">
        <f>(IF(Q116="",DATE(2026,9,30),Q116)-E116)/365.25</f>
        <v>0.48733744010951402</v>
      </c>
      <c r="U116" t="str">
        <f>_xlfn.XLOOKUP(Table1_1[[#This Row],[Bo''lim]],Bolimlar!A:A,Bolimlar!B:B,"Topilmadi")</f>
        <v>Aziz Karimov</v>
      </c>
      <c r="V116">
        <f>IF(P116="Ha",1,0)</f>
        <v>0</v>
      </c>
      <c r="W116" t="str">
        <f>IF(T116&lt;1,"1 yildan kam",IF(T116&lt;3,"1-3 yil","3 yildan ko'p"))</f>
        <v>1 yildan kam</v>
      </c>
    </row>
    <row r="117" spans="1:23" x14ac:dyDescent="0.3">
      <c r="A117" t="s">
        <v>774</v>
      </c>
      <c r="B117" t="s">
        <v>775</v>
      </c>
      <c r="C117" t="s">
        <v>31</v>
      </c>
      <c r="D117" s="5">
        <v>35096</v>
      </c>
      <c r="E117" s="5">
        <v>45869</v>
      </c>
      <c r="F117" t="s">
        <v>1300</v>
      </c>
      <c r="G117" t="s">
        <v>52</v>
      </c>
      <c r="H117" t="s">
        <v>23</v>
      </c>
      <c r="I117" t="s">
        <v>82</v>
      </c>
      <c r="J117">
        <v>11580000</v>
      </c>
      <c r="K117">
        <v>3</v>
      </c>
      <c r="L117">
        <v>4</v>
      </c>
      <c r="M117">
        <v>25</v>
      </c>
      <c r="N117" t="s">
        <v>88</v>
      </c>
      <c r="O117" t="s">
        <v>35</v>
      </c>
      <c r="P117" t="s">
        <v>36</v>
      </c>
      <c r="Q117" s="5"/>
      <c r="S117">
        <f>DATEDIF(D117,DATE(2026,9,30),"Y")</f>
        <v>30</v>
      </c>
      <c r="T117" s="6">
        <f>(IF(Q117="",DATE(2026,9,30),Q117)-E117)/365.25</f>
        <v>1.1663244353182751</v>
      </c>
      <c r="U117" t="str">
        <f>_xlfn.XLOOKUP(Table1_1[[#This Row],[Bo''lim]],Bolimlar!A:A,Bolimlar!B:B,"Topilmadi")</f>
        <v>Shahlo Ismoilova</v>
      </c>
      <c r="V117">
        <f>IF(P117="Ha",1,0)</f>
        <v>0</v>
      </c>
      <c r="W117" t="str">
        <f>IF(T117&lt;1,"1 yildan kam",IF(T117&lt;3,"1-3 yil","3 yildan ko'p"))</f>
        <v>1-3 yil</v>
      </c>
    </row>
    <row r="118" spans="1:23" x14ac:dyDescent="0.3">
      <c r="A118" t="s">
        <v>1077</v>
      </c>
      <c r="B118" t="s">
        <v>1078</v>
      </c>
      <c r="C118" t="s">
        <v>20</v>
      </c>
      <c r="D118" s="5">
        <v>35457</v>
      </c>
      <c r="E118" s="5">
        <v>45525</v>
      </c>
      <c r="F118" t="s">
        <v>245</v>
      </c>
      <c r="G118" t="s">
        <v>127</v>
      </c>
      <c r="H118" t="s">
        <v>23</v>
      </c>
      <c r="I118" t="s">
        <v>24</v>
      </c>
      <c r="J118">
        <v>11520000</v>
      </c>
      <c r="K118">
        <v>3</v>
      </c>
      <c r="L118">
        <v>5</v>
      </c>
      <c r="M118">
        <v>16</v>
      </c>
      <c r="N118" t="s">
        <v>41</v>
      </c>
      <c r="O118" t="s">
        <v>35</v>
      </c>
      <c r="P118" t="s">
        <v>36</v>
      </c>
      <c r="Q118" s="5"/>
      <c r="S118">
        <f>DATEDIF(D118,DATE(2026,9,30),"Y")</f>
        <v>29</v>
      </c>
      <c r="T118" s="6">
        <f>(IF(Q118="",DATE(2026,9,30),Q118)-E118)/365.25</f>
        <v>2.108145106091718</v>
      </c>
      <c r="U118" t="str">
        <f>_xlfn.XLOOKUP(Table1_1[[#This Row],[Bo''lim]],Bolimlar!A:A,Bolimlar!B:B,"Topilmadi")</f>
        <v>Dilnoza Rahimova</v>
      </c>
      <c r="V118">
        <f>IF(P118="Ha",1,0)</f>
        <v>0</v>
      </c>
      <c r="W118" t="str">
        <f>IF(T118&lt;1,"1 yildan kam",IF(T118&lt;3,"1-3 yil","3 yildan ko'p"))</f>
        <v>1-3 yil</v>
      </c>
    </row>
    <row r="119" spans="1:23" x14ac:dyDescent="0.3">
      <c r="A119" t="s">
        <v>1174</v>
      </c>
      <c r="B119" t="s">
        <v>388</v>
      </c>
      <c r="C119" t="s">
        <v>20</v>
      </c>
      <c r="D119" s="5">
        <v>31155</v>
      </c>
      <c r="E119" s="5">
        <v>46014</v>
      </c>
      <c r="F119" t="s">
        <v>1300</v>
      </c>
      <c r="G119" t="s">
        <v>93</v>
      </c>
      <c r="H119" t="s">
        <v>23</v>
      </c>
      <c r="I119" t="s">
        <v>24</v>
      </c>
      <c r="J119">
        <v>11490000</v>
      </c>
      <c r="K119">
        <v>3</v>
      </c>
      <c r="L119">
        <v>4</v>
      </c>
      <c r="M119">
        <v>24</v>
      </c>
      <c r="N119" t="s">
        <v>41</v>
      </c>
      <c r="O119" t="s">
        <v>26</v>
      </c>
      <c r="P119" t="s">
        <v>27</v>
      </c>
      <c r="Q119" s="5">
        <v>46181</v>
      </c>
      <c r="R119" t="s">
        <v>235</v>
      </c>
      <c r="S119">
        <f>DATEDIF(D119,DATE(2026,9,30),"Y")</f>
        <v>41</v>
      </c>
      <c r="T119" s="6">
        <f>(IF(Q119="",DATE(2026,9,30),Q119)-E119)/365.25</f>
        <v>0.45722108145106094</v>
      </c>
      <c r="U119" t="str">
        <f>_xlfn.XLOOKUP(Table1_1[[#This Row],[Bo''lim]],Bolimlar!A:A,Bolimlar!B:B,"Topilmadi")</f>
        <v>Shahlo Ismoilova</v>
      </c>
      <c r="V119">
        <f>IF(P119="Ha",1,0)</f>
        <v>1</v>
      </c>
      <c r="W119" t="str">
        <f>IF(T119&lt;1,"1 yildan kam",IF(T119&lt;3,"1-3 yil","3 yildan ko'p"))</f>
        <v>1 yildan kam</v>
      </c>
    </row>
    <row r="120" spans="1:23" x14ac:dyDescent="0.3">
      <c r="A120" t="s">
        <v>614</v>
      </c>
      <c r="B120" t="s">
        <v>615</v>
      </c>
      <c r="C120" t="s">
        <v>31</v>
      </c>
      <c r="D120" s="5">
        <v>37356</v>
      </c>
      <c r="E120" s="5">
        <v>46175</v>
      </c>
      <c r="F120" t="s">
        <v>1035</v>
      </c>
      <c r="G120" t="s">
        <v>79</v>
      </c>
      <c r="H120" t="s">
        <v>23</v>
      </c>
      <c r="I120" t="s">
        <v>34</v>
      </c>
      <c r="J120">
        <v>11400000</v>
      </c>
      <c r="K120">
        <v>4</v>
      </c>
      <c r="L120">
        <v>4</v>
      </c>
      <c r="M120">
        <v>10</v>
      </c>
      <c r="N120" t="s">
        <v>41</v>
      </c>
      <c r="O120" t="s">
        <v>53</v>
      </c>
      <c r="P120" t="s">
        <v>36</v>
      </c>
      <c r="Q120" s="5"/>
      <c r="S120">
        <f>DATEDIF(D120,DATE(2026,9,30),"Y")</f>
        <v>24</v>
      </c>
      <c r="T120" s="6">
        <f>(IF(Q120="",DATE(2026,9,30),Q120)-E120)/365.25</f>
        <v>0.32854209445585214</v>
      </c>
      <c r="U120" t="str">
        <f>_xlfn.XLOOKUP(Table1_1[[#This Row],[Bo''lim]],Bolimlar!A:A,Bolimlar!B:B,"Topilmadi")</f>
        <v>Aziz Karimov</v>
      </c>
      <c r="V120">
        <f>IF(P120="Ha",1,0)</f>
        <v>0</v>
      </c>
      <c r="W120" t="str">
        <f>IF(T120&lt;1,"1 yildan kam",IF(T120&lt;3,"1-3 yil","3 yildan ko'p"))</f>
        <v>1 yildan kam</v>
      </c>
    </row>
    <row r="121" spans="1:23" x14ac:dyDescent="0.3">
      <c r="A121" t="s">
        <v>1181</v>
      </c>
      <c r="B121" t="s">
        <v>336</v>
      </c>
      <c r="C121" t="s">
        <v>20</v>
      </c>
      <c r="D121" s="5">
        <v>34005</v>
      </c>
      <c r="E121" s="5">
        <v>45348</v>
      </c>
      <c r="F121" t="s">
        <v>21</v>
      </c>
      <c r="G121" t="s">
        <v>22</v>
      </c>
      <c r="H121" t="s">
        <v>68</v>
      </c>
      <c r="I121" t="s">
        <v>24</v>
      </c>
      <c r="J121">
        <v>11320000</v>
      </c>
      <c r="K121">
        <v>4</v>
      </c>
      <c r="L121">
        <v>2</v>
      </c>
      <c r="M121">
        <v>14</v>
      </c>
      <c r="N121" t="s">
        <v>41</v>
      </c>
      <c r="O121" t="s">
        <v>35</v>
      </c>
      <c r="P121" t="s">
        <v>27</v>
      </c>
      <c r="Q121" s="5">
        <v>45818</v>
      </c>
      <c r="R121" t="s">
        <v>61</v>
      </c>
      <c r="S121">
        <f>DATEDIF(D121,DATE(2026,9,30),"Y")</f>
        <v>33</v>
      </c>
      <c r="T121" s="6">
        <f>(IF(Q121="",DATE(2026,9,30),Q121)-E121)/365.25</f>
        <v>1.2867898699520877</v>
      </c>
      <c r="U121" t="str">
        <f>_xlfn.XLOOKUP(Table1_1[[#This Row],[Bo''lim]],Bolimlar!A:A,Bolimlar!B:B,"Topilmadi")</f>
        <v>Jasur Yusupov</v>
      </c>
      <c r="V121">
        <f>IF(P121="Ha",1,0)</f>
        <v>1</v>
      </c>
      <c r="W121" t="str">
        <f>IF(T121&lt;1,"1 yildan kam",IF(T121&lt;3,"1-3 yil","3 yildan ko'p"))</f>
        <v>1-3 yil</v>
      </c>
    </row>
    <row r="122" spans="1:23" x14ac:dyDescent="0.3">
      <c r="A122" t="s">
        <v>1241</v>
      </c>
      <c r="B122" t="s">
        <v>137</v>
      </c>
      <c r="C122" t="s">
        <v>20</v>
      </c>
      <c r="D122" s="5">
        <v>34921</v>
      </c>
      <c r="E122" s="5">
        <v>43461</v>
      </c>
      <c r="F122" t="s">
        <v>245</v>
      </c>
      <c r="G122" t="s">
        <v>48</v>
      </c>
      <c r="H122" t="s">
        <v>23</v>
      </c>
      <c r="I122" t="s">
        <v>206</v>
      </c>
      <c r="J122">
        <v>11320000</v>
      </c>
      <c r="K122">
        <v>3</v>
      </c>
      <c r="L122">
        <v>3</v>
      </c>
      <c r="M122">
        <v>8</v>
      </c>
      <c r="N122" t="s">
        <v>41</v>
      </c>
      <c r="O122" t="s">
        <v>26</v>
      </c>
      <c r="P122" t="s">
        <v>36</v>
      </c>
      <c r="Q122" s="5"/>
      <c r="S122">
        <f>DATEDIF(D122,DATE(2026,9,30),"Y")</f>
        <v>31</v>
      </c>
      <c r="T122" s="6">
        <f>(IF(Q122="",DATE(2026,9,30),Q122)-E122)/365.25</f>
        <v>7.7590691307323754</v>
      </c>
      <c r="U122" t="str">
        <f>_xlfn.XLOOKUP(Table1_1[[#This Row],[Bo''lim]],Bolimlar!A:A,Bolimlar!B:B,"Topilmadi")</f>
        <v>Dilnoza Rahimova</v>
      </c>
      <c r="V122">
        <f>IF(P122="Ha",1,0)</f>
        <v>0</v>
      </c>
      <c r="W122" t="str">
        <f>IF(T122&lt;1,"1 yildan kam",IF(T122&lt;3,"1-3 yil","3 yildan ko'p"))</f>
        <v>3 yildan ko'p</v>
      </c>
    </row>
    <row r="123" spans="1:23" x14ac:dyDescent="0.3">
      <c r="A123" t="s">
        <v>1140</v>
      </c>
      <c r="B123" t="s">
        <v>283</v>
      </c>
      <c r="C123" t="s">
        <v>31</v>
      </c>
      <c r="D123" s="5">
        <v>36187</v>
      </c>
      <c r="E123" s="5">
        <v>44297</v>
      </c>
      <c r="F123" t="s">
        <v>245</v>
      </c>
      <c r="G123" t="s">
        <v>127</v>
      </c>
      <c r="H123" t="s">
        <v>23</v>
      </c>
      <c r="I123" t="s">
        <v>24</v>
      </c>
      <c r="J123">
        <v>11300000</v>
      </c>
      <c r="K123">
        <v>3</v>
      </c>
      <c r="L123">
        <v>3</v>
      </c>
      <c r="M123">
        <v>13</v>
      </c>
      <c r="N123" t="s">
        <v>41</v>
      </c>
      <c r="O123" t="s">
        <v>53</v>
      </c>
      <c r="P123" t="s">
        <v>36</v>
      </c>
      <c r="Q123" s="5"/>
      <c r="S123">
        <f>DATEDIF(D123,DATE(2026,9,30),"Y")</f>
        <v>27</v>
      </c>
      <c r="T123" s="6">
        <f>(IF(Q123="",DATE(2026,9,30),Q123)-E123)/365.25</f>
        <v>5.4702258726899382</v>
      </c>
      <c r="U123" t="str">
        <f>_xlfn.XLOOKUP(Table1_1[[#This Row],[Bo''lim]],Bolimlar!A:A,Bolimlar!B:B,"Topilmadi")</f>
        <v>Dilnoza Rahimova</v>
      </c>
      <c r="V123">
        <f>IF(P123="Ha",1,0)</f>
        <v>0</v>
      </c>
      <c r="W123" t="str">
        <f>IF(T123&lt;1,"1 yildan kam",IF(T123&lt;3,"1-3 yil","3 yildan ko'p"))</f>
        <v>3 yildan ko'p</v>
      </c>
    </row>
    <row r="124" spans="1:23" x14ac:dyDescent="0.3">
      <c r="A124" t="s">
        <v>364</v>
      </c>
      <c r="B124" t="s">
        <v>50</v>
      </c>
      <c r="C124" t="s">
        <v>31</v>
      </c>
      <c r="D124" s="5">
        <v>37299</v>
      </c>
      <c r="E124" s="5">
        <v>46202</v>
      </c>
      <c r="F124" t="s">
        <v>1300</v>
      </c>
      <c r="G124" t="s">
        <v>93</v>
      </c>
      <c r="H124" t="s">
        <v>23</v>
      </c>
      <c r="I124" t="s">
        <v>24</v>
      </c>
      <c r="J124">
        <v>11270000</v>
      </c>
      <c r="K124">
        <v>3</v>
      </c>
      <c r="L124">
        <v>4</v>
      </c>
      <c r="M124">
        <v>22</v>
      </c>
      <c r="N124" t="s">
        <v>41</v>
      </c>
      <c r="O124" t="s">
        <v>26</v>
      </c>
      <c r="P124" t="s">
        <v>36</v>
      </c>
      <c r="Q124" s="5"/>
      <c r="S124">
        <f>DATEDIF(D124,DATE(2026,9,30),"Y")</f>
        <v>24</v>
      </c>
      <c r="T124" s="6">
        <f>(IF(Q124="",DATE(2026,9,30),Q124)-E124)/365.25</f>
        <v>0.25462012320328542</v>
      </c>
      <c r="U124" t="str">
        <f>_xlfn.XLOOKUP(Table1_1[[#This Row],[Bo''lim]],Bolimlar!A:A,Bolimlar!B:B,"Topilmadi")</f>
        <v>Shahlo Ismoilova</v>
      </c>
      <c r="V124">
        <f>IF(P124="Ha",1,0)</f>
        <v>0</v>
      </c>
      <c r="W124" t="str">
        <f>IF(T124&lt;1,"1 yildan kam",IF(T124&lt;3,"1-3 yil","3 yildan ko'p"))</f>
        <v>1 yildan kam</v>
      </c>
    </row>
    <row r="125" spans="1:23" x14ac:dyDescent="0.3">
      <c r="A125" t="s">
        <v>763</v>
      </c>
      <c r="B125" t="s">
        <v>72</v>
      </c>
      <c r="C125" t="s">
        <v>20</v>
      </c>
      <c r="D125" s="5">
        <v>34321</v>
      </c>
      <c r="E125" s="5">
        <v>45532</v>
      </c>
      <c r="F125" t="s">
        <v>1300</v>
      </c>
      <c r="G125" t="s">
        <v>52</v>
      </c>
      <c r="H125" t="s">
        <v>23</v>
      </c>
      <c r="I125" t="s">
        <v>24</v>
      </c>
      <c r="J125">
        <v>11210000</v>
      </c>
      <c r="K125">
        <v>4</v>
      </c>
      <c r="L125">
        <v>3</v>
      </c>
      <c r="M125">
        <v>26</v>
      </c>
      <c r="N125" t="s">
        <v>25</v>
      </c>
      <c r="O125" t="s">
        <v>53</v>
      </c>
      <c r="P125" t="s">
        <v>36</v>
      </c>
      <c r="Q125" s="5"/>
      <c r="S125">
        <f>DATEDIF(D125,DATE(2026,9,30),"Y")</f>
        <v>32</v>
      </c>
      <c r="T125" s="6">
        <f>(IF(Q125="",DATE(2026,9,30),Q125)-E125)/365.25</f>
        <v>2.0889801505817931</v>
      </c>
      <c r="U125" t="str">
        <f>_xlfn.XLOOKUP(Table1_1[[#This Row],[Bo''lim]],Bolimlar!A:A,Bolimlar!B:B,"Topilmadi")</f>
        <v>Shahlo Ismoilova</v>
      </c>
      <c r="V125">
        <f>IF(P125="Ha",1,0)</f>
        <v>0</v>
      </c>
      <c r="W125" t="str">
        <f>IF(T125&lt;1,"1 yildan kam",IF(T125&lt;3,"1-3 yil","3 yildan ko'p"))</f>
        <v>1-3 yil</v>
      </c>
    </row>
    <row r="126" spans="1:23" x14ac:dyDescent="0.3">
      <c r="A126" t="s">
        <v>850</v>
      </c>
      <c r="B126" t="s">
        <v>479</v>
      </c>
      <c r="C126" t="s">
        <v>31</v>
      </c>
      <c r="D126" s="5">
        <v>35440</v>
      </c>
      <c r="E126" s="5">
        <v>43351</v>
      </c>
      <c r="F126" t="s">
        <v>1300</v>
      </c>
      <c r="G126" t="s">
        <v>52</v>
      </c>
      <c r="H126" t="s">
        <v>23</v>
      </c>
      <c r="I126" t="s">
        <v>24</v>
      </c>
      <c r="J126">
        <v>11200000</v>
      </c>
      <c r="K126">
        <v>4</v>
      </c>
      <c r="L126">
        <v>2</v>
      </c>
      <c r="M126">
        <v>2</v>
      </c>
      <c r="N126" t="s">
        <v>88</v>
      </c>
      <c r="O126" t="s">
        <v>26</v>
      </c>
      <c r="P126" t="s">
        <v>36</v>
      </c>
      <c r="Q126" s="5"/>
      <c r="S126">
        <f>DATEDIF(D126,DATE(2026,9,30),"Y")</f>
        <v>29</v>
      </c>
      <c r="T126" s="6">
        <f>(IF(Q126="",DATE(2026,9,30),Q126)-E126)/365.25</f>
        <v>8.0602327173169055</v>
      </c>
      <c r="U126" t="str">
        <f>_xlfn.XLOOKUP(Table1_1[[#This Row],[Bo''lim]],Bolimlar!A:A,Bolimlar!B:B,"Topilmadi")</f>
        <v>Shahlo Ismoilova</v>
      </c>
      <c r="V126">
        <f>IF(P126="Ha",1,0)</f>
        <v>0</v>
      </c>
      <c r="W126" t="str">
        <f>IF(T126&lt;1,"1 yildan kam",IF(T126&lt;3,"1-3 yil","3 yildan ko'p"))</f>
        <v>3 yildan ko'p</v>
      </c>
    </row>
    <row r="127" spans="1:23" x14ac:dyDescent="0.3">
      <c r="A127" t="s">
        <v>339</v>
      </c>
      <c r="B127" t="s">
        <v>70</v>
      </c>
      <c r="C127" t="s">
        <v>31</v>
      </c>
      <c r="D127" s="5">
        <v>32954</v>
      </c>
      <c r="E127" s="5">
        <v>45840</v>
      </c>
      <c r="F127" t="s">
        <v>484</v>
      </c>
      <c r="G127" t="s">
        <v>196</v>
      </c>
      <c r="H127" t="s">
        <v>23</v>
      </c>
      <c r="I127" t="s">
        <v>24</v>
      </c>
      <c r="J127">
        <v>11190000</v>
      </c>
      <c r="K127">
        <v>3</v>
      </c>
      <c r="L127">
        <v>4</v>
      </c>
      <c r="M127">
        <v>0</v>
      </c>
      <c r="N127" t="s">
        <v>41</v>
      </c>
      <c r="O127" t="s">
        <v>26</v>
      </c>
      <c r="P127" t="s">
        <v>36</v>
      </c>
      <c r="Q127" s="5"/>
      <c r="S127">
        <f>DATEDIF(D127,DATE(2026,9,30),"Y")</f>
        <v>36</v>
      </c>
      <c r="T127" s="6">
        <f>(IF(Q127="",DATE(2026,9,30),Q127)-E127)/365.25</f>
        <v>1.2457221081451062</v>
      </c>
      <c r="U127" t="str">
        <f>_xlfn.XLOOKUP(Table1_1[[#This Row],[Bo''lim]],Bolimlar!A:A,Bolimlar!B:B,"Topilmadi")</f>
        <v>Sardor Nazarov</v>
      </c>
      <c r="V127">
        <f>IF(P127="Ha",1,0)</f>
        <v>0</v>
      </c>
      <c r="W127" t="str">
        <f>IF(T127&lt;1,"1 yildan kam",IF(T127&lt;3,"1-3 yil","3 yildan ko'p"))</f>
        <v>1-3 yil</v>
      </c>
    </row>
    <row r="128" spans="1:23" x14ac:dyDescent="0.3">
      <c r="A128" t="s">
        <v>1248</v>
      </c>
      <c r="B128" t="s">
        <v>594</v>
      </c>
      <c r="C128" t="s">
        <v>31</v>
      </c>
      <c r="D128" s="5">
        <v>32344</v>
      </c>
      <c r="E128" s="5">
        <v>44398</v>
      </c>
      <c r="F128" t="s">
        <v>1300</v>
      </c>
      <c r="G128" t="s">
        <v>52</v>
      </c>
      <c r="H128" t="s">
        <v>23</v>
      </c>
      <c r="I128" t="s">
        <v>24</v>
      </c>
      <c r="J128">
        <v>11190000</v>
      </c>
      <c r="K128">
        <v>2</v>
      </c>
      <c r="L128">
        <v>3</v>
      </c>
      <c r="M128">
        <v>22</v>
      </c>
      <c r="N128" t="s">
        <v>88</v>
      </c>
      <c r="O128" t="s">
        <v>26</v>
      </c>
      <c r="P128" t="s">
        <v>36</v>
      </c>
      <c r="Q128" s="5"/>
      <c r="S128">
        <f>DATEDIF(D128,DATE(2026,9,30),"Y")</f>
        <v>38</v>
      </c>
      <c r="T128" s="6">
        <f>(IF(Q128="",DATE(2026,9,30),Q128)-E128)/365.25</f>
        <v>5.1937029431895958</v>
      </c>
      <c r="U128" t="str">
        <f>_xlfn.XLOOKUP(Table1_1[[#This Row],[Bo''lim]],Bolimlar!A:A,Bolimlar!B:B,"Topilmadi")</f>
        <v>Shahlo Ismoilova</v>
      </c>
      <c r="V128">
        <f>IF(P128="Ha",1,0)</f>
        <v>0</v>
      </c>
      <c r="W128" t="str">
        <f>IF(T128&lt;1,"1 yildan kam",IF(T128&lt;3,"1-3 yil","3 yildan ko'p"))</f>
        <v>3 yildan ko'p</v>
      </c>
    </row>
    <row r="129" spans="1:23" x14ac:dyDescent="0.3">
      <c r="A129" t="s">
        <v>1056</v>
      </c>
      <c r="B129" t="s">
        <v>217</v>
      </c>
      <c r="C129" t="s">
        <v>31</v>
      </c>
      <c r="D129" s="5">
        <v>33524</v>
      </c>
      <c r="E129" s="5">
        <v>44408</v>
      </c>
      <c r="F129" t="s">
        <v>484</v>
      </c>
      <c r="G129" t="s">
        <v>150</v>
      </c>
      <c r="H129" t="s">
        <v>23</v>
      </c>
      <c r="I129" t="s">
        <v>104</v>
      </c>
      <c r="J129">
        <v>11180000</v>
      </c>
      <c r="K129">
        <v>5</v>
      </c>
      <c r="L129">
        <v>4</v>
      </c>
      <c r="M129">
        <v>25</v>
      </c>
      <c r="N129" t="s">
        <v>88</v>
      </c>
      <c r="O129" t="s">
        <v>26</v>
      </c>
      <c r="P129" t="s">
        <v>36</v>
      </c>
      <c r="Q129" s="5"/>
      <c r="S129">
        <f>DATEDIF(D129,DATE(2026,9,30),"Y")</f>
        <v>34</v>
      </c>
      <c r="T129" s="6">
        <f>(IF(Q129="",DATE(2026,9,30),Q129)-E129)/365.25</f>
        <v>5.1663244353182751</v>
      </c>
      <c r="U129" t="str">
        <f>_xlfn.XLOOKUP(Table1_1[[#This Row],[Bo''lim]],Bolimlar!A:A,Bolimlar!B:B,"Topilmadi")</f>
        <v>Sardor Nazarov</v>
      </c>
      <c r="V129">
        <f>IF(P129="Ha",1,0)</f>
        <v>0</v>
      </c>
      <c r="W129" t="str">
        <f>IF(T129&lt;1,"1 yildan kam",IF(T129&lt;3,"1-3 yil","3 yildan ko'p"))</f>
        <v>3 yildan ko'p</v>
      </c>
    </row>
    <row r="130" spans="1:23" x14ac:dyDescent="0.3">
      <c r="A130" t="s">
        <v>493</v>
      </c>
      <c r="B130" t="s">
        <v>50</v>
      </c>
      <c r="C130" t="s">
        <v>31</v>
      </c>
      <c r="D130" s="5">
        <v>35704</v>
      </c>
      <c r="E130" s="5">
        <v>44081</v>
      </c>
      <c r="F130" t="s">
        <v>1300</v>
      </c>
      <c r="G130" t="s">
        <v>93</v>
      </c>
      <c r="H130" t="s">
        <v>23</v>
      </c>
      <c r="I130" t="s">
        <v>44</v>
      </c>
      <c r="J130">
        <v>11160000</v>
      </c>
      <c r="K130">
        <v>4</v>
      </c>
      <c r="L130">
        <v>4</v>
      </c>
      <c r="M130">
        <v>21</v>
      </c>
      <c r="N130" t="s">
        <v>41</v>
      </c>
      <c r="O130" t="s">
        <v>35</v>
      </c>
      <c r="P130" t="s">
        <v>36</v>
      </c>
      <c r="Q130" s="5"/>
      <c r="S130">
        <f>DATEDIF(D130,DATE(2026,9,30),"Y")</f>
        <v>28</v>
      </c>
      <c r="T130" s="6">
        <f>(IF(Q130="",DATE(2026,9,30),Q130)-E130)/365.25</f>
        <v>6.061601642710472</v>
      </c>
      <c r="U130" t="str">
        <f>_xlfn.XLOOKUP(Table1_1[[#This Row],[Bo''lim]],Bolimlar!A:A,Bolimlar!B:B,"Topilmadi")</f>
        <v>Shahlo Ismoilova</v>
      </c>
      <c r="V130">
        <f>IF(P130="Ha",1,0)</f>
        <v>0</v>
      </c>
      <c r="W130" t="str">
        <f>IF(T130&lt;1,"1 yildan kam",IF(T130&lt;3,"1-3 yil","3 yildan ko'p"))</f>
        <v>3 yildan ko'p</v>
      </c>
    </row>
    <row r="131" spans="1:23" x14ac:dyDescent="0.3">
      <c r="A131" t="s">
        <v>1003</v>
      </c>
      <c r="B131" t="s">
        <v>1004</v>
      </c>
      <c r="C131" t="s">
        <v>20</v>
      </c>
      <c r="D131" s="5">
        <v>35765</v>
      </c>
      <c r="E131" s="5">
        <v>45125</v>
      </c>
      <c r="F131" t="s">
        <v>21</v>
      </c>
      <c r="G131" t="s">
        <v>103</v>
      </c>
      <c r="H131" t="s">
        <v>68</v>
      </c>
      <c r="I131" t="s">
        <v>206</v>
      </c>
      <c r="J131">
        <v>11150000</v>
      </c>
      <c r="K131">
        <v>2</v>
      </c>
      <c r="L131">
        <v>2</v>
      </c>
      <c r="M131">
        <v>21</v>
      </c>
      <c r="N131" t="s">
        <v>25</v>
      </c>
      <c r="O131" t="s">
        <v>53</v>
      </c>
      <c r="P131" t="s">
        <v>27</v>
      </c>
      <c r="Q131" s="5">
        <v>46116</v>
      </c>
      <c r="R131" t="s">
        <v>61</v>
      </c>
      <c r="S131">
        <f>DATEDIF(D131,DATE(2026,9,30),"Y")</f>
        <v>28</v>
      </c>
      <c r="T131" s="6">
        <f>(IF(Q131="",DATE(2026,9,30),Q131)-E131)/365.25</f>
        <v>2.7132101300479126</v>
      </c>
      <c r="U131" t="str">
        <f>_xlfn.XLOOKUP(Table1_1[[#This Row],[Bo''lim]],Bolimlar!A:A,Bolimlar!B:B,"Topilmadi")</f>
        <v>Jasur Yusupov</v>
      </c>
      <c r="V131">
        <f>IF(P131="Ha",1,0)</f>
        <v>1</v>
      </c>
      <c r="W131" t="str">
        <f>IF(T131&lt;1,"1 yildan kam",IF(T131&lt;3,"1-3 yil","3 yildan ko'p"))</f>
        <v>1-3 yil</v>
      </c>
    </row>
    <row r="132" spans="1:23" x14ac:dyDescent="0.3">
      <c r="A132" t="s">
        <v>618</v>
      </c>
      <c r="B132" t="s">
        <v>619</v>
      </c>
      <c r="C132" t="s">
        <v>20</v>
      </c>
      <c r="D132" s="5">
        <v>31887</v>
      </c>
      <c r="E132" s="5">
        <v>44975</v>
      </c>
      <c r="F132" t="s">
        <v>484</v>
      </c>
      <c r="G132" t="s">
        <v>196</v>
      </c>
      <c r="H132" t="s">
        <v>23</v>
      </c>
      <c r="I132" t="s">
        <v>96</v>
      </c>
      <c r="J132">
        <v>11090000</v>
      </c>
      <c r="K132">
        <v>4</v>
      </c>
      <c r="L132">
        <v>2</v>
      </c>
      <c r="M132">
        <v>19</v>
      </c>
      <c r="N132" t="s">
        <v>25</v>
      </c>
      <c r="O132" t="s">
        <v>53</v>
      </c>
      <c r="P132" t="s">
        <v>36</v>
      </c>
      <c r="Q132" s="5"/>
      <c r="S132">
        <f>DATEDIF(D132,DATE(2026,9,30),"Y")</f>
        <v>39</v>
      </c>
      <c r="T132" s="6">
        <f>(IF(Q132="",DATE(2026,9,30),Q132)-E132)/365.25</f>
        <v>3.6139630390143735</v>
      </c>
      <c r="U132" t="str">
        <f>_xlfn.XLOOKUP(Table1_1[[#This Row],[Bo''lim]],Bolimlar!A:A,Bolimlar!B:B,"Topilmadi")</f>
        <v>Sardor Nazarov</v>
      </c>
      <c r="V132">
        <f>IF(P132="Ha",1,0)</f>
        <v>0</v>
      </c>
      <c r="W132" t="str">
        <f>IF(T132&lt;1,"1 yildan kam",IF(T132&lt;3,"1-3 yil","3 yildan ko'p"))</f>
        <v>3 yildan ko'p</v>
      </c>
    </row>
    <row r="133" spans="1:23" x14ac:dyDescent="0.3">
      <c r="A133" t="s">
        <v>929</v>
      </c>
      <c r="B133" t="s">
        <v>930</v>
      </c>
      <c r="C133" t="s">
        <v>31</v>
      </c>
      <c r="D133" s="5">
        <v>32572</v>
      </c>
      <c r="E133" s="5">
        <v>45466</v>
      </c>
      <c r="F133" t="s">
        <v>21</v>
      </c>
      <c r="G133" t="s">
        <v>103</v>
      </c>
      <c r="H133" t="s">
        <v>68</v>
      </c>
      <c r="I133" t="s">
        <v>24</v>
      </c>
      <c r="J133">
        <v>11040000</v>
      </c>
      <c r="K133">
        <v>2</v>
      </c>
      <c r="L133">
        <v>4</v>
      </c>
      <c r="M133">
        <v>17</v>
      </c>
      <c r="N133" t="s">
        <v>88</v>
      </c>
      <c r="O133" t="s">
        <v>35</v>
      </c>
      <c r="P133" t="s">
        <v>36</v>
      </c>
      <c r="Q133" s="5"/>
      <c r="S133">
        <f>DATEDIF(D133,DATE(2026,9,30),"Y")</f>
        <v>37</v>
      </c>
      <c r="T133" s="6">
        <f>(IF(Q133="",DATE(2026,9,30),Q133)-E133)/365.25</f>
        <v>2.2696783025325118</v>
      </c>
      <c r="U133" t="str">
        <f>_xlfn.XLOOKUP(Table1_1[[#This Row],[Bo''lim]],Bolimlar!A:A,Bolimlar!B:B,"Topilmadi")</f>
        <v>Jasur Yusupov</v>
      </c>
      <c r="V133">
        <f>IF(P133="Ha",1,0)</f>
        <v>0</v>
      </c>
      <c r="W133" t="str">
        <f>IF(T133&lt;1,"1 yildan kam",IF(T133&lt;3,"1-3 yil","3 yildan ko'p"))</f>
        <v>1-3 yil</v>
      </c>
    </row>
    <row r="134" spans="1:23" x14ac:dyDescent="0.3">
      <c r="A134" t="s">
        <v>295</v>
      </c>
      <c r="B134" t="s">
        <v>296</v>
      </c>
      <c r="C134" t="s">
        <v>20</v>
      </c>
      <c r="D134" s="5">
        <v>32144</v>
      </c>
      <c r="E134" s="5">
        <v>45213</v>
      </c>
      <c r="F134" t="s">
        <v>1300</v>
      </c>
      <c r="G134" t="s">
        <v>52</v>
      </c>
      <c r="H134" t="s">
        <v>23</v>
      </c>
      <c r="I134" t="s">
        <v>24</v>
      </c>
      <c r="J134">
        <v>11020000</v>
      </c>
      <c r="K134">
        <v>4</v>
      </c>
      <c r="L134">
        <v>1</v>
      </c>
      <c r="M134">
        <v>1</v>
      </c>
      <c r="N134" t="s">
        <v>41</v>
      </c>
      <c r="O134" t="s">
        <v>53</v>
      </c>
      <c r="P134" t="s">
        <v>36</v>
      </c>
      <c r="Q134" s="5"/>
      <c r="S134">
        <f>DATEDIF(D134,DATE(2026,9,30),"Y")</f>
        <v>38</v>
      </c>
      <c r="T134" s="6">
        <f>(IF(Q134="",DATE(2026,9,30),Q134)-E134)/365.25</f>
        <v>2.9623545516769334</v>
      </c>
      <c r="U134" t="str">
        <f>_xlfn.XLOOKUP(Table1_1[[#This Row],[Bo''lim]],Bolimlar!A:A,Bolimlar!B:B,"Topilmadi")</f>
        <v>Shahlo Ismoilova</v>
      </c>
      <c r="V134">
        <f>IF(P134="Ha",1,0)</f>
        <v>0</v>
      </c>
      <c r="W134" t="str">
        <f>IF(T134&lt;1,"1 yildan kam",IF(T134&lt;3,"1-3 yil","3 yildan ko'p"))</f>
        <v>1-3 yil</v>
      </c>
    </row>
    <row r="135" spans="1:23" x14ac:dyDescent="0.3">
      <c r="A135" t="s">
        <v>105</v>
      </c>
      <c r="B135" t="s">
        <v>106</v>
      </c>
      <c r="C135" t="s">
        <v>20</v>
      </c>
      <c r="D135" s="5">
        <v>31119</v>
      </c>
      <c r="E135" s="5">
        <v>42337</v>
      </c>
      <c r="F135" t="s">
        <v>1300</v>
      </c>
      <c r="G135" t="s">
        <v>93</v>
      </c>
      <c r="H135" t="s">
        <v>23</v>
      </c>
      <c r="I135" t="s">
        <v>96</v>
      </c>
      <c r="J135">
        <v>11000000</v>
      </c>
      <c r="K135">
        <v>5</v>
      </c>
      <c r="L135">
        <v>3</v>
      </c>
      <c r="M135">
        <v>1</v>
      </c>
      <c r="N135" t="s">
        <v>41</v>
      </c>
      <c r="O135" t="s">
        <v>26</v>
      </c>
      <c r="P135" t="s">
        <v>36</v>
      </c>
      <c r="Q135" s="5"/>
      <c r="S135">
        <f>DATEDIF(D135,DATE(2026,9,30),"Y")</f>
        <v>41</v>
      </c>
      <c r="T135" s="6">
        <f>(IF(Q135="",DATE(2026,9,30),Q135)-E135)/365.25</f>
        <v>10.836413415468858</v>
      </c>
      <c r="U135" t="str">
        <f>_xlfn.XLOOKUP(Table1_1[[#This Row],[Bo''lim]],Bolimlar!A:A,Bolimlar!B:B,"Topilmadi")</f>
        <v>Shahlo Ismoilova</v>
      </c>
      <c r="V135">
        <f>IF(P135="Ha",1,0)</f>
        <v>0</v>
      </c>
      <c r="W135" t="str">
        <f>IF(T135&lt;1,"1 yildan kam",IF(T135&lt;3,"1-3 yil","3 yildan ko'p"))</f>
        <v>3 yildan ko'p</v>
      </c>
    </row>
    <row r="136" spans="1:23" x14ac:dyDescent="0.3">
      <c r="A136" t="s">
        <v>845</v>
      </c>
      <c r="B136" t="s">
        <v>250</v>
      </c>
      <c r="C136" t="s">
        <v>31</v>
      </c>
      <c r="D136" s="5">
        <v>35977</v>
      </c>
      <c r="E136" s="5">
        <v>46032</v>
      </c>
      <c r="F136" t="s">
        <v>1300</v>
      </c>
      <c r="G136" t="s">
        <v>93</v>
      </c>
      <c r="H136" t="s">
        <v>23</v>
      </c>
      <c r="I136" t="s">
        <v>24</v>
      </c>
      <c r="J136">
        <v>10960000</v>
      </c>
      <c r="K136">
        <v>4</v>
      </c>
      <c r="L136">
        <v>3</v>
      </c>
      <c r="M136">
        <v>19</v>
      </c>
      <c r="N136" t="s">
        <v>25</v>
      </c>
      <c r="O136" t="s">
        <v>35</v>
      </c>
      <c r="P136" t="s">
        <v>36</v>
      </c>
      <c r="Q136" s="5"/>
      <c r="S136">
        <f>DATEDIF(D136,DATE(2026,9,30),"Y")</f>
        <v>28</v>
      </c>
      <c r="T136" s="6">
        <f>(IF(Q136="",DATE(2026,9,30),Q136)-E136)/365.25</f>
        <v>0.72005475701574262</v>
      </c>
      <c r="U136" t="str">
        <f>_xlfn.XLOOKUP(Table1_1[[#This Row],[Bo''lim]],Bolimlar!A:A,Bolimlar!B:B,"Topilmadi")</f>
        <v>Shahlo Ismoilova</v>
      </c>
      <c r="V136">
        <f>IF(P136="Ha",1,0)</f>
        <v>0</v>
      </c>
      <c r="W136" t="str">
        <f>IF(T136&lt;1,"1 yildan kam",IF(T136&lt;3,"1-3 yil","3 yildan ko'p"))</f>
        <v>1 yildan kam</v>
      </c>
    </row>
    <row r="137" spans="1:23" x14ac:dyDescent="0.3">
      <c r="A137" t="s">
        <v>802</v>
      </c>
      <c r="B137" t="s">
        <v>803</v>
      </c>
      <c r="C137" t="s">
        <v>31</v>
      </c>
      <c r="D137" s="5">
        <v>31667</v>
      </c>
      <c r="E137" s="5">
        <v>46226</v>
      </c>
      <c r="F137" t="s">
        <v>245</v>
      </c>
      <c r="G137" t="s">
        <v>90</v>
      </c>
      <c r="H137" t="s">
        <v>23</v>
      </c>
      <c r="I137" t="s">
        <v>96</v>
      </c>
      <c r="J137">
        <v>10930000</v>
      </c>
      <c r="K137">
        <v>3</v>
      </c>
      <c r="L137">
        <v>3</v>
      </c>
      <c r="M137">
        <v>24</v>
      </c>
      <c r="N137" t="s">
        <v>41</v>
      </c>
      <c r="O137" t="s">
        <v>35</v>
      </c>
      <c r="P137" t="s">
        <v>36</v>
      </c>
      <c r="Q137" s="5"/>
      <c r="S137">
        <f>DATEDIF(D137,DATE(2026,9,30),"Y")</f>
        <v>40</v>
      </c>
      <c r="T137" s="6">
        <f>(IF(Q137="",DATE(2026,9,30),Q137)-E137)/365.25</f>
        <v>0.18891170431211499</v>
      </c>
      <c r="U137" t="str">
        <f>_xlfn.XLOOKUP(Table1_1[[#This Row],[Bo''lim]],Bolimlar!A:A,Bolimlar!B:B,"Topilmadi")</f>
        <v>Dilnoza Rahimova</v>
      </c>
      <c r="V137">
        <f>IF(P137="Ha",1,0)</f>
        <v>0</v>
      </c>
      <c r="W137" t="str">
        <f>IF(T137&lt;1,"1 yildan kam",IF(T137&lt;3,"1-3 yil","3 yildan ko'p"))</f>
        <v>1 yildan kam</v>
      </c>
    </row>
    <row r="138" spans="1:23" x14ac:dyDescent="0.3">
      <c r="A138" t="s">
        <v>160</v>
      </c>
      <c r="B138" t="s">
        <v>161</v>
      </c>
      <c r="C138" t="s">
        <v>20</v>
      </c>
      <c r="D138" s="5">
        <v>32168</v>
      </c>
      <c r="E138" s="5">
        <v>45654</v>
      </c>
      <c r="F138" t="s">
        <v>1300</v>
      </c>
      <c r="G138" t="s">
        <v>52</v>
      </c>
      <c r="H138" t="s">
        <v>23</v>
      </c>
      <c r="I138" t="s">
        <v>34</v>
      </c>
      <c r="J138">
        <v>10910000</v>
      </c>
      <c r="K138">
        <v>3</v>
      </c>
      <c r="L138">
        <v>3</v>
      </c>
      <c r="M138">
        <v>25</v>
      </c>
      <c r="N138" t="s">
        <v>25</v>
      </c>
      <c r="O138" t="s">
        <v>26</v>
      </c>
      <c r="P138" t="s">
        <v>36</v>
      </c>
      <c r="Q138" s="5"/>
      <c r="S138">
        <f>DATEDIF(D138,DATE(2026,9,30),"Y")</f>
        <v>38</v>
      </c>
      <c r="T138" s="6">
        <f>(IF(Q138="",DATE(2026,9,30),Q138)-E138)/365.25</f>
        <v>1.754962354551677</v>
      </c>
      <c r="U138" t="str">
        <f>_xlfn.XLOOKUP(Table1_1[[#This Row],[Bo''lim]],Bolimlar!A:A,Bolimlar!B:B,"Topilmadi")</f>
        <v>Shahlo Ismoilova</v>
      </c>
      <c r="V138">
        <f>IF(P138="Ha",1,0)</f>
        <v>0</v>
      </c>
      <c r="W138" t="str">
        <f>IF(T138&lt;1,"1 yildan kam",IF(T138&lt;3,"1-3 yil","3 yildan ko'p"))</f>
        <v>1-3 yil</v>
      </c>
    </row>
    <row r="139" spans="1:23" x14ac:dyDescent="0.3">
      <c r="A139" t="s">
        <v>521</v>
      </c>
      <c r="B139" t="s">
        <v>522</v>
      </c>
      <c r="C139" t="s">
        <v>31</v>
      </c>
      <c r="D139" s="5">
        <v>34790</v>
      </c>
      <c r="E139" s="5">
        <v>46189</v>
      </c>
      <c r="F139" t="s">
        <v>1035</v>
      </c>
      <c r="G139" t="s">
        <v>73</v>
      </c>
      <c r="H139" t="s">
        <v>23</v>
      </c>
      <c r="I139" t="s">
        <v>96</v>
      </c>
      <c r="J139">
        <v>10890000</v>
      </c>
      <c r="K139">
        <v>3</v>
      </c>
      <c r="L139">
        <v>3</v>
      </c>
      <c r="M139">
        <v>32</v>
      </c>
      <c r="N139" t="s">
        <v>41</v>
      </c>
      <c r="O139" t="s">
        <v>26</v>
      </c>
      <c r="P139" t="s">
        <v>36</v>
      </c>
      <c r="Q139" s="5"/>
      <c r="S139">
        <f>DATEDIF(D139,DATE(2026,9,30),"Y")</f>
        <v>31</v>
      </c>
      <c r="T139" s="6">
        <f>(IF(Q139="",DATE(2026,9,30),Q139)-E139)/365.25</f>
        <v>0.29021218343600275</v>
      </c>
      <c r="U139" t="str">
        <f>_xlfn.XLOOKUP(Table1_1[[#This Row],[Bo''lim]],Bolimlar!A:A,Bolimlar!B:B,"Topilmadi")</f>
        <v>Aziz Karimov</v>
      </c>
      <c r="V139">
        <f>IF(P139="Ha",1,0)</f>
        <v>0</v>
      </c>
      <c r="W139" t="str">
        <f>IF(T139&lt;1,"1 yildan kam",IF(T139&lt;3,"1-3 yil","3 yildan ko'p"))</f>
        <v>1 yildan kam</v>
      </c>
    </row>
    <row r="140" spans="1:23" x14ac:dyDescent="0.3">
      <c r="A140" t="s">
        <v>589</v>
      </c>
      <c r="B140" t="s">
        <v>590</v>
      </c>
      <c r="C140" t="s">
        <v>31</v>
      </c>
      <c r="D140" s="5">
        <v>37794</v>
      </c>
      <c r="E140" s="5">
        <v>45227</v>
      </c>
      <c r="F140" t="s">
        <v>1300</v>
      </c>
      <c r="G140" t="s">
        <v>52</v>
      </c>
      <c r="H140" t="s">
        <v>23</v>
      </c>
      <c r="I140" t="s">
        <v>96</v>
      </c>
      <c r="J140">
        <v>10860000</v>
      </c>
      <c r="K140">
        <v>4</v>
      </c>
      <c r="L140">
        <v>3</v>
      </c>
      <c r="M140">
        <v>7</v>
      </c>
      <c r="N140" t="s">
        <v>41</v>
      </c>
      <c r="O140" t="s">
        <v>35</v>
      </c>
      <c r="P140" t="s">
        <v>36</v>
      </c>
      <c r="Q140" s="5"/>
      <c r="S140">
        <f>DATEDIF(D140,DATE(2026,9,30),"Y")</f>
        <v>23</v>
      </c>
      <c r="T140" s="6">
        <f>(IF(Q140="",DATE(2026,9,30),Q140)-E140)/365.25</f>
        <v>2.924024640657084</v>
      </c>
      <c r="U140" t="str">
        <f>_xlfn.XLOOKUP(Table1_1[[#This Row],[Bo''lim]],Bolimlar!A:A,Bolimlar!B:B,"Topilmadi")</f>
        <v>Shahlo Ismoilova</v>
      </c>
      <c r="V140">
        <f>IF(P140="Ha",1,0)</f>
        <v>0</v>
      </c>
      <c r="W140" t="str">
        <f>IF(T140&lt;1,"1 yildan kam",IF(T140&lt;3,"1-3 yil","3 yildan ko'p"))</f>
        <v>1-3 yil</v>
      </c>
    </row>
    <row r="141" spans="1:23" x14ac:dyDescent="0.3">
      <c r="A141" t="s">
        <v>958</v>
      </c>
      <c r="B141" t="s">
        <v>959</v>
      </c>
      <c r="C141" t="s">
        <v>31</v>
      </c>
      <c r="D141" s="5">
        <v>32288</v>
      </c>
      <c r="E141" s="5">
        <v>44826</v>
      </c>
      <c r="F141" t="s">
        <v>1300</v>
      </c>
      <c r="G141" t="s">
        <v>52</v>
      </c>
      <c r="H141" t="s">
        <v>23</v>
      </c>
      <c r="I141" t="s">
        <v>24</v>
      </c>
      <c r="J141">
        <v>10860000</v>
      </c>
      <c r="K141">
        <v>4</v>
      </c>
      <c r="L141">
        <v>3</v>
      </c>
      <c r="M141">
        <v>27</v>
      </c>
      <c r="N141" t="s">
        <v>25</v>
      </c>
      <c r="O141" t="s">
        <v>26</v>
      </c>
      <c r="P141" t="s">
        <v>36</v>
      </c>
      <c r="Q141" s="5"/>
      <c r="S141">
        <f>DATEDIF(D141,DATE(2026,9,30),"Y")</f>
        <v>38</v>
      </c>
      <c r="T141" s="6">
        <f>(IF(Q141="",DATE(2026,9,30),Q141)-E141)/365.25</f>
        <v>4.0219028062970565</v>
      </c>
      <c r="U141" t="str">
        <f>_xlfn.XLOOKUP(Table1_1[[#This Row],[Bo''lim]],Bolimlar!A:A,Bolimlar!B:B,"Topilmadi")</f>
        <v>Shahlo Ismoilova</v>
      </c>
      <c r="V141">
        <f>IF(P141="Ha",1,0)</f>
        <v>0</v>
      </c>
      <c r="W141" t="str">
        <f>IF(T141&lt;1,"1 yildan kam",IF(T141&lt;3,"1-3 yil","3 yildan ko'p"))</f>
        <v>3 yildan ko'p</v>
      </c>
    </row>
    <row r="142" spans="1:23" x14ac:dyDescent="0.3">
      <c r="A142" t="s">
        <v>517</v>
      </c>
      <c r="B142" t="s">
        <v>518</v>
      </c>
      <c r="C142" t="s">
        <v>31</v>
      </c>
      <c r="D142" s="5">
        <v>30388</v>
      </c>
      <c r="E142" s="5">
        <v>45829</v>
      </c>
      <c r="F142" t="s">
        <v>21</v>
      </c>
      <c r="G142" t="s">
        <v>32</v>
      </c>
      <c r="H142" t="s">
        <v>68</v>
      </c>
      <c r="I142" t="s">
        <v>82</v>
      </c>
      <c r="J142">
        <v>10850000</v>
      </c>
      <c r="K142">
        <v>4</v>
      </c>
      <c r="L142">
        <v>4</v>
      </c>
      <c r="M142">
        <v>13</v>
      </c>
      <c r="N142" t="s">
        <v>88</v>
      </c>
      <c r="O142" t="s">
        <v>26</v>
      </c>
      <c r="P142" t="s">
        <v>36</v>
      </c>
      <c r="Q142" s="5"/>
      <c r="S142">
        <f>DATEDIF(D142,DATE(2026,9,30),"Y")</f>
        <v>43</v>
      </c>
      <c r="T142" s="6">
        <f>(IF(Q142="",DATE(2026,9,30),Q142)-E142)/365.25</f>
        <v>1.2758384668035592</v>
      </c>
      <c r="U142" t="str">
        <f>_xlfn.XLOOKUP(Table1_1[[#This Row],[Bo''lim]],Bolimlar!A:A,Bolimlar!B:B,"Topilmadi")</f>
        <v>Jasur Yusupov</v>
      </c>
      <c r="V142">
        <f>IF(P142="Ha",1,0)</f>
        <v>0</v>
      </c>
      <c r="W142" t="str">
        <f>IF(T142&lt;1,"1 yildan kam",IF(T142&lt;3,"1-3 yil","3 yildan ko'p"))</f>
        <v>1-3 yil</v>
      </c>
    </row>
    <row r="143" spans="1:23" x14ac:dyDescent="0.3">
      <c r="A143" t="s">
        <v>116</v>
      </c>
      <c r="B143" t="s">
        <v>117</v>
      </c>
      <c r="C143" t="s">
        <v>31</v>
      </c>
      <c r="D143" s="5">
        <v>33028</v>
      </c>
      <c r="E143" s="5">
        <v>45226</v>
      </c>
      <c r="F143" t="s">
        <v>21</v>
      </c>
      <c r="G143" t="s">
        <v>103</v>
      </c>
      <c r="H143" t="s">
        <v>68</v>
      </c>
      <c r="I143" t="s">
        <v>82</v>
      </c>
      <c r="J143">
        <v>10770000</v>
      </c>
      <c r="K143">
        <v>4</v>
      </c>
      <c r="L143">
        <v>3</v>
      </c>
      <c r="M143">
        <v>13</v>
      </c>
      <c r="N143" t="s">
        <v>41</v>
      </c>
      <c r="O143" t="s">
        <v>26</v>
      </c>
      <c r="P143" t="s">
        <v>36</v>
      </c>
      <c r="Q143" s="5"/>
      <c r="S143">
        <f>DATEDIF(D143,DATE(2026,9,30),"Y")</f>
        <v>36</v>
      </c>
      <c r="T143" s="6">
        <f>(IF(Q143="",DATE(2026,9,30),Q143)-E143)/365.25</f>
        <v>2.9267624914442161</v>
      </c>
      <c r="U143" t="str">
        <f>_xlfn.XLOOKUP(Table1_1[[#This Row],[Bo''lim]],Bolimlar!A:A,Bolimlar!B:B,"Topilmadi")</f>
        <v>Jasur Yusupov</v>
      </c>
      <c r="V143">
        <f>IF(P143="Ha",1,0)</f>
        <v>0</v>
      </c>
      <c r="W143" t="str">
        <f>IF(T143&lt;1,"1 yildan kam",IF(T143&lt;3,"1-3 yil","3 yildan ko'p"))</f>
        <v>1-3 yil</v>
      </c>
    </row>
    <row r="144" spans="1:23" x14ac:dyDescent="0.3">
      <c r="A144" t="s">
        <v>588</v>
      </c>
      <c r="B144" t="s">
        <v>443</v>
      </c>
      <c r="C144" t="s">
        <v>31</v>
      </c>
      <c r="D144" s="5">
        <v>37743</v>
      </c>
      <c r="E144" s="5">
        <v>45651</v>
      </c>
      <c r="F144" t="s">
        <v>1300</v>
      </c>
      <c r="G144" t="s">
        <v>93</v>
      </c>
      <c r="H144" t="s">
        <v>23</v>
      </c>
      <c r="I144" t="s">
        <v>96</v>
      </c>
      <c r="J144">
        <v>10730000</v>
      </c>
      <c r="K144">
        <v>1</v>
      </c>
      <c r="L144">
        <v>3</v>
      </c>
      <c r="M144">
        <v>13</v>
      </c>
      <c r="N144" t="s">
        <v>41</v>
      </c>
      <c r="O144" t="s">
        <v>35</v>
      </c>
      <c r="P144" t="s">
        <v>27</v>
      </c>
      <c r="Q144" s="5">
        <v>45918</v>
      </c>
      <c r="R144" t="s">
        <v>235</v>
      </c>
      <c r="S144">
        <f>DATEDIF(D144,DATE(2026,9,30),"Y")</f>
        <v>23</v>
      </c>
      <c r="T144" s="6">
        <f>(IF(Q144="",DATE(2026,9,30),Q144)-E144)/365.25</f>
        <v>0.731006160164271</v>
      </c>
      <c r="U144" t="str">
        <f>_xlfn.XLOOKUP(Table1_1[[#This Row],[Bo''lim]],Bolimlar!A:A,Bolimlar!B:B,"Topilmadi")</f>
        <v>Shahlo Ismoilova</v>
      </c>
      <c r="V144">
        <f>IF(P144="Ha",1,0)</f>
        <v>1</v>
      </c>
      <c r="W144" t="str">
        <f>IF(T144&lt;1,"1 yildan kam",IF(T144&lt;3,"1-3 yil","3 yildan ko'p"))</f>
        <v>1 yildan kam</v>
      </c>
    </row>
    <row r="145" spans="1:23" x14ac:dyDescent="0.3">
      <c r="A145" t="s">
        <v>716</v>
      </c>
      <c r="B145" t="s">
        <v>651</v>
      </c>
      <c r="C145" t="s">
        <v>31</v>
      </c>
      <c r="D145" s="5">
        <v>37186</v>
      </c>
      <c r="E145" s="5">
        <v>45528</v>
      </c>
      <c r="F145" t="s">
        <v>1300</v>
      </c>
      <c r="G145" t="s">
        <v>52</v>
      </c>
      <c r="H145" t="s">
        <v>23</v>
      </c>
      <c r="I145" t="s">
        <v>24</v>
      </c>
      <c r="J145">
        <v>10710000</v>
      </c>
      <c r="K145">
        <v>3</v>
      </c>
      <c r="L145">
        <v>3</v>
      </c>
      <c r="M145">
        <v>17</v>
      </c>
      <c r="N145" t="s">
        <v>88</v>
      </c>
      <c r="O145" t="s">
        <v>35</v>
      </c>
      <c r="P145" t="s">
        <v>36</v>
      </c>
      <c r="Q145" s="5"/>
      <c r="S145">
        <f>DATEDIF(D145,DATE(2026,9,30),"Y")</f>
        <v>24</v>
      </c>
      <c r="T145" s="6">
        <f>(IF(Q145="",DATE(2026,9,30),Q145)-E145)/365.25</f>
        <v>2.0999315537303218</v>
      </c>
      <c r="U145" t="str">
        <f>_xlfn.XLOOKUP(Table1_1[[#This Row],[Bo''lim]],Bolimlar!A:A,Bolimlar!B:B,"Topilmadi")</f>
        <v>Shahlo Ismoilova</v>
      </c>
      <c r="V145">
        <f>IF(P145="Ha",1,0)</f>
        <v>0</v>
      </c>
      <c r="W145" t="str">
        <f>IF(T145&lt;1,"1 yildan kam",IF(T145&lt;3,"1-3 yil","3 yildan ko'p"))</f>
        <v>1-3 yil</v>
      </c>
    </row>
    <row r="146" spans="1:23" x14ac:dyDescent="0.3">
      <c r="A146" t="s">
        <v>895</v>
      </c>
      <c r="B146" t="s">
        <v>896</v>
      </c>
      <c r="C146" t="s">
        <v>31</v>
      </c>
      <c r="D146" s="5">
        <v>32502</v>
      </c>
      <c r="E146" s="5">
        <v>46263</v>
      </c>
      <c r="F146" t="s">
        <v>484</v>
      </c>
      <c r="G146" t="s">
        <v>150</v>
      </c>
      <c r="H146" t="s">
        <v>23</v>
      </c>
      <c r="I146" t="s">
        <v>104</v>
      </c>
      <c r="J146">
        <v>10640000</v>
      </c>
      <c r="K146">
        <v>3</v>
      </c>
      <c r="L146">
        <v>5</v>
      </c>
      <c r="M146">
        <v>12</v>
      </c>
      <c r="N146" t="s">
        <v>25</v>
      </c>
      <c r="O146" t="s">
        <v>26</v>
      </c>
      <c r="P146" t="s">
        <v>36</v>
      </c>
      <c r="Q146" s="5"/>
      <c r="S146">
        <f>DATEDIF(D146,DATE(2026,9,30),"Y")</f>
        <v>37</v>
      </c>
      <c r="T146" s="6">
        <f>(IF(Q146="",DATE(2026,9,30),Q146)-E146)/365.25</f>
        <v>8.761122518822724E-2</v>
      </c>
      <c r="U146" t="str">
        <f>_xlfn.XLOOKUP(Table1_1[[#This Row],[Bo''lim]],Bolimlar!A:A,Bolimlar!B:B,"Topilmadi")</f>
        <v>Sardor Nazarov</v>
      </c>
      <c r="V146">
        <f>IF(P146="Ha",1,0)</f>
        <v>0</v>
      </c>
      <c r="W146" t="str">
        <f>IF(T146&lt;1,"1 yildan kam",IF(T146&lt;3,"1-3 yil","3 yildan ko'p"))</f>
        <v>1 yildan kam</v>
      </c>
    </row>
    <row r="147" spans="1:23" x14ac:dyDescent="0.3">
      <c r="A147" t="s">
        <v>654</v>
      </c>
      <c r="B147" t="s">
        <v>655</v>
      </c>
      <c r="C147" t="s">
        <v>20</v>
      </c>
      <c r="D147" s="5">
        <v>33108</v>
      </c>
      <c r="E147" s="5">
        <v>43132</v>
      </c>
      <c r="F147" t="s">
        <v>484</v>
      </c>
      <c r="G147" t="s">
        <v>115</v>
      </c>
      <c r="H147" t="s">
        <v>23</v>
      </c>
      <c r="I147" t="s">
        <v>24</v>
      </c>
      <c r="J147">
        <v>10630000</v>
      </c>
      <c r="K147">
        <v>4</v>
      </c>
      <c r="L147">
        <v>1</v>
      </c>
      <c r="M147">
        <v>6</v>
      </c>
      <c r="N147" t="s">
        <v>41</v>
      </c>
      <c r="O147" t="s">
        <v>35</v>
      </c>
      <c r="P147" t="s">
        <v>36</v>
      </c>
      <c r="Q147" s="5"/>
      <c r="S147">
        <f>DATEDIF(D147,DATE(2026,9,30),"Y")</f>
        <v>36</v>
      </c>
      <c r="T147" s="6">
        <f>(IF(Q147="",DATE(2026,9,30),Q147)-E147)/365.25</f>
        <v>8.6598220396988363</v>
      </c>
      <c r="U147" t="str">
        <f>_xlfn.XLOOKUP(Table1_1[[#This Row],[Bo''lim]],Bolimlar!A:A,Bolimlar!B:B,"Topilmadi")</f>
        <v>Sardor Nazarov</v>
      </c>
      <c r="V147">
        <f>IF(P147="Ha",1,0)</f>
        <v>0</v>
      </c>
      <c r="W147" t="str">
        <f>IF(T147&lt;1,"1 yildan kam",IF(T147&lt;3,"1-3 yil","3 yildan ko'p"))</f>
        <v>3 yildan ko'p</v>
      </c>
    </row>
    <row r="148" spans="1:23" x14ac:dyDescent="0.3">
      <c r="A148" t="s">
        <v>375</v>
      </c>
      <c r="B148" t="s">
        <v>376</v>
      </c>
      <c r="C148" t="s">
        <v>20</v>
      </c>
      <c r="D148" s="5">
        <v>32776</v>
      </c>
      <c r="E148" s="5">
        <v>44548</v>
      </c>
      <c r="F148" t="s">
        <v>1300</v>
      </c>
      <c r="G148" t="s">
        <v>52</v>
      </c>
      <c r="H148" t="s">
        <v>23</v>
      </c>
      <c r="I148" t="s">
        <v>24</v>
      </c>
      <c r="J148">
        <v>10590000</v>
      </c>
      <c r="K148">
        <v>4</v>
      </c>
      <c r="L148">
        <v>4</v>
      </c>
      <c r="M148">
        <v>22</v>
      </c>
      <c r="N148" t="s">
        <v>88</v>
      </c>
      <c r="O148" t="s">
        <v>26</v>
      </c>
      <c r="P148" t="s">
        <v>36</v>
      </c>
      <c r="Q148" s="5"/>
      <c r="S148">
        <f>DATEDIF(D148,DATE(2026,9,30),"Y")</f>
        <v>37</v>
      </c>
      <c r="T148" s="6">
        <f>(IF(Q148="",DATE(2026,9,30),Q148)-E148)/365.25</f>
        <v>4.7830253251197812</v>
      </c>
      <c r="U148" t="str">
        <f>_xlfn.XLOOKUP(Table1_1[[#This Row],[Bo''lim]],Bolimlar!A:A,Bolimlar!B:B,"Topilmadi")</f>
        <v>Shahlo Ismoilova</v>
      </c>
      <c r="V148">
        <f>IF(P148="Ha",1,0)</f>
        <v>0</v>
      </c>
      <c r="W148" t="str">
        <f>IF(T148&lt;1,"1 yildan kam",IF(T148&lt;3,"1-3 yil","3 yildan ko'p"))</f>
        <v>3 yildan ko'p</v>
      </c>
    </row>
    <row r="149" spans="1:23" x14ac:dyDescent="0.3">
      <c r="A149" t="s">
        <v>575</v>
      </c>
      <c r="B149" t="s">
        <v>576</v>
      </c>
      <c r="C149" t="s">
        <v>20</v>
      </c>
      <c r="D149" s="5">
        <v>31052</v>
      </c>
      <c r="E149" s="5">
        <v>46023</v>
      </c>
      <c r="F149" t="s">
        <v>21</v>
      </c>
      <c r="G149" t="s">
        <v>22</v>
      </c>
      <c r="H149" t="s">
        <v>68</v>
      </c>
      <c r="I149" t="s">
        <v>24</v>
      </c>
      <c r="J149">
        <v>10570000</v>
      </c>
      <c r="K149">
        <v>3</v>
      </c>
      <c r="L149">
        <v>5</v>
      </c>
      <c r="M149">
        <v>11</v>
      </c>
      <c r="N149" t="s">
        <v>41</v>
      </c>
      <c r="O149" t="s">
        <v>26</v>
      </c>
      <c r="P149" t="s">
        <v>36</v>
      </c>
      <c r="Q149" s="5"/>
      <c r="S149">
        <f>DATEDIF(D149,DATE(2026,9,30),"Y")</f>
        <v>41</v>
      </c>
      <c r="T149" s="6">
        <f>(IF(Q149="",DATE(2026,9,30),Q149)-E149)/365.25</f>
        <v>0.74469541409993156</v>
      </c>
      <c r="U149" t="str">
        <f>_xlfn.XLOOKUP(Table1_1[[#This Row],[Bo''lim]],Bolimlar!A:A,Bolimlar!B:B,"Topilmadi")</f>
        <v>Jasur Yusupov</v>
      </c>
      <c r="V149">
        <f>IF(P149="Ha",1,0)</f>
        <v>0</v>
      </c>
      <c r="W149" t="str">
        <f>IF(T149&lt;1,"1 yildan kam",IF(T149&lt;3,"1-3 yil","3 yildan ko'p"))</f>
        <v>1 yildan kam</v>
      </c>
    </row>
    <row r="150" spans="1:23" x14ac:dyDescent="0.3">
      <c r="A150" t="s">
        <v>994</v>
      </c>
      <c r="B150" t="s">
        <v>413</v>
      </c>
      <c r="C150" t="s">
        <v>20</v>
      </c>
      <c r="D150" s="5">
        <v>36553</v>
      </c>
      <c r="E150" s="5">
        <v>44215</v>
      </c>
      <c r="F150" t="s">
        <v>484</v>
      </c>
      <c r="G150" t="s">
        <v>115</v>
      </c>
      <c r="H150" t="s">
        <v>23</v>
      </c>
      <c r="I150" t="s">
        <v>24</v>
      </c>
      <c r="J150">
        <v>10560000</v>
      </c>
      <c r="K150">
        <v>4</v>
      </c>
      <c r="L150">
        <v>3</v>
      </c>
      <c r="M150">
        <v>10</v>
      </c>
      <c r="N150" t="s">
        <v>25</v>
      </c>
      <c r="O150" t="s">
        <v>26</v>
      </c>
      <c r="P150" t="s">
        <v>36</v>
      </c>
      <c r="Q150" s="5"/>
      <c r="S150">
        <f>DATEDIF(D150,DATE(2026,9,30),"Y")</f>
        <v>26</v>
      </c>
      <c r="T150" s="6">
        <f>(IF(Q150="",DATE(2026,9,30),Q150)-E150)/365.25</f>
        <v>5.6947296372347704</v>
      </c>
      <c r="U150" t="str">
        <f>_xlfn.XLOOKUP(Table1_1[[#This Row],[Bo''lim]],Bolimlar!A:A,Bolimlar!B:B,"Topilmadi")</f>
        <v>Sardor Nazarov</v>
      </c>
      <c r="V150">
        <f>IF(P150="Ha",1,0)</f>
        <v>0</v>
      </c>
      <c r="W150" t="str">
        <f>IF(T150&lt;1,"1 yildan kam",IF(T150&lt;3,"1-3 yil","3 yildan ko'p"))</f>
        <v>3 yildan ko'p</v>
      </c>
    </row>
    <row r="151" spans="1:23" x14ac:dyDescent="0.3">
      <c r="A151" t="s">
        <v>923</v>
      </c>
      <c r="B151" t="s">
        <v>472</v>
      </c>
      <c r="C151" t="s">
        <v>20</v>
      </c>
      <c r="D151" s="5">
        <v>34410</v>
      </c>
      <c r="E151" s="5">
        <v>43946</v>
      </c>
      <c r="F151" t="s">
        <v>484</v>
      </c>
      <c r="G151" t="s">
        <v>150</v>
      </c>
      <c r="H151" t="s">
        <v>23</v>
      </c>
      <c r="I151" t="s">
        <v>24</v>
      </c>
      <c r="J151">
        <v>10540000</v>
      </c>
      <c r="K151">
        <v>3</v>
      </c>
      <c r="L151">
        <v>4</v>
      </c>
      <c r="M151">
        <v>12</v>
      </c>
      <c r="N151" t="s">
        <v>41</v>
      </c>
      <c r="O151" t="s">
        <v>35</v>
      </c>
      <c r="P151" t="s">
        <v>36</v>
      </c>
      <c r="Q151" s="5"/>
      <c r="S151">
        <f>DATEDIF(D151,DATE(2026,9,30),"Y")</f>
        <v>32</v>
      </c>
      <c r="T151" s="6">
        <f>(IF(Q151="",DATE(2026,9,30),Q151)-E151)/365.25</f>
        <v>6.4312114989733056</v>
      </c>
      <c r="U151" t="str">
        <f>_xlfn.XLOOKUP(Table1_1[[#This Row],[Bo''lim]],Bolimlar!A:A,Bolimlar!B:B,"Topilmadi")</f>
        <v>Sardor Nazarov</v>
      </c>
      <c r="V151">
        <f>IF(P151="Ha",1,0)</f>
        <v>0</v>
      </c>
      <c r="W151" t="str">
        <f>IF(T151&lt;1,"1 yildan kam",IF(T151&lt;3,"1-3 yil","3 yildan ko'p"))</f>
        <v>3 yildan ko'p</v>
      </c>
    </row>
    <row r="152" spans="1:23" x14ac:dyDescent="0.3">
      <c r="A152" t="s">
        <v>397</v>
      </c>
      <c r="B152" t="s">
        <v>398</v>
      </c>
      <c r="C152" t="s">
        <v>20</v>
      </c>
      <c r="D152" s="5">
        <v>36441</v>
      </c>
      <c r="E152" s="5">
        <v>45463</v>
      </c>
      <c r="F152" t="s">
        <v>1300</v>
      </c>
      <c r="G152" t="s">
        <v>93</v>
      </c>
      <c r="H152" t="s">
        <v>23</v>
      </c>
      <c r="I152" t="s">
        <v>104</v>
      </c>
      <c r="J152">
        <v>10510000</v>
      </c>
      <c r="K152">
        <v>3</v>
      </c>
      <c r="L152">
        <v>4</v>
      </c>
      <c r="M152">
        <v>25</v>
      </c>
      <c r="N152" t="s">
        <v>25</v>
      </c>
      <c r="O152" t="s">
        <v>35</v>
      </c>
      <c r="P152" t="s">
        <v>36</v>
      </c>
      <c r="Q152" s="5"/>
      <c r="S152">
        <f>DATEDIF(D152,DATE(2026,9,30),"Y")</f>
        <v>26</v>
      </c>
      <c r="T152" s="6">
        <f>(IF(Q152="",DATE(2026,9,30),Q152)-E152)/365.25</f>
        <v>2.2778918548939084</v>
      </c>
      <c r="U152" t="str">
        <f>_xlfn.XLOOKUP(Table1_1[[#This Row],[Bo''lim]],Bolimlar!A:A,Bolimlar!B:B,"Topilmadi")</f>
        <v>Shahlo Ismoilova</v>
      </c>
      <c r="V152">
        <f>IF(P152="Ha",1,0)</f>
        <v>0</v>
      </c>
      <c r="W152" t="str">
        <f>IF(T152&lt;1,"1 yildan kam",IF(T152&lt;3,"1-3 yil","3 yildan ko'p"))</f>
        <v>1-3 yil</v>
      </c>
    </row>
    <row r="153" spans="1:23" x14ac:dyDescent="0.3">
      <c r="A153" t="s">
        <v>735</v>
      </c>
      <c r="B153" t="s">
        <v>507</v>
      </c>
      <c r="C153" t="s">
        <v>20</v>
      </c>
      <c r="D153" s="5">
        <v>35859</v>
      </c>
      <c r="E153" s="5">
        <v>45914</v>
      </c>
      <c r="F153" t="s">
        <v>1300</v>
      </c>
      <c r="G153" t="s">
        <v>52</v>
      </c>
      <c r="H153" t="s">
        <v>23</v>
      </c>
      <c r="I153" t="s">
        <v>34</v>
      </c>
      <c r="J153">
        <v>10460000</v>
      </c>
      <c r="K153">
        <v>4</v>
      </c>
      <c r="L153">
        <v>2</v>
      </c>
      <c r="M153">
        <v>27</v>
      </c>
      <c r="N153" t="s">
        <v>41</v>
      </c>
      <c r="O153" t="s">
        <v>35</v>
      </c>
      <c r="P153" t="s">
        <v>36</v>
      </c>
      <c r="Q153" s="5"/>
      <c r="S153">
        <f>DATEDIF(D153,DATE(2026,9,30),"Y")</f>
        <v>28</v>
      </c>
      <c r="T153" s="6">
        <f>(IF(Q153="",DATE(2026,9,30),Q153)-E153)/365.25</f>
        <v>1.0431211498973305</v>
      </c>
      <c r="U153" t="str">
        <f>_xlfn.XLOOKUP(Table1_1[[#This Row],[Bo''lim]],Bolimlar!A:A,Bolimlar!B:B,"Topilmadi")</f>
        <v>Shahlo Ismoilova</v>
      </c>
      <c r="V153">
        <f>IF(P153="Ha",1,0)</f>
        <v>0</v>
      </c>
      <c r="W153" t="str">
        <f>IF(T153&lt;1,"1 yildan kam",IF(T153&lt;3,"1-3 yil","3 yildan ko'p"))</f>
        <v>1-3 yil</v>
      </c>
    </row>
    <row r="154" spans="1:23" x14ac:dyDescent="0.3">
      <c r="A154" t="s">
        <v>752</v>
      </c>
      <c r="B154" t="s">
        <v>81</v>
      </c>
      <c r="C154" t="s">
        <v>20</v>
      </c>
      <c r="D154" s="5">
        <v>34346</v>
      </c>
      <c r="E154" s="5">
        <v>44645</v>
      </c>
      <c r="F154" t="s">
        <v>21</v>
      </c>
      <c r="G154" t="s">
        <v>22</v>
      </c>
      <c r="H154" t="s">
        <v>68</v>
      </c>
      <c r="I154" t="s">
        <v>34</v>
      </c>
      <c r="J154">
        <v>10460000</v>
      </c>
      <c r="K154">
        <v>4</v>
      </c>
      <c r="L154">
        <v>3</v>
      </c>
      <c r="M154">
        <v>0</v>
      </c>
      <c r="N154" t="s">
        <v>88</v>
      </c>
      <c r="O154" t="s">
        <v>35</v>
      </c>
      <c r="P154" t="s">
        <v>27</v>
      </c>
      <c r="Q154" s="5">
        <v>46159</v>
      </c>
      <c r="R154" t="s">
        <v>61</v>
      </c>
      <c r="S154">
        <f>DATEDIF(D154,DATE(2026,9,30),"Y")</f>
        <v>32</v>
      </c>
      <c r="T154" s="6">
        <f>(IF(Q154="",DATE(2026,9,30),Q154)-E154)/365.25</f>
        <v>4.1451060917180014</v>
      </c>
      <c r="U154" t="str">
        <f>_xlfn.XLOOKUP(Table1_1[[#This Row],[Bo''lim]],Bolimlar!A:A,Bolimlar!B:B,"Topilmadi")</f>
        <v>Jasur Yusupov</v>
      </c>
      <c r="V154">
        <f>IF(P154="Ha",1,0)</f>
        <v>1</v>
      </c>
      <c r="W154" t="str">
        <f>IF(T154&lt;1,"1 yildan kam",IF(T154&lt;3,"1-3 yil","3 yildan ko'p"))</f>
        <v>3 yildan ko'p</v>
      </c>
    </row>
    <row r="155" spans="1:23" x14ac:dyDescent="0.3">
      <c r="A155" t="s">
        <v>665</v>
      </c>
      <c r="B155" t="s">
        <v>666</v>
      </c>
      <c r="C155" t="s">
        <v>31</v>
      </c>
      <c r="D155" s="5">
        <v>29836</v>
      </c>
      <c r="E155" s="5">
        <v>43334</v>
      </c>
      <c r="F155" t="s">
        <v>21</v>
      </c>
      <c r="G155" t="s">
        <v>22</v>
      </c>
      <c r="H155" t="s">
        <v>68</v>
      </c>
      <c r="I155" t="s">
        <v>24</v>
      </c>
      <c r="J155">
        <v>10400000</v>
      </c>
      <c r="K155">
        <v>5</v>
      </c>
      <c r="L155">
        <v>4</v>
      </c>
      <c r="M155">
        <v>23</v>
      </c>
      <c r="N155" t="s">
        <v>88</v>
      </c>
      <c r="O155" t="s">
        <v>35</v>
      </c>
      <c r="P155" t="s">
        <v>36</v>
      </c>
      <c r="Q155" s="5"/>
      <c r="S155">
        <f>DATEDIF(D155,DATE(2026,9,30),"Y")</f>
        <v>45</v>
      </c>
      <c r="T155" s="6">
        <f>(IF(Q155="",DATE(2026,9,30),Q155)-E155)/365.25</f>
        <v>8.1067761806981515</v>
      </c>
      <c r="U155" t="str">
        <f>_xlfn.XLOOKUP(Table1_1[[#This Row],[Bo''lim]],Bolimlar!A:A,Bolimlar!B:B,"Topilmadi")</f>
        <v>Jasur Yusupov</v>
      </c>
      <c r="V155">
        <f>IF(P155="Ha",1,0)</f>
        <v>0</v>
      </c>
      <c r="W155" t="str">
        <f>IF(T155&lt;1,"1 yildan kam",IF(T155&lt;3,"1-3 yil","3 yildan ko'p"))</f>
        <v>3 yildan ko'p</v>
      </c>
    </row>
    <row r="156" spans="1:23" x14ac:dyDescent="0.3">
      <c r="A156" t="s">
        <v>66</v>
      </c>
      <c r="B156" t="s">
        <v>67</v>
      </c>
      <c r="C156" t="s">
        <v>20</v>
      </c>
      <c r="D156" s="5">
        <v>35537</v>
      </c>
      <c r="E156" s="5">
        <v>43229</v>
      </c>
      <c r="F156" t="s">
        <v>21</v>
      </c>
      <c r="G156" t="s">
        <v>32</v>
      </c>
      <c r="H156" t="s">
        <v>68</v>
      </c>
      <c r="I156" t="s">
        <v>24</v>
      </c>
      <c r="J156">
        <v>10290000</v>
      </c>
      <c r="K156">
        <v>5</v>
      </c>
      <c r="L156">
        <v>5</v>
      </c>
      <c r="M156">
        <v>0</v>
      </c>
      <c r="N156" t="s">
        <v>25</v>
      </c>
      <c r="O156" t="s">
        <v>35</v>
      </c>
      <c r="P156" t="s">
        <v>36</v>
      </c>
      <c r="Q156" s="5"/>
      <c r="S156">
        <f>DATEDIF(D156,DATE(2026,9,30),"Y")</f>
        <v>29</v>
      </c>
      <c r="T156" s="6">
        <f>(IF(Q156="",DATE(2026,9,30),Q156)-E156)/365.25</f>
        <v>8.3942505133470231</v>
      </c>
      <c r="U156" t="str">
        <f>_xlfn.XLOOKUP(Table1_1[[#This Row],[Bo''lim]],Bolimlar!A:A,Bolimlar!B:B,"Topilmadi")</f>
        <v>Jasur Yusupov</v>
      </c>
      <c r="V156">
        <f>IF(P156="Ha",1,0)</f>
        <v>0</v>
      </c>
      <c r="W156" t="str">
        <f>IF(T156&lt;1,"1 yildan kam",IF(T156&lt;3,"1-3 yil","3 yildan ko'p"))</f>
        <v>3 yildan ko'p</v>
      </c>
    </row>
    <row r="157" spans="1:23" x14ac:dyDescent="0.3">
      <c r="A157" t="s">
        <v>1256</v>
      </c>
      <c r="B157" t="s">
        <v>371</v>
      </c>
      <c r="C157" t="s">
        <v>31</v>
      </c>
      <c r="D157" s="5">
        <v>31413</v>
      </c>
      <c r="E157" s="5">
        <v>46194</v>
      </c>
      <c r="F157" t="s">
        <v>21</v>
      </c>
      <c r="G157" t="s">
        <v>103</v>
      </c>
      <c r="H157" t="s">
        <v>68</v>
      </c>
      <c r="I157" t="s">
        <v>24</v>
      </c>
      <c r="J157">
        <v>10260000</v>
      </c>
      <c r="K157">
        <v>3</v>
      </c>
      <c r="L157">
        <v>5</v>
      </c>
      <c r="M157">
        <v>9</v>
      </c>
      <c r="N157" t="s">
        <v>25</v>
      </c>
      <c r="O157" t="s">
        <v>35</v>
      </c>
      <c r="P157" t="s">
        <v>27</v>
      </c>
      <c r="Q157" s="5">
        <v>46259</v>
      </c>
      <c r="R157" t="s">
        <v>145</v>
      </c>
      <c r="S157">
        <f>DATEDIF(D157,DATE(2026,9,30),"Y")</f>
        <v>40</v>
      </c>
      <c r="T157" s="6">
        <f>(IF(Q157="",DATE(2026,9,30),Q157)-E157)/365.25</f>
        <v>0.17796030116358658</v>
      </c>
      <c r="U157" t="str">
        <f>_xlfn.XLOOKUP(Table1_1[[#This Row],[Bo''lim]],Bolimlar!A:A,Bolimlar!B:B,"Topilmadi")</f>
        <v>Jasur Yusupov</v>
      </c>
      <c r="V157">
        <f>IF(P157="Ha",1,0)</f>
        <v>1</v>
      </c>
      <c r="W157" t="str">
        <f>IF(T157&lt;1,"1 yildan kam",IF(T157&lt;3,"1-3 yil","3 yildan ko'p"))</f>
        <v>1 yildan kam</v>
      </c>
    </row>
    <row r="158" spans="1:23" x14ac:dyDescent="0.3">
      <c r="A158" t="s">
        <v>461</v>
      </c>
      <c r="B158" t="s">
        <v>456</v>
      </c>
      <c r="C158" t="s">
        <v>31</v>
      </c>
      <c r="D158" s="5">
        <v>33704</v>
      </c>
      <c r="E158" s="5">
        <v>44917</v>
      </c>
      <c r="F158" t="s">
        <v>484</v>
      </c>
      <c r="G158" t="s">
        <v>150</v>
      </c>
      <c r="H158" t="s">
        <v>23</v>
      </c>
      <c r="I158" t="s">
        <v>34</v>
      </c>
      <c r="J158">
        <v>10240000</v>
      </c>
      <c r="K158">
        <v>4</v>
      </c>
      <c r="L158">
        <v>4</v>
      </c>
      <c r="M158">
        <v>11</v>
      </c>
      <c r="N158" t="s">
        <v>25</v>
      </c>
      <c r="O158" t="s">
        <v>35</v>
      </c>
      <c r="P158" t="s">
        <v>36</v>
      </c>
      <c r="Q158" s="5"/>
      <c r="S158">
        <f>DATEDIF(D158,DATE(2026,9,30),"Y")</f>
        <v>34</v>
      </c>
      <c r="T158" s="6">
        <f>(IF(Q158="",DATE(2026,9,30),Q158)-E158)/365.25</f>
        <v>3.7727583846680357</v>
      </c>
      <c r="U158" t="str">
        <f>_xlfn.XLOOKUP(Table1_1[[#This Row],[Bo''lim]],Bolimlar!A:A,Bolimlar!B:B,"Topilmadi")</f>
        <v>Sardor Nazarov</v>
      </c>
      <c r="V158">
        <f>IF(P158="Ha",1,0)</f>
        <v>0</v>
      </c>
      <c r="W158" t="str">
        <f>IF(T158&lt;1,"1 yildan kam",IF(T158&lt;3,"1-3 yil","3 yildan ko'p"))</f>
        <v>3 yildan ko'p</v>
      </c>
    </row>
    <row r="159" spans="1:23" x14ac:dyDescent="0.3">
      <c r="A159" t="s">
        <v>380</v>
      </c>
      <c r="B159" t="s">
        <v>356</v>
      </c>
      <c r="C159" t="s">
        <v>31</v>
      </c>
      <c r="D159" s="5">
        <v>34918</v>
      </c>
      <c r="E159" s="5">
        <v>44514</v>
      </c>
      <c r="F159" t="s">
        <v>484</v>
      </c>
      <c r="G159" t="s">
        <v>150</v>
      </c>
      <c r="H159" t="s">
        <v>23</v>
      </c>
      <c r="I159" t="s">
        <v>24</v>
      </c>
      <c r="J159">
        <v>10150000</v>
      </c>
      <c r="K159">
        <v>4</v>
      </c>
      <c r="L159">
        <v>1</v>
      </c>
      <c r="M159">
        <v>11</v>
      </c>
      <c r="N159" t="s">
        <v>25</v>
      </c>
      <c r="O159" t="s">
        <v>35</v>
      </c>
      <c r="P159" t="s">
        <v>27</v>
      </c>
      <c r="Q159" s="5">
        <v>46069</v>
      </c>
      <c r="R159" t="s">
        <v>61</v>
      </c>
      <c r="S159">
        <f>DATEDIF(D159,DATE(2026,9,30),"Y")</f>
        <v>31</v>
      </c>
      <c r="T159" s="6">
        <f>(IF(Q159="",DATE(2026,9,30),Q159)-E159)/365.25</f>
        <v>4.2573579739904179</v>
      </c>
      <c r="U159" t="str">
        <f>_xlfn.XLOOKUP(Table1_1[[#This Row],[Bo''lim]],Bolimlar!A:A,Bolimlar!B:B,"Topilmadi")</f>
        <v>Sardor Nazarov</v>
      </c>
      <c r="V159">
        <f>IF(P159="Ha",1,0)</f>
        <v>1</v>
      </c>
      <c r="W159" t="str">
        <f>IF(T159&lt;1,"1 yildan kam",IF(T159&lt;3,"1-3 yil","3 yildan ko'p"))</f>
        <v>3 yildan ko'p</v>
      </c>
    </row>
    <row r="160" spans="1:23" x14ac:dyDescent="0.3">
      <c r="A160" t="s">
        <v>717</v>
      </c>
      <c r="B160" t="s">
        <v>718</v>
      </c>
      <c r="C160" t="s">
        <v>20</v>
      </c>
      <c r="D160" s="5">
        <v>38731</v>
      </c>
      <c r="E160" s="5">
        <v>46263</v>
      </c>
      <c r="F160" t="s">
        <v>21</v>
      </c>
      <c r="G160" t="s">
        <v>22</v>
      </c>
      <c r="H160" t="s">
        <v>68</v>
      </c>
      <c r="I160" t="s">
        <v>24</v>
      </c>
      <c r="J160">
        <v>10140000</v>
      </c>
      <c r="K160">
        <v>4</v>
      </c>
      <c r="L160">
        <v>4</v>
      </c>
      <c r="M160">
        <v>24</v>
      </c>
      <c r="N160" t="s">
        <v>88</v>
      </c>
      <c r="O160" t="s">
        <v>26</v>
      </c>
      <c r="P160" t="s">
        <v>36</v>
      </c>
      <c r="Q160" s="5"/>
      <c r="S160">
        <f>DATEDIF(D160,DATE(2026,9,30),"Y")</f>
        <v>20</v>
      </c>
      <c r="T160" s="6">
        <f>(IF(Q160="",DATE(2026,9,30),Q160)-E160)/365.25</f>
        <v>8.761122518822724E-2</v>
      </c>
      <c r="U160" t="str">
        <f>_xlfn.XLOOKUP(Table1_1[[#This Row],[Bo''lim]],Bolimlar!A:A,Bolimlar!B:B,"Topilmadi")</f>
        <v>Jasur Yusupov</v>
      </c>
      <c r="V160">
        <f>IF(P160="Ha",1,0)</f>
        <v>0</v>
      </c>
      <c r="W160" t="str">
        <f>IF(T160&lt;1,"1 yildan kam",IF(T160&lt;3,"1-3 yil","3 yildan ko'p"))</f>
        <v>1 yildan kam</v>
      </c>
    </row>
    <row r="161" spans="1:23" x14ac:dyDescent="0.3">
      <c r="A161" t="s">
        <v>1041</v>
      </c>
      <c r="B161" t="s">
        <v>914</v>
      </c>
      <c r="C161" t="s">
        <v>20</v>
      </c>
      <c r="D161" s="5">
        <v>35271</v>
      </c>
      <c r="E161" s="5">
        <v>44669</v>
      </c>
      <c r="F161" t="s">
        <v>1035</v>
      </c>
      <c r="G161" t="s">
        <v>73</v>
      </c>
      <c r="H161" t="s">
        <v>23</v>
      </c>
      <c r="I161" t="s">
        <v>24</v>
      </c>
      <c r="J161">
        <v>10140000</v>
      </c>
      <c r="K161">
        <v>3</v>
      </c>
      <c r="L161">
        <v>5</v>
      </c>
      <c r="M161">
        <v>21</v>
      </c>
      <c r="N161" t="s">
        <v>41</v>
      </c>
      <c r="O161" t="s">
        <v>26</v>
      </c>
      <c r="P161" t="s">
        <v>36</v>
      </c>
      <c r="Q161" s="5"/>
      <c r="S161">
        <f>DATEDIF(D161,DATE(2026,9,30),"Y")</f>
        <v>30</v>
      </c>
      <c r="T161" s="6">
        <f>(IF(Q161="",DATE(2026,9,30),Q161)-E161)/365.25</f>
        <v>4.4517453798767965</v>
      </c>
      <c r="U161" t="str">
        <f>_xlfn.XLOOKUP(Table1_1[[#This Row],[Bo''lim]],Bolimlar!A:A,Bolimlar!B:B,"Topilmadi")</f>
        <v>Aziz Karimov</v>
      </c>
      <c r="V161">
        <f>IF(P161="Ha",1,0)</f>
        <v>0</v>
      </c>
      <c r="W161" t="str">
        <f>IF(T161&lt;1,"1 yildan kam",IF(T161&lt;3,"1-3 yil","3 yildan ko'p"))</f>
        <v>3 yildan ko'p</v>
      </c>
    </row>
    <row r="162" spans="1:23" x14ac:dyDescent="0.3">
      <c r="A162" t="s">
        <v>932</v>
      </c>
      <c r="B162" t="s">
        <v>834</v>
      </c>
      <c r="C162" t="s">
        <v>20</v>
      </c>
      <c r="D162" s="5">
        <v>33431</v>
      </c>
      <c r="E162" s="5">
        <v>44563</v>
      </c>
      <c r="F162" t="s">
        <v>1300</v>
      </c>
      <c r="G162" t="s">
        <v>93</v>
      </c>
      <c r="H162" t="s">
        <v>23</v>
      </c>
      <c r="I162" t="s">
        <v>44</v>
      </c>
      <c r="J162">
        <v>10120000</v>
      </c>
      <c r="K162">
        <v>3</v>
      </c>
      <c r="L162">
        <v>4</v>
      </c>
      <c r="M162">
        <v>36</v>
      </c>
      <c r="N162" t="s">
        <v>41</v>
      </c>
      <c r="O162" t="s">
        <v>53</v>
      </c>
      <c r="P162" t="s">
        <v>27</v>
      </c>
      <c r="Q162" s="5">
        <v>45927</v>
      </c>
      <c r="R162" t="s">
        <v>401</v>
      </c>
      <c r="S162">
        <f>DATEDIF(D162,DATE(2026,9,30),"Y")</f>
        <v>35</v>
      </c>
      <c r="T162" s="6">
        <f>(IF(Q162="",DATE(2026,9,30),Q162)-E162)/365.25</f>
        <v>3.7344284736481863</v>
      </c>
      <c r="U162" t="str">
        <f>_xlfn.XLOOKUP(Table1_1[[#This Row],[Bo''lim]],Bolimlar!A:A,Bolimlar!B:B,"Topilmadi")</f>
        <v>Shahlo Ismoilova</v>
      </c>
      <c r="V162">
        <f>IF(P162="Ha",1,0)</f>
        <v>1</v>
      </c>
      <c r="W162" t="str">
        <f>IF(T162&lt;1,"1 yildan kam",IF(T162&lt;3,"1-3 yil","3 yildan ko'p"))</f>
        <v>3 yildan ko'p</v>
      </c>
    </row>
    <row r="163" spans="1:23" x14ac:dyDescent="0.3">
      <c r="A163" t="s">
        <v>638</v>
      </c>
      <c r="B163" t="s">
        <v>254</v>
      </c>
      <c r="C163" t="s">
        <v>31</v>
      </c>
      <c r="D163" s="5">
        <v>31365</v>
      </c>
      <c r="E163" s="5">
        <v>45483</v>
      </c>
      <c r="F163" t="s">
        <v>1300</v>
      </c>
      <c r="G163" t="s">
        <v>52</v>
      </c>
      <c r="H163" t="s">
        <v>23</v>
      </c>
      <c r="I163" t="s">
        <v>24</v>
      </c>
      <c r="J163">
        <v>10100000</v>
      </c>
      <c r="K163">
        <v>4</v>
      </c>
      <c r="L163">
        <v>2</v>
      </c>
      <c r="M163">
        <v>2</v>
      </c>
      <c r="N163" t="s">
        <v>41</v>
      </c>
      <c r="O163" t="s">
        <v>26</v>
      </c>
      <c r="P163" t="s">
        <v>27</v>
      </c>
      <c r="Q163" s="5">
        <v>45884</v>
      </c>
      <c r="R163" t="s">
        <v>61</v>
      </c>
      <c r="S163">
        <f>DATEDIF(D163,DATE(2026,9,30),"Y")</f>
        <v>40</v>
      </c>
      <c r="T163" s="6">
        <f>(IF(Q163="",DATE(2026,9,30),Q163)-E163)/365.25</f>
        <v>1.0978781656399725</v>
      </c>
      <c r="U163" t="str">
        <f>_xlfn.XLOOKUP(Table1_1[[#This Row],[Bo''lim]],Bolimlar!A:A,Bolimlar!B:B,"Topilmadi")</f>
        <v>Shahlo Ismoilova</v>
      </c>
      <c r="V163">
        <f>IF(P163="Ha",1,0)</f>
        <v>1</v>
      </c>
      <c r="W163" t="str">
        <f>IF(T163&lt;1,"1 yildan kam",IF(T163&lt;3,"1-3 yil","3 yildan ko'p"))</f>
        <v>1-3 yil</v>
      </c>
    </row>
    <row r="164" spans="1:23" x14ac:dyDescent="0.3">
      <c r="A164" t="s">
        <v>816</v>
      </c>
      <c r="B164" t="s">
        <v>817</v>
      </c>
      <c r="C164" t="s">
        <v>20</v>
      </c>
      <c r="D164" s="5">
        <v>35081</v>
      </c>
      <c r="E164" s="5">
        <v>46115</v>
      </c>
      <c r="F164" t="s">
        <v>21</v>
      </c>
      <c r="G164" t="s">
        <v>22</v>
      </c>
      <c r="H164" t="s">
        <v>68</v>
      </c>
      <c r="I164" t="s">
        <v>34</v>
      </c>
      <c r="J164">
        <v>10090000</v>
      </c>
      <c r="K164">
        <v>1</v>
      </c>
      <c r="L164">
        <v>3</v>
      </c>
      <c r="M164">
        <v>2</v>
      </c>
      <c r="N164" t="s">
        <v>41</v>
      </c>
      <c r="O164" t="s">
        <v>26</v>
      </c>
      <c r="P164" t="s">
        <v>36</v>
      </c>
      <c r="Q164" s="5"/>
      <c r="S164">
        <f>DATEDIF(D164,DATE(2026,9,30),"Y")</f>
        <v>30</v>
      </c>
      <c r="T164" s="6">
        <f>(IF(Q164="",DATE(2026,9,30),Q164)-E164)/365.25</f>
        <v>0.49281314168377821</v>
      </c>
      <c r="U164" t="str">
        <f>_xlfn.XLOOKUP(Table1_1[[#This Row],[Bo''lim]],Bolimlar!A:A,Bolimlar!B:B,"Topilmadi")</f>
        <v>Jasur Yusupov</v>
      </c>
      <c r="V164">
        <f>IF(P164="Ha",1,0)</f>
        <v>0</v>
      </c>
      <c r="W164" t="str">
        <f>IF(T164&lt;1,"1 yildan kam",IF(T164&lt;3,"1-3 yil","3 yildan ko'p"))</f>
        <v>1 yildan kam</v>
      </c>
    </row>
    <row r="165" spans="1:23" x14ac:dyDescent="0.3">
      <c r="A165" t="s">
        <v>307</v>
      </c>
      <c r="B165" t="s">
        <v>308</v>
      </c>
      <c r="C165" t="s">
        <v>31</v>
      </c>
      <c r="D165" s="5">
        <v>35592</v>
      </c>
      <c r="E165" s="5">
        <v>44192</v>
      </c>
      <c r="F165" t="s">
        <v>1300</v>
      </c>
      <c r="G165" t="s">
        <v>93</v>
      </c>
      <c r="H165" t="s">
        <v>23</v>
      </c>
      <c r="I165" t="s">
        <v>24</v>
      </c>
      <c r="J165">
        <v>10050000</v>
      </c>
      <c r="K165">
        <v>5</v>
      </c>
      <c r="L165">
        <v>1</v>
      </c>
      <c r="M165">
        <v>17</v>
      </c>
      <c r="N165" t="s">
        <v>41</v>
      </c>
      <c r="O165" t="s">
        <v>26</v>
      </c>
      <c r="P165" t="s">
        <v>36</v>
      </c>
      <c r="Q165" s="5"/>
      <c r="S165">
        <f>DATEDIF(D165,DATE(2026,9,30),"Y")</f>
        <v>29</v>
      </c>
      <c r="T165" s="6">
        <f>(IF(Q165="",DATE(2026,9,30),Q165)-E165)/365.25</f>
        <v>5.7577002053388089</v>
      </c>
      <c r="U165" t="str">
        <f>_xlfn.XLOOKUP(Table1_1[[#This Row],[Bo''lim]],Bolimlar!A:A,Bolimlar!B:B,"Topilmadi")</f>
        <v>Shahlo Ismoilova</v>
      </c>
      <c r="V165">
        <f>IF(P165="Ha",1,0)</f>
        <v>0</v>
      </c>
      <c r="W165" t="str">
        <f>IF(T165&lt;1,"1 yildan kam",IF(T165&lt;3,"1-3 yil","3 yildan ko'p"))</f>
        <v>3 yildan ko'p</v>
      </c>
    </row>
    <row r="166" spans="1:23" x14ac:dyDescent="0.3">
      <c r="A166" t="s">
        <v>791</v>
      </c>
      <c r="B166" t="s">
        <v>345</v>
      </c>
      <c r="C166" t="s">
        <v>31</v>
      </c>
      <c r="D166" s="5">
        <v>38550</v>
      </c>
      <c r="E166" s="5">
        <v>46087</v>
      </c>
      <c r="F166" t="s">
        <v>1300</v>
      </c>
      <c r="G166" t="s">
        <v>52</v>
      </c>
      <c r="H166" t="s">
        <v>23</v>
      </c>
      <c r="I166" t="s">
        <v>82</v>
      </c>
      <c r="J166">
        <v>10030000</v>
      </c>
      <c r="K166">
        <v>4</v>
      </c>
      <c r="L166">
        <v>4</v>
      </c>
      <c r="M166">
        <v>31</v>
      </c>
      <c r="N166" t="s">
        <v>25</v>
      </c>
      <c r="O166" t="s">
        <v>26</v>
      </c>
      <c r="P166" t="s">
        <v>36</v>
      </c>
      <c r="Q166" s="5"/>
      <c r="S166">
        <f>DATEDIF(D166,DATE(2026,9,30),"Y")</f>
        <v>21</v>
      </c>
      <c r="T166" s="6">
        <f>(IF(Q166="",DATE(2026,9,30),Q166)-E166)/365.25</f>
        <v>0.56947296372347711</v>
      </c>
      <c r="U166" t="str">
        <f>_xlfn.XLOOKUP(Table1_1[[#This Row],[Bo''lim]],Bolimlar!A:A,Bolimlar!B:B,"Topilmadi")</f>
        <v>Shahlo Ismoilova</v>
      </c>
      <c r="V166">
        <f>IF(P166="Ha",1,0)</f>
        <v>0</v>
      </c>
      <c r="W166" t="str">
        <f>IF(T166&lt;1,"1 yildan kam",IF(T166&lt;3,"1-3 yil","3 yildan ko'p"))</f>
        <v>1 yildan kam</v>
      </c>
    </row>
    <row r="167" spans="1:23" x14ac:dyDescent="0.3">
      <c r="A167" t="s">
        <v>813</v>
      </c>
      <c r="B167" t="s">
        <v>265</v>
      </c>
      <c r="C167" t="s">
        <v>31</v>
      </c>
      <c r="D167" s="5">
        <v>37550</v>
      </c>
      <c r="E167" s="5">
        <v>45566</v>
      </c>
      <c r="F167" t="s">
        <v>21</v>
      </c>
      <c r="G167" t="s">
        <v>22</v>
      </c>
      <c r="H167" t="s">
        <v>68</v>
      </c>
      <c r="I167" t="s">
        <v>34</v>
      </c>
      <c r="J167">
        <v>10020000</v>
      </c>
      <c r="K167">
        <v>4</v>
      </c>
      <c r="L167">
        <v>1</v>
      </c>
      <c r="M167">
        <v>17</v>
      </c>
      <c r="N167" t="s">
        <v>41</v>
      </c>
      <c r="O167" t="s">
        <v>26</v>
      </c>
      <c r="P167" t="s">
        <v>36</v>
      </c>
      <c r="Q167" s="5"/>
      <c r="S167">
        <f>DATEDIF(D167,DATE(2026,9,30),"Y")</f>
        <v>23</v>
      </c>
      <c r="T167" s="6">
        <f>(IF(Q167="",DATE(2026,9,30),Q167)-E167)/365.25</f>
        <v>1.9958932238193019</v>
      </c>
      <c r="U167" t="str">
        <f>_xlfn.XLOOKUP(Table1_1[[#This Row],[Bo''lim]],Bolimlar!A:A,Bolimlar!B:B,"Topilmadi")</f>
        <v>Jasur Yusupov</v>
      </c>
      <c r="V167">
        <f>IF(P167="Ha",1,0)</f>
        <v>0</v>
      </c>
      <c r="W167" t="str">
        <f>IF(T167&lt;1,"1 yildan kam",IF(T167&lt;3,"1-3 yil","3 yildan ko'p"))</f>
        <v>1-3 yil</v>
      </c>
    </row>
    <row r="168" spans="1:23" x14ac:dyDescent="0.3">
      <c r="A168" t="s">
        <v>134</v>
      </c>
      <c r="B168" t="s">
        <v>135</v>
      </c>
      <c r="C168" t="s">
        <v>31</v>
      </c>
      <c r="D168" s="5">
        <v>36320</v>
      </c>
      <c r="E168" s="5">
        <v>45845</v>
      </c>
      <c r="F168" t="s">
        <v>1300</v>
      </c>
      <c r="G168" t="s">
        <v>93</v>
      </c>
      <c r="H168" t="s">
        <v>23</v>
      </c>
      <c r="I168" t="s">
        <v>24</v>
      </c>
      <c r="J168">
        <v>9980000</v>
      </c>
      <c r="K168">
        <v>3</v>
      </c>
      <c r="L168">
        <v>3</v>
      </c>
      <c r="M168">
        <v>14</v>
      </c>
      <c r="N168" t="s">
        <v>41</v>
      </c>
      <c r="O168" t="s">
        <v>26</v>
      </c>
      <c r="P168" t="s">
        <v>36</v>
      </c>
      <c r="Q168" s="5"/>
      <c r="S168">
        <f>DATEDIF(D168,DATE(2026,9,30),"Y")</f>
        <v>27</v>
      </c>
      <c r="T168" s="6">
        <f>(IF(Q168="",DATE(2026,9,30),Q168)-E168)/365.25</f>
        <v>1.2320328542094456</v>
      </c>
      <c r="U168" t="str">
        <f>_xlfn.XLOOKUP(Table1_1[[#This Row],[Bo''lim]],Bolimlar!A:A,Bolimlar!B:B,"Topilmadi")</f>
        <v>Shahlo Ismoilova</v>
      </c>
      <c r="V168">
        <f>IF(P168="Ha",1,0)</f>
        <v>0</v>
      </c>
      <c r="W168" t="str">
        <f>IF(T168&lt;1,"1 yildan kam",IF(T168&lt;3,"1-3 yil","3 yildan ko'p"))</f>
        <v>1-3 yil</v>
      </c>
    </row>
    <row r="169" spans="1:23" x14ac:dyDescent="0.3">
      <c r="A169" t="s">
        <v>596</v>
      </c>
      <c r="B169" t="s">
        <v>597</v>
      </c>
      <c r="C169" t="s">
        <v>31</v>
      </c>
      <c r="D169" s="5">
        <v>35118</v>
      </c>
      <c r="E169" s="5">
        <v>44949</v>
      </c>
      <c r="F169" t="s">
        <v>1226</v>
      </c>
      <c r="G169" t="s">
        <v>142</v>
      </c>
      <c r="H169" t="s">
        <v>68</v>
      </c>
      <c r="I169" t="s">
        <v>24</v>
      </c>
      <c r="J169">
        <v>9860000</v>
      </c>
      <c r="K169">
        <v>4</v>
      </c>
      <c r="L169">
        <v>4</v>
      </c>
      <c r="M169">
        <v>20</v>
      </c>
      <c r="N169" t="s">
        <v>25</v>
      </c>
      <c r="O169" t="s">
        <v>35</v>
      </c>
      <c r="P169" t="s">
        <v>36</v>
      </c>
      <c r="Q169" s="5"/>
      <c r="S169">
        <f>DATEDIF(D169,DATE(2026,9,30),"Y")</f>
        <v>30</v>
      </c>
      <c r="T169" s="6">
        <f>(IF(Q169="",DATE(2026,9,30),Q169)-E169)/365.25</f>
        <v>3.6851471594798082</v>
      </c>
      <c r="U169" t="str">
        <f>_xlfn.XLOOKUP(Table1_1[[#This Row],[Bo''lim]],Bolimlar!A:A,Bolimlar!B:B,"Topilmadi")</f>
        <v>Madina Abdullayeva</v>
      </c>
      <c r="V169">
        <f>IF(P169="Ha",1,0)</f>
        <v>0</v>
      </c>
      <c r="W169" t="str">
        <f>IF(T169&lt;1,"1 yildan kam",IF(T169&lt;3,"1-3 yil","3 yildan ko'p"))</f>
        <v>3 yildan ko'p</v>
      </c>
    </row>
    <row r="170" spans="1:23" x14ac:dyDescent="0.3">
      <c r="A170" t="s">
        <v>1167</v>
      </c>
      <c r="B170" t="s">
        <v>328</v>
      </c>
      <c r="C170" t="s">
        <v>20</v>
      </c>
      <c r="D170" s="5">
        <v>34823</v>
      </c>
      <c r="E170" s="5">
        <v>46227</v>
      </c>
      <c r="F170" t="s">
        <v>21</v>
      </c>
      <c r="G170" t="s">
        <v>32</v>
      </c>
      <c r="H170" t="s">
        <v>68</v>
      </c>
      <c r="I170" t="s">
        <v>206</v>
      </c>
      <c r="J170">
        <v>9860000</v>
      </c>
      <c r="L170">
        <v>1</v>
      </c>
      <c r="M170">
        <v>11</v>
      </c>
      <c r="N170" t="s">
        <v>25</v>
      </c>
      <c r="O170" t="s">
        <v>35</v>
      </c>
      <c r="P170" t="s">
        <v>27</v>
      </c>
      <c r="Q170" s="5">
        <v>46290</v>
      </c>
      <c r="R170" t="s">
        <v>155</v>
      </c>
      <c r="S170">
        <f>DATEDIF(D170,DATE(2026,9,30),"Y")</f>
        <v>31</v>
      </c>
      <c r="T170" s="6">
        <f>(IF(Q170="",DATE(2026,9,30),Q170)-E170)/365.25</f>
        <v>0.17248459958932238</v>
      </c>
      <c r="U170" t="str">
        <f>_xlfn.XLOOKUP(Table1_1[[#This Row],[Bo''lim]],Bolimlar!A:A,Bolimlar!B:B,"Topilmadi")</f>
        <v>Jasur Yusupov</v>
      </c>
      <c r="V170">
        <f>IF(P170="Ha",1,0)</f>
        <v>1</v>
      </c>
      <c r="W170" t="str">
        <f>IF(T170&lt;1,"1 yildan kam",IF(T170&lt;3,"1-3 yil","3 yildan ko'p"))</f>
        <v>1 yildan kam</v>
      </c>
    </row>
    <row r="171" spans="1:23" x14ac:dyDescent="0.3">
      <c r="A171" t="s">
        <v>671</v>
      </c>
      <c r="B171" t="s">
        <v>672</v>
      </c>
      <c r="C171" t="s">
        <v>20</v>
      </c>
      <c r="D171" s="5">
        <v>33587</v>
      </c>
      <c r="E171" s="5">
        <v>43494</v>
      </c>
      <c r="F171" t="s">
        <v>1226</v>
      </c>
      <c r="G171" t="s">
        <v>142</v>
      </c>
      <c r="H171" t="s">
        <v>68</v>
      </c>
      <c r="I171" t="s">
        <v>34</v>
      </c>
      <c r="J171">
        <v>9790000</v>
      </c>
      <c r="K171">
        <v>3</v>
      </c>
      <c r="L171">
        <v>1</v>
      </c>
      <c r="M171">
        <v>20</v>
      </c>
      <c r="N171" t="s">
        <v>41</v>
      </c>
      <c r="O171" t="s">
        <v>35</v>
      </c>
      <c r="P171" t="s">
        <v>27</v>
      </c>
      <c r="Q171" s="5">
        <v>46150</v>
      </c>
      <c r="R171" t="s">
        <v>401</v>
      </c>
      <c r="S171">
        <f>DATEDIF(D171,DATE(2026,9,30),"Y")</f>
        <v>34</v>
      </c>
      <c r="T171" s="6">
        <f>(IF(Q171="",DATE(2026,9,30),Q171)-E171)/365.25</f>
        <v>7.2717316906228611</v>
      </c>
      <c r="U171" t="str">
        <f>_xlfn.XLOOKUP(Table1_1[[#This Row],[Bo''lim]],Bolimlar!A:A,Bolimlar!B:B,"Topilmadi")</f>
        <v>Madina Abdullayeva</v>
      </c>
      <c r="V171">
        <f>IF(P171="Ha",1,0)</f>
        <v>1</v>
      </c>
      <c r="W171" t="str">
        <f>IF(T171&lt;1,"1 yildan kam",IF(T171&lt;3,"1-3 yil","3 yildan ko'p"))</f>
        <v>3 yildan ko'p</v>
      </c>
    </row>
    <row r="172" spans="1:23" x14ac:dyDescent="0.3">
      <c r="A172" t="s">
        <v>1163</v>
      </c>
      <c r="B172" t="s">
        <v>269</v>
      </c>
      <c r="C172" t="s">
        <v>20</v>
      </c>
      <c r="D172" s="5">
        <v>35056</v>
      </c>
      <c r="E172" s="5">
        <v>43506</v>
      </c>
      <c r="F172" t="s">
        <v>39</v>
      </c>
      <c r="G172" t="s">
        <v>40</v>
      </c>
      <c r="H172" t="s">
        <v>23</v>
      </c>
      <c r="I172" t="s">
        <v>24</v>
      </c>
      <c r="J172">
        <v>9790000</v>
      </c>
      <c r="K172">
        <v>4</v>
      </c>
      <c r="L172">
        <v>5</v>
      </c>
      <c r="M172">
        <v>6</v>
      </c>
      <c r="N172" t="s">
        <v>41</v>
      </c>
      <c r="O172" t="s">
        <v>53</v>
      </c>
      <c r="P172" t="s">
        <v>36</v>
      </c>
      <c r="Q172" s="5"/>
      <c r="S172">
        <f>DATEDIF(D172,DATE(2026,9,30),"Y")</f>
        <v>30</v>
      </c>
      <c r="T172" s="6">
        <f>(IF(Q172="",DATE(2026,9,30),Q172)-E172)/365.25</f>
        <v>7.6358658453114305</v>
      </c>
      <c r="U172" t="str">
        <f>_xlfn.XLOOKUP(Table1_1[[#This Row],[Bo''lim]],Bolimlar!A:A,Bolimlar!B:B,"Topilmadi")</f>
        <v>Nodira Tursunova</v>
      </c>
      <c r="V172">
        <f>IF(P172="Ha",1,0)</f>
        <v>0</v>
      </c>
      <c r="W172" t="str">
        <f>IF(T172&lt;1,"1 yildan kam",IF(T172&lt;3,"1-3 yil","3 yildan ko'p"))</f>
        <v>3 yildan ko'p</v>
      </c>
    </row>
    <row r="173" spans="1:23" x14ac:dyDescent="0.3">
      <c r="A173" t="s">
        <v>1155</v>
      </c>
      <c r="B173" t="s">
        <v>1156</v>
      </c>
      <c r="C173" t="s">
        <v>31</v>
      </c>
      <c r="D173" s="5">
        <v>33958</v>
      </c>
      <c r="E173" s="5">
        <v>45691</v>
      </c>
      <c r="F173" t="s">
        <v>1300</v>
      </c>
      <c r="G173" t="s">
        <v>52</v>
      </c>
      <c r="H173" t="s">
        <v>23</v>
      </c>
      <c r="I173" t="s">
        <v>34</v>
      </c>
      <c r="J173">
        <v>9780000</v>
      </c>
      <c r="K173">
        <v>4</v>
      </c>
      <c r="L173">
        <v>3</v>
      </c>
      <c r="M173">
        <v>19</v>
      </c>
      <c r="N173" t="s">
        <v>41</v>
      </c>
      <c r="P173" t="s">
        <v>36</v>
      </c>
      <c r="Q173" s="5"/>
      <c r="S173">
        <f>DATEDIF(D173,DATE(2026,9,30),"Y")</f>
        <v>33</v>
      </c>
      <c r="T173" s="6">
        <f>(IF(Q173="",DATE(2026,9,30),Q173)-E173)/365.25</f>
        <v>1.6536618754277892</v>
      </c>
      <c r="U173" t="str">
        <f>_xlfn.XLOOKUP(Table1_1[[#This Row],[Bo''lim]],Bolimlar!A:A,Bolimlar!B:B,"Topilmadi")</f>
        <v>Shahlo Ismoilova</v>
      </c>
      <c r="V173">
        <f>IF(P173="Ha",1,0)</f>
        <v>0</v>
      </c>
      <c r="W173" t="str">
        <f>IF(T173&lt;1,"1 yildan kam",IF(T173&lt;3,"1-3 yil","3 yildan ko'p"))</f>
        <v>1-3 yil</v>
      </c>
    </row>
    <row r="174" spans="1:23" x14ac:dyDescent="0.3">
      <c r="A174" t="s">
        <v>1058</v>
      </c>
      <c r="B174" t="s">
        <v>697</v>
      </c>
      <c r="C174" t="s">
        <v>20</v>
      </c>
      <c r="D174" s="5">
        <v>38160</v>
      </c>
      <c r="E174" s="5">
        <v>46059</v>
      </c>
      <c r="F174" t="s">
        <v>21</v>
      </c>
      <c r="G174" t="s">
        <v>32</v>
      </c>
      <c r="H174" t="s">
        <v>68</v>
      </c>
      <c r="I174" t="s">
        <v>24</v>
      </c>
      <c r="J174">
        <v>9680000</v>
      </c>
      <c r="K174">
        <v>3</v>
      </c>
      <c r="L174">
        <v>1</v>
      </c>
      <c r="M174">
        <v>8</v>
      </c>
      <c r="N174" t="s">
        <v>41</v>
      </c>
      <c r="O174" t="s">
        <v>26</v>
      </c>
      <c r="P174" t="s">
        <v>36</v>
      </c>
      <c r="Q174" s="5"/>
      <c r="S174">
        <f>DATEDIF(D174,DATE(2026,9,30),"Y")</f>
        <v>22</v>
      </c>
      <c r="T174" s="6">
        <f>(IF(Q174="",DATE(2026,9,30),Q174)-E174)/365.25</f>
        <v>0.6461327857631759</v>
      </c>
      <c r="U174" t="str">
        <f>_xlfn.XLOOKUP(Table1_1[[#This Row],[Bo''lim]],Bolimlar!A:A,Bolimlar!B:B,"Topilmadi")</f>
        <v>Jasur Yusupov</v>
      </c>
      <c r="V174">
        <f>IF(P174="Ha",1,0)</f>
        <v>0</v>
      </c>
      <c r="W174" t="str">
        <f>IF(T174&lt;1,"1 yildan kam",IF(T174&lt;3,"1-3 yil","3 yildan ko'p"))</f>
        <v>1 yildan kam</v>
      </c>
    </row>
    <row r="175" spans="1:23" x14ac:dyDescent="0.3">
      <c r="A175" t="s">
        <v>1033</v>
      </c>
      <c r="B175" t="s">
        <v>135</v>
      </c>
      <c r="C175" t="s">
        <v>31</v>
      </c>
      <c r="D175" s="5">
        <v>34868</v>
      </c>
      <c r="E175" s="5">
        <v>45027</v>
      </c>
      <c r="F175" t="s">
        <v>21</v>
      </c>
      <c r="G175" t="s">
        <v>103</v>
      </c>
      <c r="H175" t="s">
        <v>68</v>
      </c>
      <c r="I175" t="s">
        <v>24</v>
      </c>
      <c r="J175">
        <v>9660000</v>
      </c>
      <c r="K175">
        <v>4</v>
      </c>
      <c r="L175">
        <v>4</v>
      </c>
      <c r="M175">
        <v>20</v>
      </c>
      <c r="N175" t="s">
        <v>41</v>
      </c>
      <c r="O175" t="s">
        <v>35</v>
      </c>
      <c r="P175" t="s">
        <v>36</v>
      </c>
      <c r="Q175" s="5"/>
      <c r="S175">
        <f>DATEDIF(D175,DATE(2026,9,30),"Y")</f>
        <v>31</v>
      </c>
      <c r="T175" s="6">
        <f>(IF(Q175="",DATE(2026,9,30),Q175)-E175)/365.25</f>
        <v>3.4715947980835042</v>
      </c>
      <c r="U175" t="str">
        <f>_xlfn.XLOOKUP(Table1_1[[#This Row],[Bo''lim]],Bolimlar!A:A,Bolimlar!B:B,"Topilmadi")</f>
        <v>Jasur Yusupov</v>
      </c>
      <c r="V175">
        <f>IF(P175="Ha",1,0)</f>
        <v>0</v>
      </c>
      <c r="W175" t="str">
        <f>IF(T175&lt;1,"1 yildan kam",IF(T175&lt;3,"1-3 yil","3 yildan ko'p"))</f>
        <v>3 yildan ko'p</v>
      </c>
    </row>
    <row r="176" spans="1:23" x14ac:dyDescent="0.3">
      <c r="A176" t="s">
        <v>358</v>
      </c>
      <c r="B176" t="s">
        <v>359</v>
      </c>
      <c r="C176" t="s">
        <v>31</v>
      </c>
      <c r="D176" s="5">
        <v>32666</v>
      </c>
      <c r="E176" s="5">
        <v>45081</v>
      </c>
      <c r="F176" t="s">
        <v>484</v>
      </c>
      <c r="G176" t="s">
        <v>115</v>
      </c>
      <c r="H176" t="s">
        <v>23</v>
      </c>
      <c r="I176" t="s">
        <v>24</v>
      </c>
      <c r="J176">
        <v>9610000</v>
      </c>
      <c r="K176">
        <v>1</v>
      </c>
      <c r="L176">
        <v>2</v>
      </c>
      <c r="M176">
        <v>12</v>
      </c>
      <c r="N176" t="s">
        <v>41</v>
      </c>
      <c r="O176" t="s">
        <v>26</v>
      </c>
      <c r="P176" t="s">
        <v>36</v>
      </c>
      <c r="Q176" s="5"/>
      <c r="S176">
        <f>DATEDIF(D176,DATE(2026,9,30),"Y")</f>
        <v>37</v>
      </c>
      <c r="T176" s="6">
        <f>(IF(Q176="",DATE(2026,9,30),Q176)-E176)/365.25</f>
        <v>3.3237508555783708</v>
      </c>
      <c r="U176" t="str">
        <f>_xlfn.XLOOKUP(Table1_1[[#This Row],[Bo''lim]],Bolimlar!A:A,Bolimlar!B:B,"Topilmadi")</f>
        <v>Sardor Nazarov</v>
      </c>
      <c r="V176">
        <f>IF(P176="Ha",1,0)</f>
        <v>0</v>
      </c>
      <c r="W176" t="str">
        <f>IF(T176&lt;1,"1 yildan kam",IF(T176&lt;3,"1-3 yil","3 yildan ko'p"))</f>
        <v>3 yildan ko'p</v>
      </c>
    </row>
    <row r="177" spans="1:23" x14ac:dyDescent="0.3">
      <c r="A177" t="s">
        <v>153</v>
      </c>
      <c r="B177" t="s">
        <v>154</v>
      </c>
      <c r="C177" t="s">
        <v>20</v>
      </c>
      <c r="D177" s="5">
        <v>34092</v>
      </c>
      <c r="E177" s="5">
        <v>45614</v>
      </c>
      <c r="F177" t="s">
        <v>21</v>
      </c>
      <c r="G177" t="s">
        <v>22</v>
      </c>
      <c r="H177" t="s">
        <v>68</v>
      </c>
      <c r="I177" t="s">
        <v>34</v>
      </c>
      <c r="J177">
        <v>9560000</v>
      </c>
      <c r="K177">
        <v>4</v>
      </c>
      <c r="L177">
        <v>3</v>
      </c>
      <c r="M177">
        <v>12</v>
      </c>
      <c r="N177" t="s">
        <v>25</v>
      </c>
      <c r="O177" t="s">
        <v>26</v>
      </c>
      <c r="P177" t="s">
        <v>27</v>
      </c>
      <c r="Q177" s="5">
        <v>46158</v>
      </c>
      <c r="R177" t="s">
        <v>155</v>
      </c>
      <c r="S177">
        <f>DATEDIF(D177,DATE(2026,9,30),"Y")</f>
        <v>33</v>
      </c>
      <c r="T177" s="6">
        <f>(IF(Q177="",DATE(2026,9,30),Q177)-E177)/365.25</f>
        <v>1.4893908281998631</v>
      </c>
      <c r="U177" t="str">
        <f>_xlfn.XLOOKUP(Table1_1[[#This Row],[Bo''lim]],Bolimlar!A:A,Bolimlar!B:B,"Topilmadi")</f>
        <v>Jasur Yusupov</v>
      </c>
      <c r="V177">
        <f>IF(P177="Ha",1,0)</f>
        <v>1</v>
      </c>
      <c r="W177" t="str">
        <f>IF(T177&lt;1,"1 yildan kam",IF(T177&lt;3,"1-3 yil","3 yildan ko'p"))</f>
        <v>1-3 yil</v>
      </c>
    </row>
    <row r="178" spans="1:23" x14ac:dyDescent="0.3">
      <c r="A178" t="s">
        <v>1206</v>
      </c>
      <c r="B178" t="s">
        <v>543</v>
      </c>
      <c r="C178" t="s">
        <v>31</v>
      </c>
      <c r="D178" s="5">
        <v>31235</v>
      </c>
      <c r="E178" s="5">
        <v>43402</v>
      </c>
      <c r="F178" t="s">
        <v>484</v>
      </c>
      <c r="G178" t="s">
        <v>150</v>
      </c>
      <c r="H178" t="s">
        <v>23</v>
      </c>
      <c r="I178" t="s">
        <v>24</v>
      </c>
      <c r="J178">
        <v>9550000</v>
      </c>
      <c r="K178">
        <v>3</v>
      </c>
      <c r="L178">
        <v>2</v>
      </c>
      <c r="M178">
        <v>10</v>
      </c>
      <c r="N178" t="s">
        <v>88</v>
      </c>
      <c r="O178" t="s">
        <v>26</v>
      </c>
      <c r="P178" t="s">
        <v>36</v>
      </c>
      <c r="Q178" s="5"/>
      <c r="S178">
        <f>DATEDIF(D178,DATE(2026,9,30),"Y")</f>
        <v>41</v>
      </c>
      <c r="T178" s="6">
        <f>(IF(Q178="",DATE(2026,9,30),Q178)-E178)/365.25</f>
        <v>7.9206023271731691</v>
      </c>
      <c r="U178" t="str">
        <f>_xlfn.XLOOKUP(Table1_1[[#This Row],[Bo''lim]],Bolimlar!A:A,Bolimlar!B:B,"Topilmadi")</f>
        <v>Sardor Nazarov</v>
      </c>
      <c r="V178">
        <f>IF(P178="Ha",1,0)</f>
        <v>0</v>
      </c>
      <c r="W178" t="str">
        <f>IF(T178&lt;1,"1 yildan kam",IF(T178&lt;3,"1-3 yil","3 yildan ko'p"))</f>
        <v>3 yildan ko'p</v>
      </c>
    </row>
    <row r="179" spans="1:23" x14ac:dyDescent="0.3">
      <c r="A179" t="s">
        <v>1191</v>
      </c>
      <c r="B179" t="s">
        <v>428</v>
      </c>
      <c r="C179" t="s">
        <v>31</v>
      </c>
      <c r="D179" s="5">
        <v>37737</v>
      </c>
      <c r="E179" s="5">
        <v>46059</v>
      </c>
      <c r="F179" t="s">
        <v>484</v>
      </c>
      <c r="G179" t="s">
        <v>150</v>
      </c>
      <c r="H179" t="s">
        <v>23</v>
      </c>
      <c r="I179" t="s">
        <v>206</v>
      </c>
      <c r="J179">
        <v>9530000</v>
      </c>
      <c r="K179">
        <v>4</v>
      </c>
      <c r="L179">
        <v>4</v>
      </c>
      <c r="M179">
        <v>17</v>
      </c>
      <c r="N179" t="s">
        <v>25</v>
      </c>
      <c r="O179" t="s">
        <v>26</v>
      </c>
      <c r="P179" t="s">
        <v>36</v>
      </c>
      <c r="Q179" s="5"/>
      <c r="S179">
        <f>DATEDIF(D179,DATE(2026,9,30),"Y")</f>
        <v>23</v>
      </c>
      <c r="T179" s="6">
        <f>(IF(Q179="",DATE(2026,9,30),Q179)-E179)/365.25</f>
        <v>0.6461327857631759</v>
      </c>
      <c r="U179" t="str">
        <f>_xlfn.XLOOKUP(Table1_1[[#This Row],[Bo''lim]],Bolimlar!A:A,Bolimlar!B:B,"Topilmadi")</f>
        <v>Sardor Nazarov</v>
      </c>
      <c r="V179">
        <f>IF(P179="Ha",1,0)</f>
        <v>0</v>
      </c>
      <c r="W179" t="str">
        <f>IF(T179&lt;1,"1 yildan kam",IF(T179&lt;3,"1-3 yil","3 yildan ko'p"))</f>
        <v>1 yildan kam</v>
      </c>
    </row>
    <row r="180" spans="1:23" x14ac:dyDescent="0.3">
      <c r="A180" t="s">
        <v>1036</v>
      </c>
      <c r="B180" t="s">
        <v>386</v>
      </c>
      <c r="C180" t="s">
        <v>31</v>
      </c>
      <c r="D180" s="5">
        <v>35572</v>
      </c>
      <c r="E180" s="5">
        <v>44534</v>
      </c>
      <c r="F180" t="s">
        <v>1300</v>
      </c>
      <c r="G180" t="s">
        <v>93</v>
      </c>
      <c r="H180" t="s">
        <v>23</v>
      </c>
      <c r="I180" t="s">
        <v>34</v>
      </c>
      <c r="J180">
        <v>9520000</v>
      </c>
      <c r="K180">
        <v>4</v>
      </c>
      <c r="L180">
        <v>2</v>
      </c>
      <c r="M180">
        <v>9</v>
      </c>
      <c r="N180" t="s">
        <v>41</v>
      </c>
      <c r="O180" t="s">
        <v>26</v>
      </c>
      <c r="P180" t="s">
        <v>27</v>
      </c>
      <c r="Q180" s="5">
        <v>45878</v>
      </c>
      <c r="R180" t="s">
        <v>155</v>
      </c>
      <c r="S180">
        <f>DATEDIF(D180,DATE(2026,9,30),"Y")</f>
        <v>29</v>
      </c>
      <c r="T180" s="6">
        <f>(IF(Q180="",DATE(2026,9,30),Q180)-E180)/365.25</f>
        <v>3.6796714579055441</v>
      </c>
      <c r="U180" t="str">
        <f>_xlfn.XLOOKUP(Table1_1[[#This Row],[Bo''lim]],Bolimlar!A:A,Bolimlar!B:B,"Topilmadi")</f>
        <v>Shahlo Ismoilova</v>
      </c>
      <c r="V180">
        <f>IF(P180="Ha",1,0)</f>
        <v>1</v>
      </c>
      <c r="W180" t="str">
        <f>IF(T180&lt;1,"1 yildan kam",IF(T180&lt;3,"1-3 yil","3 yildan ko'p"))</f>
        <v>3 yildan ko'p</v>
      </c>
    </row>
    <row r="181" spans="1:23" x14ac:dyDescent="0.3">
      <c r="A181" t="s">
        <v>310</v>
      </c>
      <c r="B181" t="s">
        <v>311</v>
      </c>
      <c r="C181" t="s">
        <v>31</v>
      </c>
      <c r="D181" s="5">
        <v>37183</v>
      </c>
      <c r="E181" s="5">
        <v>44909</v>
      </c>
      <c r="F181" t="s">
        <v>21</v>
      </c>
      <c r="G181" t="s">
        <v>32</v>
      </c>
      <c r="H181" t="s">
        <v>68</v>
      </c>
      <c r="I181" t="s">
        <v>44</v>
      </c>
      <c r="J181">
        <v>9480000</v>
      </c>
      <c r="K181">
        <v>3</v>
      </c>
      <c r="L181">
        <v>1</v>
      </c>
      <c r="M181">
        <v>12</v>
      </c>
      <c r="N181" t="s">
        <v>41</v>
      </c>
      <c r="O181" t="s">
        <v>53</v>
      </c>
      <c r="P181" t="s">
        <v>27</v>
      </c>
      <c r="Q181" s="5">
        <v>45959</v>
      </c>
      <c r="R181" t="s">
        <v>61</v>
      </c>
      <c r="S181">
        <f>DATEDIF(D181,DATE(2026,9,30),"Y")</f>
        <v>24</v>
      </c>
      <c r="T181" s="6">
        <f>(IF(Q181="",DATE(2026,9,30),Q181)-E181)/365.25</f>
        <v>2.8747433264887063</v>
      </c>
      <c r="U181" t="str">
        <f>_xlfn.XLOOKUP(Table1_1[[#This Row],[Bo''lim]],Bolimlar!A:A,Bolimlar!B:B,"Topilmadi")</f>
        <v>Jasur Yusupov</v>
      </c>
      <c r="V181">
        <f>IF(P181="Ha",1,0)</f>
        <v>1</v>
      </c>
      <c r="W181" t="str">
        <f>IF(T181&lt;1,"1 yildan kam",IF(T181&lt;3,"1-3 yil","3 yildan ko'p"))</f>
        <v>1-3 yil</v>
      </c>
    </row>
    <row r="182" spans="1:23" x14ac:dyDescent="0.3">
      <c r="A182" t="s">
        <v>1044</v>
      </c>
      <c r="B182" t="s">
        <v>1045</v>
      </c>
      <c r="C182" t="s">
        <v>20</v>
      </c>
      <c r="D182" s="5">
        <v>37160</v>
      </c>
      <c r="E182" s="5">
        <v>45308</v>
      </c>
      <c r="F182" t="s">
        <v>21</v>
      </c>
      <c r="G182" t="s">
        <v>103</v>
      </c>
      <c r="H182" t="s">
        <v>68</v>
      </c>
      <c r="I182" t="s">
        <v>24</v>
      </c>
      <c r="J182">
        <v>9460000</v>
      </c>
      <c r="K182">
        <v>4</v>
      </c>
      <c r="L182">
        <v>2</v>
      </c>
      <c r="M182">
        <v>7</v>
      </c>
      <c r="N182" t="s">
        <v>41</v>
      </c>
      <c r="O182" t="s">
        <v>26</v>
      </c>
      <c r="P182" t="s">
        <v>27</v>
      </c>
      <c r="Q182" s="5">
        <v>45767</v>
      </c>
      <c r="R182" t="s">
        <v>61</v>
      </c>
      <c r="S182">
        <f>DATEDIF(D182,DATE(2026,9,30),"Y")</f>
        <v>25</v>
      </c>
      <c r="T182" s="6">
        <f>(IF(Q182="",DATE(2026,9,30),Q182)-E182)/365.25</f>
        <v>1.2566735112936345</v>
      </c>
      <c r="U182" t="str">
        <f>_xlfn.XLOOKUP(Table1_1[[#This Row],[Bo''lim]],Bolimlar!A:A,Bolimlar!B:B,"Topilmadi")</f>
        <v>Jasur Yusupov</v>
      </c>
      <c r="V182">
        <f>IF(P182="Ha",1,0)</f>
        <v>1</v>
      </c>
      <c r="W182" t="str">
        <f>IF(T182&lt;1,"1 yildan kam",IF(T182&lt;3,"1-3 yil","3 yildan ko'p"))</f>
        <v>1-3 yil</v>
      </c>
    </row>
    <row r="183" spans="1:23" x14ac:dyDescent="0.3">
      <c r="A183" t="s">
        <v>83</v>
      </c>
      <c r="B183" t="s">
        <v>84</v>
      </c>
      <c r="C183" t="s">
        <v>31</v>
      </c>
      <c r="D183" s="5">
        <v>34872</v>
      </c>
      <c r="E183" s="5">
        <v>45688</v>
      </c>
      <c r="F183" t="s">
        <v>1226</v>
      </c>
      <c r="G183" t="s">
        <v>57</v>
      </c>
      <c r="H183" t="s">
        <v>68</v>
      </c>
      <c r="I183" t="s">
        <v>82</v>
      </c>
      <c r="J183">
        <v>9450000</v>
      </c>
      <c r="K183">
        <v>2</v>
      </c>
      <c r="L183">
        <v>2</v>
      </c>
      <c r="M183">
        <v>0</v>
      </c>
      <c r="N183" t="s">
        <v>41</v>
      </c>
      <c r="O183" t="s">
        <v>53</v>
      </c>
      <c r="P183" t="s">
        <v>27</v>
      </c>
      <c r="Q183" s="5">
        <v>46211</v>
      </c>
      <c r="R183" t="s">
        <v>61</v>
      </c>
      <c r="S183">
        <f>DATEDIF(D183,DATE(2026,9,30),"Y")</f>
        <v>31</v>
      </c>
      <c r="T183" s="6">
        <f>(IF(Q183="",DATE(2026,9,30),Q183)-E183)/365.25</f>
        <v>1.431895961670089</v>
      </c>
      <c r="U183" t="str">
        <f>_xlfn.XLOOKUP(Table1_1[[#This Row],[Bo''lim]],Bolimlar!A:A,Bolimlar!B:B,"Topilmadi")</f>
        <v>Madina Abdullayeva</v>
      </c>
      <c r="V183">
        <f>IF(P183="Ha",1,0)</f>
        <v>1</v>
      </c>
      <c r="W183" t="str">
        <f>IF(T183&lt;1,"1 yildan kam",IF(T183&lt;3,"1-3 yil","3 yildan ko'p"))</f>
        <v>1-3 yil</v>
      </c>
    </row>
    <row r="184" spans="1:23" x14ac:dyDescent="0.3">
      <c r="A184" t="s">
        <v>278</v>
      </c>
      <c r="B184" t="s">
        <v>279</v>
      </c>
      <c r="C184" t="s">
        <v>20</v>
      </c>
      <c r="D184" s="5">
        <v>31212</v>
      </c>
      <c r="E184" s="5">
        <v>43059</v>
      </c>
      <c r="F184" t="s">
        <v>1300</v>
      </c>
      <c r="G184" t="s">
        <v>93</v>
      </c>
      <c r="H184" t="s">
        <v>23</v>
      </c>
      <c r="I184" t="s">
        <v>24</v>
      </c>
      <c r="J184">
        <v>9390000</v>
      </c>
      <c r="K184">
        <v>5</v>
      </c>
      <c r="L184">
        <v>1</v>
      </c>
      <c r="M184">
        <v>27</v>
      </c>
      <c r="N184" t="s">
        <v>41</v>
      </c>
      <c r="O184" t="s">
        <v>26</v>
      </c>
      <c r="P184" t="s">
        <v>36</v>
      </c>
      <c r="Q184" s="5"/>
      <c r="S184">
        <f>DATEDIF(D184,DATE(2026,9,30),"Y")</f>
        <v>41</v>
      </c>
      <c r="T184" s="6">
        <f>(IF(Q184="",DATE(2026,9,30),Q184)-E184)/365.25</f>
        <v>8.85968514715948</v>
      </c>
      <c r="U184" t="str">
        <f>_xlfn.XLOOKUP(Table1_1[[#This Row],[Bo''lim]],Bolimlar!A:A,Bolimlar!B:B,"Topilmadi")</f>
        <v>Shahlo Ismoilova</v>
      </c>
      <c r="V184">
        <f>IF(P184="Ha",1,0)</f>
        <v>0</v>
      </c>
      <c r="W184" t="str">
        <f>IF(T184&lt;1,"1 yildan kam",IF(T184&lt;3,"1-3 yil","3 yildan ko'p"))</f>
        <v>3 yildan ko'p</v>
      </c>
    </row>
    <row r="185" spans="1:23" x14ac:dyDescent="0.3">
      <c r="A185" t="s">
        <v>890</v>
      </c>
      <c r="B185" t="s">
        <v>857</v>
      </c>
      <c r="C185" t="s">
        <v>31</v>
      </c>
      <c r="D185" s="5">
        <v>31874</v>
      </c>
      <c r="E185" s="5">
        <v>45702</v>
      </c>
      <c r="F185" t="s">
        <v>1300</v>
      </c>
      <c r="G185" t="s">
        <v>93</v>
      </c>
      <c r="H185" t="s">
        <v>23</v>
      </c>
      <c r="I185" t="s">
        <v>24</v>
      </c>
      <c r="J185">
        <v>9370000</v>
      </c>
      <c r="K185">
        <v>5</v>
      </c>
      <c r="L185">
        <v>2</v>
      </c>
      <c r="M185">
        <v>2</v>
      </c>
      <c r="N185" t="s">
        <v>41</v>
      </c>
      <c r="O185" t="s">
        <v>26</v>
      </c>
      <c r="P185" t="s">
        <v>36</v>
      </c>
      <c r="Q185" s="5"/>
      <c r="S185">
        <f>DATEDIF(D185,DATE(2026,9,30),"Y")</f>
        <v>39</v>
      </c>
      <c r="T185" s="6">
        <f>(IF(Q185="",DATE(2026,9,30),Q185)-E185)/365.25</f>
        <v>1.623545516769336</v>
      </c>
      <c r="U185" t="str">
        <f>_xlfn.XLOOKUP(Table1_1[[#This Row],[Bo''lim]],Bolimlar!A:A,Bolimlar!B:B,"Topilmadi")</f>
        <v>Shahlo Ismoilova</v>
      </c>
      <c r="V185">
        <f>IF(P185="Ha",1,0)</f>
        <v>0</v>
      </c>
      <c r="W185" t="str">
        <f>IF(T185&lt;1,"1 yildan kam",IF(T185&lt;3,"1-3 yil","3 yildan ko'p"))</f>
        <v>1-3 yil</v>
      </c>
    </row>
    <row r="186" spans="1:23" x14ac:dyDescent="0.3">
      <c r="A186" t="s">
        <v>1146</v>
      </c>
      <c r="B186" t="s">
        <v>1147</v>
      </c>
      <c r="C186" t="s">
        <v>20</v>
      </c>
      <c r="D186" s="5">
        <v>32702</v>
      </c>
      <c r="E186" s="5">
        <v>45350</v>
      </c>
      <c r="F186" t="s">
        <v>1300</v>
      </c>
      <c r="G186" t="s">
        <v>93</v>
      </c>
      <c r="H186" t="s">
        <v>23</v>
      </c>
      <c r="I186" t="s">
        <v>24</v>
      </c>
      <c r="J186">
        <v>9360000</v>
      </c>
      <c r="K186">
        <v>3</v>
      </c>
      <c r="L186">
        <v>4</v>
      </c>
      <c r="M186">
        <v>24</v>
      </c>
      <c r="N186" t="s">
        <v>88</v>
      </c>
      <c r="O186" t="s">
        <v>26</v>
      </c>
      <c r="P186" t="s">
        <v>36</v>
      </c>
      <c r="Q186" s="5"/>
      <c r="S186">
        <f>DATEDIF(D186,DATE(2026,9,30),"Y")</f>
        <v>37</v>
      </c>
      <c r="T186" s="6">
        <f>(IF(Q186="",DATE(2026,9,30),Q186)-E186)/365.25</f>
        <v>2.5872689938398357</v>
      </c>
      <c r="U186" t="str">
        <f>_xlfn.XLOOKUP(Table1_1[[#This Row],[Bo''lim]],Bolimlar!A:A,Bolimlar!B:B,"Topilmadi")</f>
        <v>Shahlo Ismoilova</v>
      </c>
      <c r="V186">
        <f>IF(P186="Ha",1,0)</f>
        <v>0</v>
      </c>
      <c r="W186" t="str">
        <f>IF(T186&lt;1,"1 yildan kam",IF(T186&lt;3,"1-3 yil","3 yildan ko'p"))</f>
        <v>1-3 yil</v>
      </c>
    </row>
    <row r="187" spans="1:23" x14ac:dyDescent="0.3">
      <c r="A187" t="s">
        <v>581</v>
      </c>
      <c r="B187" t="s">
        <v>265</v>
      </c>
      <c r="C187" t="s">
        <v>31</v>
      </c>
      <c r="D187" s="5">
        <v>31194</v>
      </c>
      <c r="E187" s="5">
        <v>42988</v>
      </c>
      <c r="F187" t="s">
        <v>1226</v>
      </c>
      <c r="G187" t="s">
        <v>60</v>
      </c>
      <c r="H187" t="s">
        <v>68</v>
      </c>
      <c r="I187" t="s">
        <v>82</v>
      </c>
      <c r="J187">
        <v>9330000</v>
      </c>
      <c r="K187">
        <v>5</v>
      </c>
      <c r="L187">
        <v>1</v>
      </c>
      <c r="M187">
        <v>0</v>
      </c>
      <c r="N187" t="s">
        <v>41</v>
      </c>
      <c r="O187" t="s">
        <v>26</v>
      </c>
      <c r="P187" t="s">
        <v>36</v>
      </c>
      <c r="Q187" s="5"/>
      <c r="S187">
        <f>DATEDIF(D187,DATE(2026,9,30),"Y")</f>
        <v>41</v>
      </c>
      <c r="T187" s="6">
        <f>(IF(Q187="",DATE(2026,9,30),Q187)-E187)/365.25</f>
        <v>9.0540725530458595</v>
      </c>
      <c r="U187" t="str">
        <f>_xlfn.XLOOKUP(Table1_1[[#This Row],[Bo''lim]],Bolimlar!A:A,Bolimlar!B:B,"Topilmadi")</f>
        <v>Madina Abdullayeva</v>
      </c>
      <c r="V187">
        <f>IF(P187="Ha",1,0)</f>
        <v>0</v>
      </c>
      <c r="W187" t="str">
        <f>IF(T187&lt;1,"1 yildan kam",IF(T187&lt;3,"1-3 yil","3 yildan ko'p"))</f>
        <v>3 yildan ko'p</v>
      </c>
    </row>
    <row r="188" spans="1:23" x14ac:dyDescent="0.3">
      <c r="A188" t="s">
        <v>741</v>
      </c>
      <c r="B188" t="s">
        <v>742</v>
      </c>
      <c r="C188" t="s">
        <v>20</v>
      </c>
      <c r="D188" s="5">
        <v>33298</v>
      </c>
      <c r="E188" s="5">
        <v>43290</v>
      </c>
      <c r="F188" t="s">
        <v>245</v>
      </c>
      <c r="G188" t="s">
        <v>48</v>
      </c>
      <c r="H188" t="s">
        <v>68</v>
      </c>
      <c r="I188" t="s">
        <v>24</v>
      </c>
      <c r="J188">
        <v>9270000</v>
      </c>
      <c r="L188">
        <v>4</v>
      </c>
      <c r="M188">
        <v>8</v>
      </c>
      <c r="N188" t="s">
        <v>41</v>
      </c>
      <c r="O188" t="s">
        <v>26</v>
      </c>
      <c r="P188" t="s">
        <v>36</v>
      </c>
      <c r="Q188" s="5"/>
      <c r="S188">
        <f>DATEDIF(D188,DATE(2026,9,30),"Y")</f>
        <v>35</v>
      </c>
      <c r="T188" s="6">
        <f>(IF(Q188="",DATE(2026,9,30),Q188)-E188)/365.25</f>
        <v>8.2272416153319643</v>
      </c>
      <c r="U188" t="str">
        <f>_xlfn.XLOOKUP(Table1_1[[#This Row],[Bo''lim]],Bolimlar!A:A,Bolimlar!B:B,"Topilmadi")</f>
        <v>Dilnoza Rahimova</v>
      </c>
      <c r="V188">
        <f>IF(P188="Ha",1,0)</f>
        <v>0</v>
      </c>
      <c r="W188" t="str">
        <f>IF(T188&lt;1,"1 yildan kam",IF(T188&lt;3,"1-3 yil","3 yildan ko'p"))</f>
        <v>3 yildan ko'p</v>
      </c>
    </row>
    <row r="189" spans="1:23" x14ac:dyDescent="0.3">
      <c r="A189" t="s">
        <v>85</v>
      </c>
      <c r="B189" t="s">
        <v>86</v>
      </c>
      <c r="C189" t="s">
        <v>20</v>
      </c>
      <c r="D189" s="5">
        <v>30795</v>
      </c>
      <c r="E189" s="5">
        <v>44740</v>
      </c>
      <c r="F189" t="s">
        <v>245</v>
      </c>
      <c r="G189" t="s">
        <v>48</v>
      </c>
      <c r="H189" t="s">
        <v>68</v>
      </c>
      <c r="I189" t="s">
        <v>34</v>
      </c>
      <c r="J189">
        <v>9240000</v>
      </c>
      <c r="K189">
        <v>4</v>
      </c>
      <c r="L189">
        <v>5</v>
      </c>
      <c r="M189">
        <v>9</v>
      </c>
      <c r="N189" t="s">
        <v>88</v>
      </c>
      <c r="O189" t="s">
        <v>53</v>
      </c>
      <c r="P189" t="s">
        <v>36</v>
      </c>
      <c r="Q189" s="5"/>
      <c r="S189">
        <f>DATEDIF(D189,DATE(2026,9,30),"Y")</f>
        <v>42</v>
      </c>
      <c r="T189" s="6">
        <f>(IF(Q189="",DATE(2026,9,30),Q189)-E189)/365.25</f>
        <v>4.2573579739904179</v>
      </c>
      <c r="U189" t="str">
        <f>_xlfn.XLOOKUP(Table1_1[[#This Row],[Bo''lim]],Bolimlar!A:A,Bolimlar!B:B,"Topilmadi")</f>
        <v>Dilnoza Rahimova</v>
      </c>
      <c r="V189">
        <f>IF(P189="Ha",1,0)</f>
        <v>0</v>
      </c>
      <c r="W189" t="str">
        <f>IF(T189&lt;1,"1 yildan kam",IF(T189&lt;3,"1-3 yil","3 yildan ko'p"))</f>
        <v>3 yildan ko'p</v>
      </c>
    </row>
    <row r="190" spans="1:23" x14ac:dyDescent="0.3">
      <c r="A190" t="s">
        <v>414</v>
      </c>
      <c r="B190" t="s">
        <v>415</v>
      </c>
      <c r="C190" t="s">
        <v>20</v>
      </c>
      <c r="D190" s="5">
        <v>30474</v>
      </c>
      <c r="E190" s="5">
        <v>42720</v>
      </c>
      <c r="F190" t="s">
        <v>21</v>
      </c>
      <c r="G190" t="s">
        <v>32</v>
      </c>
      <c r="H190" t="s">
        <v>68</v>
      </c>
      <c r="I190" t="s">
        <v>24</v>
      </c>
      <c r="J190">
        <v>9240000</v>
      </c>
      <c r="K190">
        <v>3</v>
      </c>
      <c r="L190">
        <v>3</v>
      </c>
      <c r="M190">
        <v>29</v>
      </c>
      <c r="N190" t="s">
        <v>25</v>
      </c>
      <c r="O190" t="s">
        <v>26</v>
      </c>
      <c r="P190" t="s">
        <v>36</v>
      </c>
      <c r="Q190" s="5"/>
      <c r="S190">
        <f>DATEDIF(D190,DATE(2026,9,30),"Y")</f>
        <v>43</v>
      </c>
      <c r="T190" s="6">
        <f>(IF(Q190="",DATE(2026,9,30),Q190)-E190)/365.25</f>
        <v>9.7878165639972625</v>
      </c>
      <c r="U190" t="str">
        <f>_xlfn.XLOOKUP(Table1_1[[#This Row],[Bo''lim]],Bolimlar!A:A,Bolimlar!B:B,"Topilmadi")</f>
        <v>Jasur Yusupov</v>
      </c>
      <c r="V190">
        <f>IF(P190="Ha",1,0)</f>
        <v>0</v>
      </c>
      <c r="W190" t="str">
        <f>IF(T190&lt;1,"1 yildan kam",IF(T190&lt;3,"1-3 yil","3 yildan ko'p"))</f>
        <v>3 yildan ko'p</v>
      </c>
    </row>
    <row r="191" spans="1:23" x14ac:dyDescent="0.3">
      <c r="A191" t="s">
        <v>780</v>
      </c>
      <c r="B191" t="s">
        <v>606</v>
      </c>
      <c r="C191" t="s">
        <v>31</v>
      </c>
      <c r="D191" s="5">
        <v>32696</v>
      </c>
      <c r="E191" s="5">
        <v>43779</v>
      </c>
      <c r="F191" t="s">
        <v>484</v>
      </c>
      <c r="G191" t="s">
        <v>196</v>
      </c>
      <c r="H191" t="s">
        <v>23</v>
      </c>
      <c r="I191" t="s">
        <v>24</v>
      </c>
      <c r="J191">
        <v>9220000</v>
      </c>
      <c r="K191">
        <v>3</v>
      </c>
      <c r="L191">
        <v>3</v>
      </c>
      <c r="M191">
        <v>15</v>
      </c>
      <c r="N191" t="s">
        <v>41</v>
      </c>
      <c r="O191" t="s">
        <v>35</v>
      </c>
      <c r="P191" t="s">
        <v>36</v>
      </c>
      <c r="Q191" s="5"/>
      <c r="S191">
        <f>DATEDIF(D191,DATE(2026,9,30),"Y")</f>
        <v>37</v>
      </c>
      <c r="T191" s="6">
        <f>(IF(Q191="",DATE(2026,9,30),Q191)-E191)/365.25</f>
        <v>6.8884325804243671</v>
      </c>
      <c r="U191" t="str">
        <f>_xlfn.XLOOKUP(Table1_1[[#This Row],[Bo''lim]],Bolimlar!A:A,Bolimlar!B:B,"Topilmadi")</f>
        <v>Sardor Nazarov</v>
      </c>
      <c r="V191">
        <f>IF(P191="Ha",1,0)</f>
        <v>0</v>
      </c>
      <c r="W191" t="str">
        <f>IF(T191&lt;1,"1 yildan kam",IF(T191&lt;3,"1-3 yil","3 yildan ko'p"))</f>
        <v>3 yildan ko'p</v>
      </c>
    </row>
    <row r="192" spans="1:23" x14ac:dyDescent="0.3">
      <c r="A192" t="s">
        <v>667</v>
      </c>
      <c r="B192" t="s">
        <v>420</v>
      </c>
      <c r="C192" t="s">
        <v>31</v>
      </c>
      <c r="D192" s="5">
        <v>34651</v>
      </c>
      <c r="E192" s="5">
        <v>43761</v>
      </c>
      <c r="F192" t="s">
        <v>1300</v>
      </c>
      <c r="G192" t="s">
        <v>93</v>
      </c>
      <c r="H192" t="s">
        <v>23</v>
      </c>
      <c r="I192" t="s">
        <v>24</v>
      </c>
      <c r="J192">
        <v>9210000</v>
      </c>
      <c r="K192">
        <v>1</v>
      </c>
      <c r="L192">
        <v>2</v>
      </c>
      <c r="M192">
        <v>19</v>
      </c>
      <c r="N192" t="s">
        <v>25</v>
      </c>
      <c r="O192" t="s">
        <v>26</v>
      </c>
      <c r="P192" t="s">
        <v>36</v>
      </c>
      <c r="Q192" s="5"/>
      <c r="S192">
        <f>DATEDIF(D192,DATE(2026,9,30),"Y")</f>
        <v>31</v>
      </c>
      <c r="T192" s="6">
        <f>(IF(Q192="",DATE(2026,9,30),Q192)-E192)/365.25</f>
        <v>6.9377138945927443</v>
      </c>
      <c r="U192" t="str">
        <f>_xlfn.XLOOKUP(Table1_1[[#This Row],[Bo''lim]],Bolimlar!A:A,Bolimlar!B:B,"Topilmadi")</f>
        <v>Shahlo Ismoilova</v>
      </c>
      <c r="V192">
        <f>IF(P192="Ha",1,0)</f>
        <v>0</v>
      </c>
      <c r="W192" t="str">
        <f>IF(T192&lt;1,"1 yildan kam",IF(T192&lt;3,"1-3 yil","3 yildan ko'p"))</f>
        <v>3 yildan ko'p</v>
      </c>
    </row>
    <row r="193" spans="1:23" x14ac:dyDescent="0.3">
      <c r="A193" t="s">
        <v>963</v>
      </c>
      <c r="B193" t="s">
        <v>536</v>
      </c>
      <c r="C193" t="s">
        <v>31</v>
      </c>
      <c r="D193" s="5">
        <v>33886</v>
      </c>
      <c r="E193" s="5">
        <v>46109</v>
      </c>
      <c r="F193" t="s">
        <v>21</v>
      </c>
      <c r="G193" t="s">
        <v>32</v>
      </c>
      <c r="H193" t="s">
        <v>68</v>
      </c>
      <c r="I193" t="s">
        <v>96</v>
      </c>
      <c r="J193">
        <v>9190000</v>
      </c>
      <c r="K193">
        <v>5</v>
      </c>
      <c r="L193">
        <v>4</v>
      </c>
      <c r="M193">
        <v>8</v>
      </c>
      <c r="N193" t="s">
        <v>25</v>
      </c>
      <c r="O193" t="s">
        <v>26</v>
      </c>
      <c r="P193" t="s">
        <v>36</v>
      </c>
      <c r="Q193" s="5"/>
      <c r="S193">
        <f>DATEDIF(D193,DATE(2026,9,30),"Y")</f>
        <v>33</v>
      </c>
      <c r="T193" s="6">
        <f>(IF(Q193="",DATE(2026,9,30),Q193)-E193)/365.25</f>
        <v>0.50924024640657084</v>
      </c>
      <c r="U193" t="str">
        <f>_xlfn.XLOOKUP(Table1_1[[#This Row],[Bo''lim]],Bolimlar!A:A,Bolimlar!B:B,"Topilmadi")</f>
        <v>Jasur Yusupov</v>
      </c>
      <c r="V193">
        <f>IF(P193="Ha",1,0)</f>
        <v>0</v>
      </c>
      <c r="W193" t="str">
        <f>IF(T193&lt;1,"1 yildan kam",IF(T193&lt;3,"1-3 yil","3 yildan ko'p"))</f>
        <v>1 yildan kam</v>
      </c>
    </row>
    <row r="194" spans="1:23" x14ac:dyDescent="0.3">
      <c r="A194" t="s">
        <v>702</v>
      </c>
      <c r="B194" t="s">
        <v>400</v>
      </c>
      <c r="C194" t="s">
        <v>31</v>
      </c>
      <c r="D194" s="5">
        <v>33604</v>
      </c>
      <c r="E194" s="5">
        <v>45499</v>
      </c>
      <c r="F194" t="s">
        <v>21</v>
      </c>
      <c r="G194" t="s">
        <v>103</v>
      </c>
      <c r="H194" t="s">
        <v>68</v>
      </c>
      <c r="I194" t="s">
        <v>24</v>
      </c>
      <c r="J194">
        <v>9180000</v>
      </c>
      <c r="K194">
        <v>3</v>
      </c>
      <c r="L194">
        <v>4</v>
      </c>
      <c r="M194">
        <v>31</v>
      </c>
      <c r="N194" t="s">
        <v>41</v>
      </c>
      <c r="O194" t="s">
        <v>26</v>
      </c>
      <c r="P194" t="s">
        <v>36</v>
      </c>
      <c r="Q194" s="5"/>
      <c r="S194">
        <f>DATEDIF(D194,DATE(2026,9,30),"Y")</f>
        <v>34</v>
      </c>
      <c r="T194" s="6">
        <f>(IF(Q194="",DATE(2026,9,30),Q194)-E194)/365.25</f>
        <v>2.1793292265571527</v>
      </c>
      <c r="U194" t="str">
        <f>_xlfn.XLOOKUP(Table1_1[[#This Row],[Bo''lim]],Bolimlar!A:A,Bolimlar!B:B,"Topilmadi")</f>
        <v>Jasur Yusupov</v>
      </c>
      <c r="V194">
        <f>IF(P194="Ha",1,0)</f>
        <v>0</v>
      </c>
      <c r="W194" t="str">
        <f>IF(T194&lt;1,"1 yildan kam",IF(T194&lt;3,"1-3 yil","3 yildan ko'p"))</f>
        <v>1-3 yil</v>
      </c>
    </row>
    <row r="195" spans="1:23" x14ac:dyDescent="0.3">
      <c r="A195" t="s">
        <v>709</v>
      </c>
      <c r="B195" t="s">
        <v>710</v>
      </c>
      <c r="C195" t="s">
        <v>20</v>
      </c>
      <c r="D195" s="5">
        <v>32648</v>
      </c>
      <c r="E195" s="5">
        <v>45969</v>
      </c>
      <c r="F195" t="s">
        <v>484</v>
      </c>
      <c r="G195" t="s">
        <v>115</v>
      </c>
      <c r="H195" t="s">
        <v>23</v>
      </c>
      <c r="I195" t="s">
        <v>44</v>
      </c>
      <c r="J195">
        <v>9180000</v>
      </c>
      <c r="K195">
        <v>4</v>
      </c>
      <c r="L195">
        <v>2</v>
      </c>
      <c r="M195">
        <v>16</v>
      </c>
      <c r="N195" t="s">
        <v>25</v>
      </c>
      <c r="O195" t="s">
        <v>26</v>
      </c>
      <c r="P195" t="s">
        <v>36</v>
      </c>
      <c r="Q195" s="5"/>
      <c r="S195">
        <f>DATEDIF(D195,DATE(2026,9,30),"Y")</f>
        <v>37</v>
      </c>
      <c r="T195" s="6">
        <f>(IF(Q195="",DATE(2026,9,30),Q195)-E195)/365.25</f>
        <v>0.892539356605065</v>
      </c>
      <c r="U195" t="str">
        <f>_xlfn.XLOOKUP(Table1_1[[#This Row],[Bo''lim]],Bolimlar!A:A,Bolimlar!B:B,"Topilmadi")</f>
        <v>Sardor Nazarov</v>
      </c>
      <c r="V195">
        <f>IF(P195="Ha",1,0)</f>
        <v>0</v>
      </c>
      <c r="W195" t="str">
        <f>IF(T195&lt;1,"1 yildan kam",IF(T195&lt;3,"1-3 yil","3 yildan ko'p"))</f>
        <v>1 yildan kam</v>
      </c>
    </row>
    <row r="196" spans="1:23" x14ac:dyDescent="0.3">
      <c r="A196" t="s">
        <v>1018</v>
      </c>
      <c r="B196" t="s">
        <v>1019</v>
      </c>
      <c r="C196" t="s">
        <v>31</v>
      </c>
      <c r="D196" s="5">
        <v>30625</v>
      </c>
      <c r="E196" s="5">
        <v>44120</v>
      </c>
      <c r="F196" t="s">
        <v>1300</v>
      </c>
      <c r="G196" t="s">
        <v>93</v>
      </c>
      <c r="H196" t="s">
        <v>23</v>
      </c>
      <c r="I196" t="s">
        <v>44</v>
      </c>
      <c r="J196">
        <v>9170000</v>
      </c>
      <c r="K196">
        <v>1</v>
      </c>
      <c r="L196">
        <v>3</v>
      </c>
      <c r="M196">
        <v>8</v>
      </c>
      <c r="N196" t="s">
        <v>41</v>
      </c>
      <c r="O196" t="s">
        <v>26</v>
      </c>
      <c r="P196" t="s">
        <v>36</v>
      </c>
      <c r="Q196" s="5"/>
      <c r="S196">
        <f>DATEDIF(D196,DATE(2026,9,30),"Y")</f>
        <v>42</v>
      </c>
      <c r="T196" s="6">
        <f>(IF(Q196="",DATE(2026,9,30),Q196)-E196)/365.25</f>
        <v>5.9548254620123204</v>
      </c>
      <c r="U196" t="str">
        <f>_xlfn.XLOOKUP(Table1_1[[#This Row],[Bo''lim]],Bolimlar!A:A,Bolimlar!B:B,"Topilmadi")</f>
        <v>Shahlo Ismoilova</v>
      </c>
      <c r="V196">
        <f>IF(P196="Ha",1,0)</f>
        <v>0</v>
      </c>
      <c r="W196" t="str">
        <f>IF(T196&lt;1,"1 yildan kam",IF(T196&lt;3,"1-3 yil","3 yildan ko'p"))</f>
        <v>3 yildan ko'p</v>
      </c>
    </row>
    <row r="197" spans="1:23" x14ac:dyDescent="0.3">
      <c r="A197" t="s">
        <v>1136</v>
      </c>
      <c r="B197" t="s">
        <v>548</v>
      </c>
      <c r="C197" t="s">
        <v>31</v>
      </c>
      <c r="D197" s="5">
        <v>31123</v>
      </c>
      <c r="E197" s="5">
        <v>43147</v>
      </c>
      <c r="F197" t="s">
        <v>1300</v>
      </c>
      <c r="G197" t="s">
        <v>93</v>
      </c>
      <c r="H197" t="s">
        <v>23</v>
      </c>
      <c r="I197" t="s">
        <v>34</v>
      </c>
      <c r="J197">
        <v>9160000</v>
      </c>
      <c r="K197">
        <v>3</v>
      </c>
      <c r="L197">
        <v>3</v>
      </c>
      <c r="M197">
        <v>8</v>
      </c>
      <c r="N197" t="s">
        <v>88</v>
      </c>
      <c r="O197" t="s">
        <v>26</v>
      </c>
      <c r="P197" t="s">
        <v>36</v>
      </c>
      <c r="Q197" s="5"/>
      <c r="S197">
        <f>DATEDIF(D197,DATE(2026,9,30),"Y")</f>
        <v>41</v>
      </c>
      <c r="T197" s="6">
        <f>(IF(Q197="",DATE(2026,9,30),Q197)-E197)/365.25</f>
        <v>8.6187542778918544</v>
      </c>
      <c r="U197" t="str">
        <f>_xlfn.XLOOKUP(Table1_1[[#This Row],[Bo''lim]],Bolimlar!A:A,Bolimlar!B:B,"Topilmadi")</f>
        <v>Shahlo Ismoilova</v>
      </c>
      <c r="V197">
        <f>IF(P197="Ha",1,0)</f>
        <v>0</v>
      </c>
      <c r="W197" t="str">
        <f>IF(T197&lt;1,"1 yildan kam",IF(T197&lt;3,"1-3 yil","3 yildan ko'p"))</f>
        <v>3 yildan ko'p</v>
      </c>
    </row>
    <row r="198" spans="1:23" x14ac:dyDescent="0.3">
      <c r="A198" t="s">
        <v>1195</v>
      </c>
      <c r="B198" t="s">
        <v>513</v>
      </c>
      <c r="C198" t="s">
        <v>20</v>
      </c>
      <c r="D198" s="5">
        <v>38855</v>
      </c>
      <c r="E198" s="5">
        <v>46249</v>
      </c>
      <c r="F198" t="s">
        <v>1300</v>
      </c>
      <c r="G198" t="s">
        <v>52</v>
      </c>
      <c r="H198" t="s">
        <v>23</v>
      </c>
      <c r="I198" t="s">
        <v>24</v>
      </c>
      <c r="J198">
        <v>9150000</v>
      </c>
      <c r="K198">
        <v>3</v>
      </c>
      <c r="L198">
        <v>4</v>
      </c>
      <c r="M198">
        <v>30</v>
      </c>
      <c r="N198" t="s">
        <v>41</v>
      </c>
      <c r="O198" t="s">
        <v>26</v>
      </c>
      <c r="P198" t="s">
        <v>36</v>
      </c>
      <c r="Q198" s="5"/>
      <c r="S198">
        <f>DATEDIF(D198,DATE(2026,9,30),"Y")</f>
        <v>20</v>
      </c>
      <c r="T198" s="6">
        <f>(IF(Q198="",DATE(2026,9,30),Q198)-E198)/365.25</f>
        <v>0.12594113620807665</v>
      </c>
      <c r="U198" t="str">
        <f>_xlfn.XLOOKUP(Table1_1[[#This Row],[Bo''lim]],Bolimlar!A:A,Bolimlar!B:B,"Topilmadi")</f>
        <v>Shahlo Ismoilova</v>
      </c>
      <c r="V198">
        <f>IF(P198="Ha",1,0)</f>
        <v>0</v>
      </c>
      <c r="W198" t="str">
        <f>IF(T198&lt;1,"1 yildan kam",IF(T198&lt;3,"1-3 yil","3 yildan ko'p"))</f>
        <v>1 yildan kam</v>
      </c>
    </row>
    <row r="199" spans="1:23" x14ac:dyDescent="0.3">
      <c r="A199" t="s">
        <v>856</v>
      </c>
      <c r="B199" t="s">
        <v>857</v>
      </c>
      <c r="C199" t="s">
        <v>31</v>
      </c>
      <c r="D199" s="5">
        <v>32944</v>
      </c>
      <c r="E199" s="5">
        <v>45702</v>
      </c>
      <c r="F199" t="s">
        <v>484</v>
      </c>
      <c r="G199" t="s">
        <v>196</v>
      </c>
      <c r="H199" t="s">
        <v>23</v>
      </c>
      <c r="I199" t="s">
        <v>24</v>
      </c>
      <c r="J199">
        <v>9140000</v>
      </c>
      <c r="K199">
        <v>3</v>
      </c>
      <c r="L199">
        <v>4</v>
      </c>
      <c r="M199">
        <v>8</v>
      </c>
      <c r="N199" t="s">
        <v>41</v>
      </c>
      <c r="O199" t="s">
        <v>26</v>
      </c>
      <c r="P199" t="s">
        <v>36</v>
      </c>
      <c r="Q199" s="5"/>
      <c r="S199">
        <f>DATEDIF(D199,DATE(2026,9,30),"Y")</f>
        <v>36</v>
      </c>
      <c r="T199" s="6">
        <f>(IF(Q199="",DATE(2026,9,30),Q199)-E199)/365.25</f>
        <v>1.623545516769336</v>
      </c>
      <c r="U199" t="str">
        <f>_xlfn.XLOOKUP(Table1_1[[#This Row],[Bo''lim]],Bolimlar!A:A,Bolimlar!B:B,"Topilmadi")</f>
        <v>Sardor Nazarov</v>
      </c>
      <c r="V199">
        <f>IF(P199="Ha",1,0)</f>
        <v>0</v>
      </c>
      <c r="W199" t="str">
        <f>IF(T199&lt;1,"1 yildan kam",IF(T199&lt;3,"1-3 yil","3 yildan ko'p"))</f>
        <v>1-3 yil</v>
      </c>
    </row>
    <row r="200" spans="1:23" x14ac:dyDescent="0.3">
      <c r="A200" t="s">
        <v>123</v>
      </c>
      <c r="B200" t="s">
        <v>124</v>
      </c>
      <c r="C200" t="s">
        <v>31</v>
      </c>
      <c r="D200" s="5">
        <v>38796</v>
      </c>
      <c r="E200" s="5">
        <v>46232</v>
      </c>
      <c r="F200" t="s">
        <v>1300</v>
      </c>
      <c r="G200" t="s">
        <v>52</v>
      </c>
      <c r="H200" t="s">
        <v>23</v>
      </c>
      <c r="I200" t="s">
        <v>104</v>
      </c>
      <c r="J200">
        <v>9110000</v>
      </c>
      <c r="K200">
        <v>5</v>
      </c>
      <c r="L200">
        <v>3</v>
      </c>
      <c r="M200">
        <v>8</v>
      </c>
      <c r="N200" t="s">
        <v>41</v>
      </c>
      <c r="O200" t="s">
        <v>26</v>
      </c>
      <c r="P200" t="s">
        <v>36</v>
      </c>
      <c r="Q200" s="5"/>
      <c r="S200">
        <f>DATEDIF(D200,DATE(2026,9,30),"Y")</f>
        <v>20</v>
      </c>
      <c r="T200" s="6">
        <f>(IF(Q200="",DATE(2026,9,30),Q200)-E200)/365.25</f>
        <v>0.17248459958932238</v>
      </c>
      <c r="U200" t="str">
        <f>_xlfn.XLOOKUP(Table1_1[[#This Row],[Bo''lim]],Bolimlar!A:A,Bolimlar!B:B,"Topilmadi")</f>
        <v>Shahlo Ismoilova</v>
      </c>
      <c r="V200">
        <f>IF(P200="Ha",1,0)</f>
        <v>0</v>
      </c>
      <c r="W200" t="str">
        <f>IF(T200&lt;1,"1 yildan kam",IF(T200&lt;3,"1-3 yil","3 yildan ko'p"))</f>
        <v>1 yildan kam</v>
      </c>
    </row>
    <row r="201" spans="1:23" x14ac:dyDescent="0.3">
      <c r="A201" t="s">
        <v>1014</v>
      </c>
      <c r="B201" t="s">
        <v>697</v>
      </c>
      <c r="C201" t="s">
        <v>20</v>
      </c>
      <c r="D201" s="5">
        <v>35637</v>
      </c>
      <c r="E201" s="5">
        <v>46091</v>
      </c>
      <c r="F201" t="s">
        <v>1300</v>
      </c>
      <c r="G201" t="s">
        <v>52</v>
      </c>
      <c r="H201" t="s">
        <v>23</v>
      </c>
      <c r="I201" t="s">
        <v>24</v>
      </c>
      <c r="J201">
        <v>9110000</v>
      </c>
      <c r="K201">
        <v>2</v>
      </c>
      <c r="L201">
        <v>2</v>
      </c>
      <c r="M201">
        <v>20</v>
      </c>
      <c r="N201" t="s">
        <v>25</v>
      </c>
      <c r="O201" t="s">
        <v>26</v>
      </c>
      <c r="P201" t="s">
        <v>27</v>
      </c>
      <c r="Q201" s="5">
        <v>46209</v>
      </c>
      <c r="R201" t="s">
        <v>61</v>
      </c>
      <c r="S201">
        <f>DATEDIF(D201,DATE(2026,9,30),"Y")</f>
        <v>29</v>
      </c>
      <c r="T201" s="6">
        <f>(IF(Q201="",DATE(2026,9,30),Q201)-E201)/365.25</f>
        <v>0.32306639288158795</v>
      </c>
      <c r="U201" t="str">
        <f>_xlfn.XLOOKUP(Table1_1[[#This Row],[Bo''lim]],Bolimlar!A:A,Bolimlar!B:B,"Topilmadi")</f>
        <v>Shahlo Ismoilova</v>
      </c>
      <c r="V201">
        <f>IF(P201="Ha",1,0)</f>
        <v>1</v>
      </c>
      <c r="W201" t="str">
        <f>IF(T201&lt;1,"1 yildan kam",IF(T201&lt;3,"1-3 yil","3 yildan ko'p"))</f>
        <v>1 yildan kam</v>
      </c>
    </row>
    <row r="202" spans="1:23" x14ac:dyDescent="0.3">
      <c r="A202" t="s">
        <v>1160</v>
      </c>
      <c r="B202" t="s">
        <v>541</v>
      </c>
      <c r="C202" t="s">
        <v>31</v>
      </c>
      <c r="D202" s="5">
        <v>35316</v>
      </c>
      <c r="E202" s="5">
        <v>45092</v>
      </c>
      <c r="F202" t="s">
        <v>484</v>
      </c>
      <c r="G202" t="s">
        <v>196</v>
      </c>
      <c r="H202" t="s">
        <v>23</v>
      </c>
      <c r="I202" t="s">
        <v>24</v>
      </c>
      <c r="J202">
        <v>9070000</v>
      </c>
      <c r="K202">
        <v>4</v>
      </c>
      <c r="L202">
        <v>5</v>
      </c>
      <c r="M202">
        <v>6</v>
      </c>
      <c r="N202" t="s">
        <v>25</v>
      </c>
      <c r="O202" t="s">
        <v>26</v>
      </c>
      <c r="P202" t="s">
        <v>36</v>
      </c>
      <c r="Q202" s="5"/>
      <c r="S202">
        <f>DATEDIF(D202,DATE(2026,9,30),"Y")</f>
        <v>30</v>
      </c>
      <c r="T202" s="6">
        <f>(IF(Q202="",DATE(2026,9,30),Q202)-E202)/365.25</f>
        <v>3.2936344969199181</v>
      </c>
      <c r="U202" t="str">
        <f>_xlfn.XLOOKUP(Table1_1[[#This Row],[Bo''lim]],Bolimlar!A:A,Bolimlar!B:B,"Topilmadi")</f>
        <v>Sardor Nazarov</v>
      </c>
      <c r="V202">
        <f>IF(P202="Ha",1,0)</f>
        <v>0</v>
      </c>
      <c r="W202" t="str">
        <f>IF(T202&lt;1,"1 yildan kam",IF(T202&lt;3,"1-3 yil","3 yildan ko'p"))</f>
        <v>3 yildan ko'p</v>
      </c>
    </row>
    <row r="203" spans="1:23" x14ac:dyDescent="0.3">
      <c r="A203" t="s">
        <v>605</v>
      </c>
      <c r="B203" t="s">
        <v>606</v>
      </c>
      <c r="C203" t="s">
        <v>31</v>
      </c>
      <c r="D203" s="5">
        <v>32944</v>
      </c>
      <c r="E203" s="5">
        <v>43734</v>
      </c>
      <c r="F203" t="s">
        <v>21</v>
      </c>
      <c r="G203" t="s">
        <v>32</v>
      </c>
      <c r="H203" t="s">
        <v>68</v>
      </c>
      <c r="I203" t="s">
        <v>24</v>
      </c>
      <c r="J203">
        <v>9060000</v>
      </c>
      <c r="K203">
        <v>3</v>
      </c>
      <c r="L203">
        <v>3</v>
      </c>
      <c r="M203">
        <v>27</v>
      </c>
      <c r="N203" t="s">
        <v>41</v>
      </c>
      <c r="O203" t="s">
        <v>26</v>
      </c>
      <c r="P203" t="s">
        <v>36</v>
      </c>
      <c r="Q203" s="5"/>
      <c r="S203">
        <f>DATEDIF(D203,DATE(2026,9,30),"Y")</f>
        <v>36</v>
      </c>
      <c r="T203" s="6">
        <f>(IF(Q203="",DATE(2026,9,30),Q203)-E203)/365.25</f>
        <v>7.0116358658453111</v>
      </c>
      <c r="U203" t="str">
        <f>_xlfn.XLOOKUP(Table1_1[[#This Row],[Bo''lim]],Bolimlar!A:A,Bolimlar!B:B,"Topilmadi")</f>
        <v>Jasur Yusupov</v>
      </c>
      <c r="V203">
        <f>IF(P203="Ha",1,0)</f>
        <v>0</v>
      </c>
      <c r="W203" t="str">
        <f>IF(T203&lt;1,"1 yildan kam",IF(T203&lt;3,"1-3 yil","3 yildan ko'p"))</f>
        <v>3 yildan ko'p</v>
      </c>
    </row>
    <row r="204" spans="1:23" x14ac:dyDescent="0.3">
      <c r="A204" t="s">
        <v>851</v>
      </c>
      <c r="B204" t="s">
        <v>43</v>
      </c>
      <c r="C204" t="s">
        <v>31</v>
      </c>
      <c r="D204" s="5">
        <v>35809</v>
      </c>
      <c r="E204" s="5">
        <v>46230</v>
      </c>
      <c r="F204" t="s">
        <v>1300</v>
      </c>
      <c r="G204" t="s">
        <v>52</v>
      </c>
      <c r="H204" t="s">
        <v>23</v>
      </c>
      <c r="I204" t="s">
        <v>24</v>
      </c>
      <c r="J204">
        <v>9030000</v>
      </c>
      <c r="K204">
        <v>5</v>
      </c>
      <c r="L204">
        <v>2</v>
      </c>
      <c r="M204">
        <v>2</v>
      </c>
      <c r="N204" t="s">
        <v>41</v>
      </c>
      <c r="O204" t="s">
        <v>26</v>
      </c>
      <c r="P204" t="s">
        <v>27</v>
      </c>
      <c r="Q204" s="5">
        <v>46294</v>
      </c>
      <c r="R204" t="s">
        <v>155</v>
      </c>
      <c r="S204">
        <f>DATEDIF(D204,DATE(2026,9,30),"Y")</f>
        <v>28</v>
      </c>
      <c r="T204" s="6">
        <f>(IF(Q204="",DATE(2026,9,30),Q204)-E204)/365.25</f>
        <v>0.17522245037645448</v>
      </c>
      <c r="U204" t="str">
        <f>_xlfn.XLOOKUP(Table1_1[[#This Row],[Bo''lim]],Bolimlar!A:A,Bolimlar!B:B,"Topilmadi")</f>
        <v>Shahlo Ismoilova</v>
      </c>
      <c r="V204">
        <f>IF(P204="Ha",1,0)</f>
        <v>1</v>
      </c>
      <c r="W204" t="str">
        <f>IF(T204&lt;1,"1 yildan kam",IF(T204&lt;3,"1-3 yil","3 yildan ko'p"))</f>
        <v>1 yildan kam</v>
      </c>
    </row>
    <row r="205" spans="1:23" x14ac:dyDescent="0.3">
      <c r="A205" t="s">
        <v>1271</v>
      </c>
      <c r="B205" t="s">
        <v>1072</v>
      </c>
      <c r="C205" t="s">
        <v>20</v>
      </c>
      <c r="D205" s="5">
        <v>36711</v>
      </c>
      <c r="E205" s="5">
        <v>45492</v>
      </c>
      <c r="F205" t="s">
        <v>1300</v>
      </c>
      <c r="G205" t="s">
        <v>52</v>
      </c>
      <c r="H205" t="s">
        <v>23</v>
      </c>
      <c r="I205" t="s">
        <v>96</v>
      </c>
      <c r="J205">
        <v>9000000</v>
      </c>
      <c r="K205">
        <v>3</v>
      </c>
      <c r="L205">
        <v>4</v>
      </c>
      <c r="M205">
        <v>30</v>
      </c>
      <c r="N205" t="s">
        <v>41</v>
      </c>
      <c r="O205" t="s">
        <v>53</v>
      </c>
      <c r="P205" t="s">
        <v>36</v>
      </c>
      <c r="Q205" s="5"/>
      <c r="S205">
        <f>DATEDIF(D205,DATE(2026,9,30),"Y")</f>
        <v>26</v>
      </c>
      <c r="T205" s="6">
        <f>(IF(Q205="",DATE(2026,9,30),Q205)-E205)/365.25</f>
        <v>2.1984941820670771</v>
      </c>
      <c r="U205" t="str">
        <f>_xlfn.XLOOKUP(Table1_1[[#This Row],[Bo''lim]],Bolimlar!A:A,Bolimlar!B:B,"Topilmadi")</f>
        <v>Shahlo Ismoilova</v>
      </c>
      <c r="V205">
        <f>IF(P205="Ha",1,0)</f>
        <v>0</v>
      </c>
      <c r="W205" t="str">
        <f>IF(T205&lt;1,"1 yildan kam",IF(T205&lt;3,"1-3 yil","3 yildan ko'p"))</f>
        <v>1-3 yil</v>
      </c>
    </row>
    <row r="206" spans="1:23" x14ac:dyDescent="0.3">
      <c r="A206" t="s">
        <v>1012</v>
      </c>
      <c r="B206" t="s">
        <v>1013</v>
      </c>
      <c r="C206" t="s">
        <v>20</v>
      </c>
      <c r="D206" s="5">
        <v>34669</v>
      </c>
      <c r="E206" s="5">
        <v>45473</v>
      </c>
      <c r="F206" t="s">
        <v>21</v>
      </c>
      <c r="G206" t="s">
        <v>22</v>
      </c>
      <c r="H206" t="s">
        <v>68</v>
      </c>
      <c r="I206" t="s">
        <v>24</v>
      </c>
      <c r="J206">
        <v>8970000</v>
      </c>
      <c r="K206">
        <v>3</v>
      </c>
      <c r="L206">
        <v>2</v>
      </c>
      <c r="M206">
        <v>14</v>
      </c>
      <c r="N206" t="s">
        <v>41</v>
      </c>
      <c r="O206" t="s">
        <v>26</v>
      </c>
      <c r="P206" t="s">
        <v>36</v>
      </c>
      <c r="Q206" s="5"/>
      <c r="S206">
        <f>DATEDIF(D206,DATE(2026,9,30),"Y")</f>
        <v>31</v>
      </c>
      <c r="T206" s="6">
        <f>(IF(Q206="",DATE(2026,9,30),Q206)-E206)/365.25</f>
        <v>2.2505133470225873</v>
      </c>
      <c r="U206" t="str">
        <f>_xlfn.XLOOKUP(Table1_1[[#This Row],[Bo''lim]],Bolimlar!A:A,Bolimlar!B:B,"Topilmadi")</f>
        <v>Jasur Yusupov</v>
      </c>
      <c r="V206">
        <f>IF(P206="Ha",1,0)</f>
        <v>0</v>
      </c>
      <c r="W206" t="str">
        <f>IF(T206&lt;1,"1 yildan kam",IF(T206&lt;3,"1-3 yil","3 yildan ko'p"))</f>
        <v>1-3 yil</v>
      </c>
    </row>
    <row r="207" spans="1:23" x14ac:dyDescent="0.3">
      <c r="A207" t="s">
        <v>224</v>
      </c>
      <c r="B207" t="s">
        <v>225</v>
      </c>
      <c r="C207" t="s">
        <v>20</v>
      </c>
      <c r="D207" s="5">
        <v>38829</v>
      </c>
      <c r="E207" s="5">
        <v>46167</v>
      </c>
      <c r="F207" t="s">
        <v>1035</v>
      </c>
      <c r="G207" t="s">
        <v>79</v>
      </c>
      <c r="H207" t="s">
        <v>68</v>
      </c>
      <c r="I207" t="s">
        <v>24</v>
      </c>
      <c r="J207">
        <v>8950000</v>
      </c>
      <c r="K207">
        <v>3</v>
      </c>
      <c r="L207">
        <v>1</v>
      </c>
      <c r="M207">
        <v>28</v>
      </c>
      <c r="N207" t="s">
        <v>41</v>
      </c>
      <c r="O207" t="s">
        <v>26</v>
      </c>
      <c r="P207" t="s">
        <v>27</v>
      </c>
      <c r="Q207" s="5">
        <v>46236</v>
      </c>
      <c r="R207" t="s">
        <v>61</v>
      </c>
      <c r="S207">
        <f>DATEDIF(D207,DATE(2026,9,30),"Y")</f>
        <v>20</v>
      </c>
      <c r="T207" s="6">
        <f>(IF(Q207="",DATE(2026,9,30),Q207)-E207)/365.25</f>
        <v>0.18891170431211499</v>
      </c>
      <c r="U207" t="str">
        <f>_xlfn.XLOOKUP(Table1_1[[#This Row],[Bo''lim]],Bolimlar!A:A,Bolimlar!B:B,"Topilmadi")</f>
        <v>Aziz Karimov</v>
      </c>
      <c r="V207">
        <f>IF(P207="Ha",1,0)</f>
        <v>1</v>
      </c>
      <c r="W207" t="str">
        <f>IF(T207&lt;1,"1 yildan kam",IF(T207&lt;3,"1-3 yil","3 yildan ko'p"))</f>
        <v>1 yildan kam</v>
      </c>
    </row>
    <row r="208" spans="1:23" x14ac:dyDescent="0.3">
      <c r="A208" t="s">
        <v>480</v>
      </c>
      <c r="B208" t="s">
        <v>481</v>
      </c>
      <c r="C208" t="s">
        <v>31</v>
      </c>
      <c r="D208" s="5">
        <v>31996</v>
      </c>
      <c r="E208" s="5">
        <v>45360</v>
      </c>
      <c r="F208" t="s">
        <v>1035</v>
      </c>
      <c r="G208" t="s">
        <v>79</v>
      </c>
      <c r="H208" t="s">
        <v>68</v>
      </c>
      <c r="I208" t="s">
        <v>44</v>
      </c>
      <c r="J208">
        <v>8940000</v>
      </c>
      <c r="K208">
        <v>4</v>
      </c>
      <c r="L208">
        <v>2</v>
      </c>
      <c r="M208">
        <v>8</v>
      </c>
      <c r="N208" t="s">
        <v>41</v>
      </c>
      <c r="P208" t="s">
        <v>27</v>
      </c>
      <c r="Q208" s="5">
        <v>45902</v>
      </c>
      <c r="R208" t="s">
        <v>111</v>
      </c>
      <c r="S208">
        <f>DATEDIF(D208,DATE(2026,9,30),"Y")</f>
        <v>39</v>
      </c>
      <c r="T208" s="6">
        <f>(IF(Q208="",DATE(2026,9,30),Q208)-E208)/365.25</f>
        <v>1.483915126625599</v>
      </c>
      <c r="U208" t="str">
        <f>_xlfn.XLOOKUP(Table1_1[[#This Row],[Bo''lim]],Bolimlar!A:A,Bolimlar!B:B,"Topilmadi")</f>
        <v>Aziz Karimov</v>
      </c>
      <c r="V208">
        <f>IF(P208="Ha",1,0)</f>
        <v>1</v>
      </c>
      <c r="W208" t="str">
        <f>IF(T208&lt;1,"1 yildan kam",IF(T208&lt;3,"1-3 yil","3 yildan ko'p"))</f>
        <v>1-3 yil</v>
      </c>
    </row>
    <row r="209" spans="1:23" x14ac:dyDescent="0.3">
      <c r="A209" t="s">
        <v>635</v>
      </c>
      <c r="B209" t="s">
        <v>636</v>
      </c>
      <c r="C209" t="s">
        <v>20</v>
      </c>
      <c r="D209" s="5">
        <v>32825</v>
      </c>
      <c r="E209" s="5">
        <v>43550</v>
      </c>
      <c r="F209" t="s">
        <v>1035</v>
      </c>
      <c r="G209" t="s">
        <v>73</v>
      </c>
      <c r="H209" t="s">
        <v>68</v>
      </c>
      <c r="I209" t="s">
        <v>44</v>
      </c>
      <c r="J209">
        <v>8900000</v>
      </c>
      <c r="K209">
        <v>3</v>
      </c>
      <c r="L209">
        <v>5</v>
      </c>
      <c r="M209">
        <v>31</v>
      </c>
      <c r="N209" t="s">
        <v>25</v>
      </c>
      <c r="O209" t="s">
        <v>35</v>
      </c>
      <c r="P209" t="s">
        <v>36</v>
      </c>
      <c r="Q209" s="5"/>
      <c r="S209">
        <f>DATEDIF(D209,DATE(2026,9,30),"Y")</f>
        <v>36</v>
      </c>
      <c r="T209" s="6">
        <f>(IF(Q209="",DATE(2026,9,30),Q209)-E209)/365.25</f>
        <v>7.5154004106776178</v>
      </c>
      <c r="U209" t="str">
        <f>_xlfn.XLOOKUP(Table1_1[[#This Row],[Bo''lim]],Bolimlar!A:A,Bolimlar!B:B,"Topilmadi")</f>
        <v>Aziz Karimov</v>
      </c>
      <c r="V209">
        <f>IF(P209="Ha",1,0)</f>
        <v>0</v>
      </c>
      <c r="W209" t="str">
        <f>IF(T209&lt;1,"1 yildan kam",IF(T209&lt;3,"1-3 yil","3 yildan ko'p"))</f>
        <v>3 yildan ko'p</v>
      </c>
    </row>
    <row r="210" spans="1:23" x14ac:dyDescent="0.3">
      <c r="A210" t="s">
        <v>1202</v>
      </c>
      <c r="B210" t="s">
        <v>710</v>
      </c>
      <c r="C210" t="s">
        <v>20</v>
      </c>
      <c r="D210" s="5">
        <v>33427</v>
      </c>
      <c r="E210" s="5">
        <v>44695</v>
      </c>
      <c r="F210" t="s">
        <v>1035</v>
      </c>
      <c r="G210" t="s">
        <v>65</v>
      </c>
      <c r="H210" t="s">
        <v>68</v>
      </c>
      <c r="I210" t="s">
        <v>24</v>
      </c>
      <c r="J210">
        <v>8900000</v>
      </c>
      <c r="L210">
        <v>3</v>
      </c>
      <c r="M210">
        <v>10</v>
      </c>
      <c r="N210" t="s">
        <v>25</v>
      </c>
      <c r="O210" t="s">
        <v>26</v>
      </c>
      <c r="P210" t="s">
        <v>36</v>
      </c>
      <c r="Q210" s="5"/>
      <c r="S210">
        <f>DATEDIF(D210,DATE(2026,9,30),"Y")</f>
        <v>35</v>
      </c>
      <c r="T210" s="6">
        <f>(IF(Q210="",DATE(2026,9,30),Q210)-E210)/365.25</f>
        <v>4.3805612594113619</v>
      </c>
      <c r="U210" t="str">
        <f>_xlfn.XLOOKUP(Table1_1[[#This Row],[Bo''lim]],Bolimlar!A:A,Bolimlar!B:B,"Topilmadi")</f>
        <v>Aziz Karimov</v>
      </c>
      <c r="V210">
        <f>IF(P210="Ha",1,0)</f>
        <v>0</v>
      </c>
      <c r="W210" t="str">
        <f>IF(T210&lt;1,"1 yildan kam",IF(T210&lt;3,"1-3 yil","3 yildan ko'p"))</f>
        <v>3 yildan ko'p</v>
      </c>
    </row>
    <row r="211" spans="1:23" x14ac:dyDescent="0.3">
      <c r="A211" t="s">
        <v>612</v>
      </c>
      <c r="B211" t="s">
        <v>613</v>
      </c>
      <c r="C211" t="s">
        <v>20</v>
      </c>
      <c r="D211" s="5">
        <v>32764</v>
      </c>
      <c r="E211" s="5">
        <v>44433</v>
      </c>
      <c r="F211" t="s">
        <v>1300</v>
      </c>
      <c r="G211" t="s">
        <v>52</v>
      </c>
      <c r="H211" t="s">
        <v>23</v>
      </c>
      <c r="I211" t="s">
        <v>104</v>
      </c>
      <c r="J211">
        <v>8890000</v>
      </c>
      <c r="L211">
        <v>4</v>
      </c>
      <c r="M211">
        <v>18</v>
      </c>
      <c r="N211" t="s">
        <v>25</v>
      </c>
      <c r="O211" t="s">
        <v>26</v>
      </c>
      <c r="P211" t="s">
        <v>36</v>
      </c>
      <c r="Q211" s="5"/>
      <c r="S211">
        <f>DATEDIF(D211,DATE(2026,9,30),"Y")</f>
        <v>37</v>
      </c>
      <c r="T211" s="6">
        <f>(IF(Q211="",DATE(2026,9,30),Q211)-E211)/365.25</f>
        <v>5.0978781656399725</v>
      </c>
      <c r="U211" t="str">
        <f>_xlfn.XLOOKUP(Table1_1[[#This Row],[Bo''lim]],Bolimlar!A:A,Bolimlar!B:B,"Topilmadi")</f>
        <v>Shahlo Ismoilova</v>
      </c>
      <c r="V211">
        <f>IF(P211="Ha",1,0)</f>
        <v>0</v>
      </c>
      <c r="W211" t="str">
        <f>IF(T211&lt;1,"1 yildan kam",IF(T211&lt;3,"1-3 yil","3 yildan ko'p"))</f>
        <v>3 yildan ko'p</v>
      </c>
    </row>
    <row r="212" spans="1:23" x14ac:dyDescent="0.3">
      <c r="A212" t="s">
        <v>291</v>
      </c>
      <c r="B212" t="s">
        <v>292</v>
      </c>
      <c r="C212" t="s">
        <v>31</v>
      </c>
      <c r="D212" s="5">
        <v>38597</v>
      </c>
      <c r="E212" s="5">
        <v>46089</v>
      </c>
      <c r="F212" t="s">
        <v>21</v>
      </c>
      <c r="G212" t="s">
        <v>22</v>
      </c>
      <c r="H212" t="s">
        <v>68</v>
      </c>
      <c r="I212" t="s">
        <v>96</v>
      </c>
      <c r="J212">
        <v>8880000</v>
      </c>
      <c r="K212">
        <v>3</v>
      </c>
      <c r="L212">
        <v>3</v>
      </c>
      <c r="M212">
        <v>21</v>
      </c>
      <c r="N212" t="s">
        <v>88</v>
      </c>
      <c r="O212" t="s">
        <v>26</v>
      </c>
      <c r="P212" t="s">
        <v>36</v>
      </c>
      <c r="Q212" s="5"/>
      <c r="S212">
        <f>DATEDIF(D212,DATE(2026,9,30),"Y")</f>
        <v>21</v>
      </c>
      <c r="T212" s="6">
        <f>(IF(Q212="",DATE(2026,9,30),Q212)-E212)/365.25</f>
        <v>0.56399726214921286</v>
      </c>
      <c r="U212" t="str">
        <f>_xlfn.XLOOKUP(Table1_1[[#This Row],[Bo''lim]],Bolimlar!A:A,Bolimlar!B:B,"Topilmadi")</f>
        <v>Jasur Yusupov</v>
      </c>
      <c r="V212">
        <f>IF(P212="Ha",1,0)</f>
        <v>0</v>
      </c>
      <c r="W212" t="str">
        <f>IF(T212&lt;1,"1 yildan kam",IF(T212&lt;3,"1-3 yil","3 yildan ko'p"))</f>
        <v>1 yildan kam</v>
      </c>
    </row>
    <row r="213" spans="1:23" x14ac:dyDescent="0.3">
      <c r="A213" t="s">
        <v>238</v>
      </c>
      <c r="B213" t="s">
        <v>239</v>
      </c>
      <c r="C213" t="s">
        <v>20</v>
      </c>
      <c r="D213" s="5">
        <v>37707</v>
      </c>
      <c r="E213" s="5">
        <v>45992</v>
      </c>
      <c r="F213" t="s">
        <v>245</v>
      </c>
      <c r="G213" t="s">
        <v>48</v>
      </c>
      <c r="H213" t="s">
        <v>68</v>
      </c>
      <c r="I213" t="s">
        <v>104</v>
      </c>
      <c r="J213">
        <v>8860000</v>
      </c>
      <c r="K213">
        <v>3</v>
      </c>
      <c r="L213">
        <v>3</v>
      </c>
      <c r="M213">
        <v>2</v>
      </c>
      <c r="N213" t="s">
        <v>88</v>
      </c>
      <c r="O213" t="s">
        <v>26</v>
      </c>
      <c r="P213" t="s">
        <v>36</v>
      </c>
      <c r="Q213" s="5"/>
      <c r="S213">
        <f>DATEDIF(D213,DATE(2026,9,30),"Y")</f>
        <v>23</v>
      </c>
      <c r="T213" s="6">
        <f>(IF(Q213="",DATE(2026,9,30),Q213)-E213)/365.25</f>
        <v>0.82956878850102667</v>
      </c>
      <c r="U213" t="str">
        <f>_xlfn.XLOOKUP(Table1_1[[#This Row],[Bo''lim]],Bolimlar!A:A,Bolimlar!B:B,"Topilmadi")</f>
        <v>Dilnoza Rahimova</v>
      </c>
      <c r="V213">
        <f>IF(P213="Ha",1,0)</f>
        <v>0</v>
      </c>
      <c r="W213" t="str">
        <f>IF(T213&lt;1,"1 yildan kam",IF(T213&lt;3,"1-3 yil","3 yildan ko'p"))</f>
        <v>1 yildan kam</v>
      </c>
    </row>
    <row r="214" spans="1:23" x14ac:dyDescent="0.3">
      <c r="A214" t="s">
        <v>236</v>
      </c>
      <c r="B214" t="s">
        <v>237</v>
      </c>
      <c r="C214" t="s">
        <v>20</v>
      </c>
      <c r="D214" s="5">
        <v>35791</v>
      </c>
      <c r="E214" s="5">
        <v>44520</v>
      </c>
      <c r="F214" t="s">
        <v>21</v>
      </c>
      <c r="G214" t="s">
        <v>22</v>
      </c>
      <c r="H214" t="s">
        <v>68</v>
      </c>
      <c r="I214" t="s">
        <v>24</v>
      </c>
      <c r="J214">
        <v>8850000</v>
      </c>
      <c r="K214">
        <v>2</v>
      </c>
      <c r="L214">
        <v>3</v>
      </c>
      <c r="M214">
        <v>0</v>
      </c>
      <c r="N214" t="s">
        <v>41</v>
      </c>
      <c r="O214" t="s">
        <v>26</v>
      </c>
      <c r="P214" t="s">
        <v>36</v>
      </c>
      <c r="Q214" s="5"/>
      <c r="S214">
        <f>DATEDIF(D214,DATE(2026,9,30),"Y")</f>
        <v>28</v>
      </c>
      <c r="T214" s="6">
        <f>(IF(Q214="",DATE(2026,9,30),Q214)-E214)/365.25</f>
        <v>4.85968514715948</v>
      </c>
      <c r="U214" t="str">
        <f>_xlfn.XLOOKUP(Table1_1[[#This Row],[Bo''lim]],Bolimlar!A:A,Bolimlar!B:B,"Topilmadi")</f>
        <v>Jasur Yusupov</v>
      </c>
      <c r="V214">
        <f>IF(P214="Ha",1,0)</f>
        <v>0</v>
      </c>
      <c r="W214" t="str">
        <f>IF(T214&lt;1,"1 yildan kam",IF(T214&lt;3,"1-3 yil","3 yildan ko'p"))</f>
        <v>3 yildan ko'p</v>
      </c>
    </row>
    <row r="215" spans="1:23" x14ac:dyDescent="0.3">
      <c r="A215" t="s">
        <v>1204</v>
      </c>
      <c r="B215" t="s">
        <v>680</v>
      </c>
      <c r="C215" t="s">
        <v>31</v>
      </c>
      <c r="D215" s="5">
        <v>33706</v>
      </c>
      <c r="E215" s="5">
        <v>46254</v>
      </c>
      <c r="F215" t="s">
        <v>245</v>
      </c>
      <c r="G215" t="s">
        <v>90</v>
      </c>
      <c r="H215" t="s">
        <v>68</v>
      </c>
      <c r="I215" t="s">
        <v>34</v>
      </c>
      <c r="J215">
        <v>8850000</v>
      </c>
      <c r="K215">
        <v>3</v>
      </c>
      <c r="L215">
        <v>4</v>
      </c>
      <c r="M215">
        <v>1</v>
      </c>
      <c r="N215" t="s">
        <v>25</v>
      </c>
      <c r="O215" t="s">
        <v>26</v>
      </c>
      <c r="P215" t="s">
        <v>36</v>
      </c>
      <c r="Q215" s="5"/>
      <c r="S215">
        <f>DATEDIF(D215,DATE(2026,9,30),"Y")</f>
        <v>34</v>
      </c>
      <c r="T215" s="6">
        <f>(IF(Q215="",DATE(2026,9,30),Q215)-E215)/365.25</f>
        <v>0.11225188227241616</v>
      </c>
      <c r="U215" t="str">
        <f>_xlfn.XLOOKUP(Table1_1[[#This Row],[Bo''lim]],Bolimlar!A:A,Bolimlar!B:B,"Topilmadi")</f>
        <v>Dilnoza Rahimova</v>
      </c>
      <c r="V215">
        <f>IF(P215="Ha",1,0)</f>
        <v>0</v>
      </c>
      <c r="W215" t="str">
        <f>IF(T215&lt;1,"1 yildan kam",IF(T215&lt;3,"1-3 yil","3 yildan ko'p"))</f>
        <v>1 yildan kam</v>
      </c>
    </row>
    <row r="216" spans="1:23" x14ac:dyDescent="0.3">
      <c r="A216" t="s">
        <v>203</v>
      </c>
      <c r="B216" t="s">
        <v>124</v>
      </c>
      <c r="C216" t="s">
        <v>31</v>
      </c>
      <c r="D216" s="5">
        <v>34754</v>
      </c>
      <c r="E216" s="5">
        <v>43653</v>
      </c>
      <c r="F216" t="s">
        <v>1035</v>
      </c>
      <c r="G216" t="s">
        <v>79</v>
      </c>
      <c r="H216" t="s">
        <v>68</v>
      </c>
      <c r="I216" t="s">
        <v>24</v>
      </c>
      <c r="J216">
        <v>8840000</v>
      </c>
      <c r="K216">
        <v>3</v>
      </c>
      <c r="L216">
        <v>4</v>
      </c>
      <c r="M216">
        <v>15</v>
      </c>
      <c r="N216" t="s">
        <v>41</v>
      </c>
      <c r="O216" t="s">
        <v>35</v>
      </c>
      <c r="P216" t="s">
        <v>36</v>
      </c>
      <c r="Q216" s="5"/>
      <c r="S216">
        <f>DATEDIF(D216,DATE(2026,9,30),"Y")</f>
        <v>31</v>
      </c>
      <c r="T216" s="6">
        <f>(IF(Q216="",DATE(2026,9,30),Q216)-E216)/365.25</f>
        <v>7.2334017796030112</v>
      </c>
      <c r="U216" t="str">
        <f>_xlfn.XLOOKUP(Table1_1[[#This Row],[Bo''lim]],Bolimlar!A:A,Bolimlar!B:B,"Topilmadi")</f>
        <v>Aziz Karimov</v>
      </c>
      <c r="V216">
        <f>IF(P216="Ha",1,0)</f>
        <v>0</v>
      </c>
      <c r="W216" t="str">
        <f>IF(T216&lt;1,"1 yildan kam",IF(T216&lt;3,"1-3 yil","3 yildan ko'p"))</f>
        <v>3 yildan ko'p</v>
      </c>
    </row>
    <row r="217" spans="1:23" x14ac:dyDescent="0.3">
      <c r="A217" t="s">
        <v>1244</v>
      </c>
      <c r="B217" t="s">
        <v>1245</v>
      </c>
      <c r="C217" t="s">
        <v>31</v>
      </c>
      <c r="D217" s="5">
        <v>34650</v>
      </c>
      <c r="E217" s="5">
        <v>45519</v>
      </c>
      <c r="F217" t="s">
        <v>1035</v>
      </c>
      <c r="G217" t="s">
        <v>65</v>
      </c>
      <c r="H217" t="s">
        <v>68</v>
      </c>
      <c r="I217" t="s">
        <v>24</v>
      </c>
      <c r="J217">
        <v>8810000</v>
      </c>
      <c r="K217">
        <v>5</v>
      </c>
      <c r="L217">
        <v>4</v>
      </c>
      <c r="M217">
        <v>17</v>
      </c>
      <c r="N217" t="s">
        <v>41</v>
      </c>
      <c r="O217" t="s">
        <v>26</v>
      </c>
      <c r="P217" t="s">
        <v>36</v>
      </c>
      <c r="Q217" s="5"/>
      <c r="S217">
        <f>DATEDIF(D217,DATE(2026,9,30),"Y")</f>
        <v>31</v>
      </c>
      <c r="T217" s="6">
        <f>(IF(Q217="",DATE(2026,9,30),Q217)-E217)/365.25</f>
        <v>2.1245722108145104</v>
      </c>
      <c r="U217" t="str">
        <f>_xlfn.XLOOKUP(Table1_1[[#This Row],[Bo''lim]],Bolimlar!A:A,Bolimlar!B:B,"Topilmadi")</f>
        <v>Aziz Karimov</v>
      </c>
      <c r="V217">
        <f>IF(P217="Ha",1,0)</f>
        <v>0</v>
      </c>
      <c r="W217" t="str">
        <f>IF(T217&lt;1,"1 yildan kam",IF(T217&lt;3,"1-3 yil","3 yildan ko'p"))</f>
        <v>1-3 yil</v>
      </c>
    </row>
    <row r="218" spans="1:23" x14ac:dyDescent="0.3">
      <c r="A218" t="s">
        <v>1203</v>
      </c>
      <c r="B218" t="s">
        <v>1197</v>
      </c>
      <c r="C218" t="s">
        <v>31</v>
      </c>
      <c r="D218" s="5">
        <v>32524</v>
      </c>
      <c r="E218" s="5">
        <v>43581</v>
      </c>
      <c r="F218" t="s">
        <v>21</v>
      </c>
      <c r="G218" t="s">
        <v>103</v>
      </c>
      <c r="H218" t="s">
        <v>68</v>
      </c>
      <c r="I218" t="s">
        <v>34</v>
      </c>
      <c r="J218">
        <v>8800000</v>
      </c>
      <c r="K218">
        <v>4</v>
      </c>
      <c r="L218">
        <v>5</v>
      </c>
      <c r="M218">
        <v>3</v>
      </c>
      <c r="N218" t="s">
        <v>41</v>
      </c>
      <c r="O218" t="s">
        <v>35</v>
      </c>
      <c r="P218" t="s">
        <v>36</v>
      </c>
      <c r="Q218" s="5"/>
      <c r="S218">
        <f>DATEDIF(D218,DATE(2026,9,30),"Y")</f>
        <v>37</v>
      </c>
      <c r="T218" s="6">
        <f>(IF(Q218="",DATE(2026,9,30),Q218)-E218)/365.25</f>
        <v>7.4305270362765228</v>
      </c>
      <c r="U218" t="str">
        <f>_xlfn.XLOOKUP(Table1_1[[#This Row],[Bo''lim]],Bolimlar!A:A,Bolimlar!B:B,"Topilmadi")</f>
        <v>Jasur Yusupov</v>
      </c>
      <c r="V218">
        <f>IF(P218="Ha",1,0)</f>
        <v>0</v>
      </c>
      <c r="W218" t="str">
        <f>IF(T218&lt;1,"1 yildan kam",IF(T218&lt;3,"1-3 yil","3 yildan ko'p"))</f>
        <v>3 yildan ko'p</v>
      </c>
    </row>
    <row r="219" spans="1:23" x14ac:dyDescent="0.3">
      <c r="A219" t="s">
        <v>1154</v>
      </c>
      <c r="B219" t="s">
        <v>271</v>
      </c>
      <c r="C219" t="s">
        <v>31</v>
      </c>
      <c r="D219" s="5">
        <v>31853</v>
      </c>
      <c r="E219" s="5">
        <v>44625</v>
      </c>
      <c r="F219" t="s">
        <v>245</v>
      </c>
      <c r="G219" t="s">
        <v>90</v>
      </c>
      <c r="H219" t="s">
        <v>68</v>
      </c>
      <c r="I219" t="s">
        <v>24</v>
      </c>
      <c r="J219">
        <v>8790000</v>
      </c>
      <c r="K219">
        <v>4</v>
      </c>
      <c r="L219">
        <v>3</v>
      </c>
      <c r="M219">
        <v>19</v>
      </c>
      <c r="N219" t="s">
        <v>25</v>
      </c>
      <c r="O219" t="s">
        <v>35</v>
      </c>
      <c r="P219" t="s">
        <v>27</v>
      </c>
      <c r="Q219" s="5">
        <v>45898</v>
      </c>
      <c r="R219" t="s">
        <v>28</v>
      </c>
      <c r="S219">
        <f>DATEDIF(D219,DATE(2026,9,30),"Y")</f>
        <v>39</v>
      </c>
      <c r="T219" s="6">
        <f>(IF(Q219="",DATE(2026,9,30),Q219)-E219)/365.25</f>
        <v>3.485284052019165</v>
      </c>
      <c r="U219" t="str">
        <f>_xlfn.XLOOKUP(Table1_1[[#This Row],[Bo''lim]],Bolimlar!A:A,Bolimlar!B:B,"Topilmadi")</f>
        <v>Dilnoza Rahimova</v>
      </c>
      <c r="V219">
        <f>IF(P219="Ha",1,0)</f>
        <v>1</v>
      </c>
      <c r="W219" t="str">
        <f>IF(T219&lt;1,"1 yildan kam",IF(T219&lt;3,"1-3 yil","3 yildan ko'p"))</f>
        <v>3 yildan ko'p</v>
      </c>
    </row>
    <row r="220" spans="1:23" x14ac:dyDescent="0.3">
      <c r="A220" t="s">
        <v>76</v>
      </c>
      <c r="B220" t="s">
        <v>77</v>
      </c>
      <c r="C220" t="s">
        <v>31</v>
      </c>
      <c r="D220" s="5">
        <v>33121</v>
      </c>
      <c r="E220" s="5">
        <v>44904</v>
      </c>
      <c r="F220" t="s">
        <v>1035</v>
      </c>
      <c r="G220" t="s">
        <v>79</v>
      </c>
      <c r="H220" t="s">
        <v>68</v>
      </c>
      <c r="I220" t="s">
        <v>34</v>
      </c>
      <c r="J220">
        <v>8770000</v>
      </c>
      <c r="K220">
        <v>3</v>
      </c>
      <c r="L220">
        <v>5</v>
      </c>
      <c r="M220">
        <v>12</v>
      </c>
      <c r="N220" t="s">
        <v>41</v>
      </c>
      <c r="O220" t="s">
        <v>26</v>
      </c>
      <c r="P220" t="s">
        <v>36</v>
      </c>
      <c r="Q220" s="5"/>
      <c r="S220">
        <f>DATEDIF(D220,DATE(2026,9,30),"Y")</f>
        <v>36</v>
      </c>
      <c r="T220" s="6">
        <f>(IF(Q220="",DATE(2026,9,30),Q220)-E220)/365.25</f>
        <v>3.808350444900753</v>
      </c>
      <c r="U220" t="str">
        <f>_xlfn.XLOOKUP(Table1_1[[#This Row],[Bo''lim]],Bolimlar!A:A,Bolimlar!B:B,"Topilmadi")</f>
        <v>Aziz Karimov</v>
      </c>
      <c r="V220">
        <f>IF(P220="Ha",1,0)</f>
        <v>0</v>
      </c>
      <c r="W220" t="str">
        <f>IF(T220&lt;1,"1 yildan kam",IF(T220&lt;3,"1-3 yil","3 yildan ko'p"))</f>
        <v>3 yildan ko'p</v>
      </c>
    </row>
    <row r="221" spans="1:23" x14ac:dyDescent="0.3">
      <c r="A221" t="s">
        <v>550</v>
      </c>
      <c r="B221" t="s">
        <v>551</v>
      </c>
      <c r="C221" t="s">
        <v>31</v>
      </c>
      <c r="D221" s="5">
        <v>39074</v>
      </c>
      <c r="E221" s="5">
        <v>46298</v>
      </c>
      <c r="F221" t="s">
        <v>1300</v>
      </c>
      <c r="G221" t="s">
        <v>52</v>
      </c>
      <c r="H221" t="s">
        <v>23</v>
      </c>
      <c r="I221" t="s">
        <v>34</v>
      </c>
      <c r="J221">
        <v>8690000</v>
      </c>
      <c r="K221">
        <v>4</v>
      </c>
      <c r="L221">
        <v>4</v>
      </c>
      <c r="M221">
        <v>17</v>
      </c>
      <c r="N221" t="s">
        <v>41</v>
      </c>
      <c r="O221" t="s">
        <v>35</v>
      </c>
      <c r="P221" t="s">
        <v>36</v>
      </c>
      <c r="Q221" s="5"/>
      <c r="S221">
        <f>DATEDIF(D221,DATE(2026,9,30),"Y")</f>
        <v>19</v>
      </c>
      <c r="T221" s="6">
        <f>(IF(Q221="",DATE(2026,9,30),Q221)-E221)/365.25</f>
        <v>-8.2135523613963042E-3</v>
      </c>
      <c r="U221" t="str">
        <f>_xlfn.XLOOKUP(Table1_1[[#This Row],[Bo''lim]],Bolimlar!A:A,Bolimlar!B:B,"Topilmadi")</f>
        <v>Shahlo Ismoilova</v>
      </c>
      <c r="V221">
        <f>IF(P221="Ha",1,0)</f>
        <v>0</v>
      </c>
      <c r="W221" t="str">
        <f>IF(T221&lt;1,"1 yildan kam",IF(T221&lt;3,"1-3 yil","3 yildan ko'p"))</f>
        <v>1 yildan kam</v>
      </c>
    </row>
    <row r="222" spans="1:23" x14ac:dyDescent="0.3">
      <c r="A222" t="s">
        <v>80</v>
      </c>
      <c r="B222" t="s">
        <v>81</v>
      </c>
      <c r="C222" t="s">
        <v>20</v>
      </c>
      <c r="D222" s="5">
        <v>35776</v>
      </c>
      <c r="E222" s="5">
        <v>46025</v>
      </c>
      <c r="F222" t="s">
        <v>1300</v>
      </c>
      <c r="G222" t="s">
        <v>52</v>
      </c>
      <c r="H222" t="s">
        <v>23</v>
      </c>
      <c r="I222" t="s">
        <v>82</v>
      </c>
      <c r="J222">
        <v>8630000</v>
      </c>
      <c r="K222">
        <v>2</v>
      </c>
      <c r="L222">
        <v>3</v>
      </c>
      <c r="M222">
        <v>21</v>
      </c>
      <c r="N222" t="s">
        <v>25</v>
      </c>
      <c r="O222" t="s">
        <v>35</v>
      </c>
      <c r="P222" t="s">
        <v>36</v>
      </c>
      <c r="Q222" s="5"/>
      <c r="S222">
        <f>DATEDIF(D222,DATE(2026,9,30),"Y")</f>
        <v>28</v>
      </c>
      <c r="T222" s="6">
        <f>(IF(Q222="",DATE(2026,9,30),Q222)-E222)/365.25</f>
        <v>0.73921971252566732</v>
      </c>
      <c r="U222" t="str">
        <f>_xlfn.XLOOKUP(Table1_1[[#This Row],[Bo''lim]],Bolimlar!A:A,Bolimlar!B:B,"Topilmadi")</f>
        <v>Shahlo Ismoilova</v>
      </c>
      <c r="V222">
        <f>IF(P222="Ha",1,0)</f>
        <v>0</v>
      </c>
      <c r="W222" t="str">
        <f>IF(T222&lt;1,"1 yildan kam",IF(T222&lt;3,"1-3 yil","3 yildan ko'p"))</f>
        <v>1 yildan kam</v>
      </c>
    </row>
    <row r="223" spans="1:23" x14ac:dyDescent="0.3">
      <c r="A223" t="s">
        <v>1104</v>
      </c>
      <c r="B223" t="s">
        <v>664</v>
      </c>
      <c r="C223" t="s">
        <v>20</v>
      </c>
      <c r="D223" s="5">
        <v>36451</v>
      </c>
      <c r="E223" s="5">
        <v>45097</v>
      </c>
      <c r="F223" t="s">
        <v>1300</v>
      </c>
      <c r="G223" t="s">
        <v>93</v>
      </c>
      <c r="H223" t="s">
        <v>23</v>
      </c>
      <c r="I223" t="s">
        <v>24</v>
      </c>
      <c r="J223">
        <v>8630000</v>
      </c>
      <c r="K223">
        <v>3</v>
      </c>
      <c r="L223">
        <v>2</v>
      </c>
      <c r="M223">
        <v>11</v>
      </c>
      <c r="N223" t="s">
        <v>25</v>
      </c>
      <c r="O223" t="s">
        <v>26</v>
      </c>
      <c r="P223" t="s">
        <v>27</v>
      </c>
      <c r="Q223" s="5">
        <v>45968</v>
      </c>
      <c r="R223" t="s">
        <v>61</v>
      </c>
      <c r="S223">
        <f>DATEDIF(D223,DATE(2026,9,30),"Y")</f>
        <v>26</v>
      </c>
      <c r="T223" s="6">
        <f>(IF(Q223="",DATE(2026,9,30),Q223)-E223)/365.25</f>
        <v>2.3846680355920604</v>
      </c>
      <c r="U223" t="str">
        <f>_xlfn.XLOOKUP(Table1_1[[#This Row],[Bo''lim]],Bolimlar!A:A,Bolimlar!B:B,"Topilmadi")</f>
        <v>Shahlo Ismoilova</v>
      </c>
      <c r="V223">
        <f>IF(P223="Ha",1,0)</f>
        <v>1</v>
      </c>
      <c r="W223" t="str">
        <f>IF(T223&lt;1,"1 yildan kam",IF(T223&lt;3,"1-3 yil","3 yildan ko'p"))</f>
        <v>1-3 yil</v>
      </c>
    </row>
    <row r="224" spans="1:23" x14ac:dyDescent="0.3">
      <c r="A224" t="s">
        <v>884</v>
      </c>
      <c r="B224" t="s">
        <v>518</v>
      </c>
      <c r="C224" t="s">
        <v>31</v>
      </c>
      <c r="D224" s="5">
        <v>34096</v>
      </c>
      <c r="E224" s="5">
        <v>44431</v>
      </c>
      <c r="F224" t="s">
        <v>1226</v>
      </c>
      <c r="G224" t="s">
        <v>142</v>
      </c>
      <c r="H224" t="s">
        <v>68</v>
      </c>
      <c r="I224" t="s">
        <v>82</v>
      </c>
      <c r="J224">
        <v>8610000</v>
      </c>
      <c r="K224">
        <v>4</v>
      </c>
      <c r="L224">
        <v>2</v>
      </c>
      <c r="M224">
        <v>0</v>
      </c>
      <c r="N224" t="s">
        <v>41</v>
      </c>
      <c r="O224" t="s">
        <v>35</v>
      </c>
      <c r="P224" t="s">
        <v>36</v>
      </c>
      <c r="Q224" s="5"/>
      <c r="S224">
        <f>DATEDIF(D224,DATE(2026,9,30),"Y")</f>
        <v>33</v>
      </c>
      <c r="T224" s="6">
        <f>(IF(Q224="",DATE(2026,9,30),Q224)-E224)/365.25</f>
        <v>5.1033538672142367</v>
      </c>
      <c r="U224" t="str">
        <f>_xlfn.XLOOKUP(Table1_1[[#This Row],[Bo''lim]],Bolimlar!A:A,Bolimlar!B:B,"Topilmadi")</f>
        <v>Madina Abdullayeva</v>
      </c>
      <c r="V224">
        <f>IF(P224="Ha",1,0)</f>
        <v>0</v>
      </c>
      <c r="W224" t="str">
        <f>IF(T224&lt;1,"1 yildan kam",IF(T224&lt;3,"1-3 yil","3 yildan ko'p"))</f>
        <v>3 yildan ko'p</v>
      </c>
    </row>
    <row r="225" spans="1:23" x14ac:dyDescent="0.3">
      <c r="A225" t="s">
        <v>755</v>
      </c>
      <c r="B225" t="s">
        <v>227</v>
      </c>
      <c r="C225" t="s">
        <v>20</v>
      </c>
      <c r="D225" s="5">
        <v>37496</v>
      </c>
      <c r="E225" s="5">
        <v>45107</v>
      </c>
      <c r="F225" t="s">
        <v>1300</v>
      </c>
      <c r="G225" t="s">
        <v>93</v>
      </c>
      <c r="H225" t="s">
        <v>23</v>
      </c>
      <c r="I225" t="s">
        <v>24</v>
      </c>
      <c r="J225">
        <v>8590000</v>
      </c>
      <c r="K225">
        <v>3</v>
      </c>
      <c r="L225">
        <v>2</v>
      </c>
      <c r="M225">
        <v>15</v>
      </c>
      <c r="N225" t="s">
        <v>88</v>
      </c>
      <c r="O225" t="s">
        <v>35</v>
      </c>
      <c r="P225" t="s">
        <v>36</v>
      </c>
      <c r="Q225" s="5"/>
      <c r="S225">
        <f>DATEDIF(D225,DATE(2026,9,30),"Y")</f>
        <v>24</v>
      </c>
      <c r="T225" s="6">
        <f>(IF(Q225="",DATE(2026,9,30),Q225)-E225)/365.25</f>
        <v>3.2525667351129361</v>
      </c>
      <c r="U225" t="str">
        <f>_xlfn.XLOOKUP(Table1_1[[#This Row],[Bo''lim]],Bolimlar!A:A,Bolimlar!B:B,"Topilmadi")</f>
        <v>Shahlo Ismoilova</v>
      </c>
      <c r="V225">
        <f>IF(P225="Ha",1,0)</f>
        <v>0</v>
      </c>
      <c r="W225" t="str">
        <f>IF(T225&lt;1,"1 yildan kam",IF(T225&lt;3,"1-3 yil","3 yildan ko'p"))</f>
        <v>3 yildan ko'p</v>
      </c>
    </row>
    <row r="226" spans="1:23" x14ac:dyDescent="0.3">
      <c r="A226" t="s">
        <v>704</v>
      </c>
      <c r="B226" t="s">
        <v>283</v>
      </c>
      <c r="C226" t="s">
        <v>31</v>
      </c>
      <c r="D226" s="5">
        <v>32531</v>
      </c>
      <c r="E226" s="5">
        <v>43297</v>
      </c>
      <c r="F226" t="s">
        <v>245</v>
      </c>
      <c r="G226" t="s">
        <v>48</v>
      </c>
      <c r="H226" t="s">
        <v>68</v>
      </c>
      <c r="I226" t="s">
        <v>24</v>
      </c>
      <c r="J226">
        <v>8560000</v>
      </c>
      <c r="K226">
        <v>4</v>
      </c>
      <c r="L226">
        <v>4</v>
      </c>
      <c r="M226">
        <v>6</v>
      </c>
      <c r="N226" t="s">
        <v>25</v>
      </c>
      <c r="O226" t="s">
        <v>35</v>
      </c>
      <c r="P226" t="s">
        <v>36</v>
      </c>
      <c r="Q226" s="5"/>
      <c r="S226">
        <f>DATEDIF(D226,DATE(2026,9,30),"Y")</f>
        <v>37</v>
      </c>
      <c r="T226" s="6">
        <f>(IF(Q226="",DATE(2026,9,30),Q226)-E226)/365.25</f>
        <v>8.2080766598220389</v>
      </c>
      <c r="U226" t="str">
        <f>_xlfn.XLOOKUP(Table1_1[[#This Row],[Bo''lim]],Bolimlar!A:A,Bolimlar!B:B,"Topilmadi")</f>
        <v>Dilnoza Rahimova</v>
      </c>
      <c r="V226">
        <f>IF(P226="Ha",1,0)</f>
        <v>0</v>
      </c>
      <c r="W226" t="str">
        <f>IF(T226&lt;1,"1 yildan kam",IF(T226&lt;3,"1-3 yil","3 yildan ko'p"))</f>
        <v>3 yildan ko'p</v>
      </c>
    </row>
    <row r="227" spans="1:23" x14ac:dyDescent="0.3">
      <c r="A227" t="s">
        <v>1201</v>
      </c>
      <c r="B227" t="s">
        <v>697</v>
      </c>
      <c r="C227" t="s">
        <v>20</v>
      </c>
      <c r="D227" s="5">
        <v>36441</v>
      </c>
      <c r="E227" s="5">
        <v>44878</v>
      </c>
      <c r="F227" t="s">
        <v>21</v>
      </c>
      <c r="G227" t="s">
        <v>103</v>
      </c>
      <c r="H227" t="s">
        <v>68</v>
      </c>
      <c r="I227" t="s">
        <v>96</v>
      </c>
      <c r="J227">
        <v>8560000</v>
      </c>
      <c r="K227">
        <v>4</v>
      </c>
      <c r="L227">
        <v>2</v>
      </c>
      <c r="M227">
        <v>7</v>
      </c>
      <c r="N227" t="s">
        <v>25</v>
      </c>
      <c r="O227" t="s">
        <v>26</v>
      </c>
      <c r="P227" t="s">
        <v>36</v>
      </c>
      <c r="Q227" s="5"/>
      <c r="S227">
        <f>DATEDIF(D227,DATE(2026,9,30),"Y")</f>
        <v>26</v>
      </c>
      <c r="T227" s="6">
        <f>(IF(Q227="",DATE(2026,9,30),Q227)-E227)/365.25</f>
        <v>3.8795345653661877</v>
      </c>
      <c r="U227" t="str">
        <f>_xlfn.XLOOKUP(Table1_1[[#This Row],[Bo''lim]],Bolimlar!A:A,Bolimlar!B:B,"Topilmadi")</f>
        <v>Jasur Yusupov</v>
      </c>
      <c r="V227">
        <f>IF(P227="Ha",1,0)</f>
        <v>0</v>
      </c>
      <c r="W227" t="str">
        <f>IF(T227&lt;1,"1 yildan kam",IF(T227&lt;3,"1-3 yil","3 yildan ko'p"))</f>
        <v>3 yildan ko'p</v>
      </c>
    </row>
    <row r="228" spans="1:23" x14ac:dyDescent="0.3">
      <c r="A228" t="s">
        <v>314</v>
      </c>
      <c r="B228" t="s">
        <v>244</v>
      </c>
      <c r="C228" t="s">
        <v>31</v>
      </c>
      <c r="D228" s="5">
        <v>32448</v>
      </c>
      <c r="E228" s="5">
        <v>45035</v>
      </c>
      <c r="F228" t="s">
        <v>1035</v>
      </c>
      <c r="G228" t="s">
        <v>65</v>
      </c>
      <c r="H228" t="s">
        <v>68</v>
      </c>
      <c r="I228" t="s">
        <v>24</v>
      </c>
      <c r="J228">
        <v>8550000</v>
      </c>
      <c r="K228">
        <v>5</v>
      </c>
      <c r="L228">
        <v>3</v>
      </c>
      <c r="M228">
        <v>2</v>
      </c>
      <c r="N228" t="s">
        <v>25</v>
      </c>
      <c r="O228" t="s">
        <v>35</v>
      </c>
      <c r="P228" t="s">
        <v>36</v>
      </c>
      <c r="Q228" s="5"/>
      <c r="S228">
        <f>DATEDIF(D228,DATE(2026,9,30),"Y")</f>
        <v>37</v>
      </c>
      <c r="T228" s="6">
        <f>(IF(Q228="",DATE(2026,9,30),Q228)-E228)/365.25</f>
        <v>3.4496919917864477</v>
      </c>
      <c r="U228" t="str">
        <f>_xlfn.XLOOKUP(Table1_1[[#This Row],[Bo''lim]],Bolimlar!A:A,Bolimlar!B:B,"Topilmadi")</f>
        <v>Aziz Karimov</v>
      </c>
      <c r="V228">
        <f>IF(P228="Ha",1,0)</f>
        <v>0</v>
      </c>
      <c r="W228" t="str">
        <f>IF(T228&lt;1,"1 yildan kam",IF(T228&lt;3,"1-3 yil","3 yildan ko'p"))</f>
        <v>3 yildan ko'p</v>
      </c>
    </row>
    <row r="229" spans="1:23" x14ac:dyDescent="0.3">
      <c r="A229" t="s">
        <v>351</v>
      </c>
      <c r="B229" t="s">
        <v>352</v>
      </c>
      <c r="C229" t="s">
        <v>20</v>
      </c>
      <c r="D229" s="5">
        <v>34093</v>
      </c>
      <c r="E229" s="5">
        <v>43152</v>
      </c>
      <c r="F229" t="s">
        <v>1035</v>
      </c>
      <c r="G229" t="s">
        <v>73</v>
      </c>
      <c r="H229" t="s">
        <v>68</v>
      </c>
      <c r="I229" t="s">
        <v>24</v>
      </c>
      <c r="J229">
        <v>8520000</v>
      </c>
      <c r="K229">
        <v>3</v>
      </c>
      <c r="L229">
        <v>2</v>
      </c>
      <c r="M229">
        <v>30</v>
      </c>
      <c r="N229" t="s">
        <v>25</v>
      </c>
      <c r="O229" t="s">
        <v>26</v>
      </c>
      <c r="P229" t="s">
        <v>36</v>
      </c>
      <c r="Q229" s="5"/>
      <c r="S229">
        <f>DATEDIF(D229,DATE(2026,9,30),"Y")</f>
        <v>33</v>
      </c>
      <c r="T229" s="6">
        <f>(IF(Q229="",DATE(2026,9,30),Q229)-E229)/365.25</f>
        <v>8.605065023956195</v>
      </c>
      <c r="U229" t="str">
        <f>_xlfn.XLOOKUP(Table1_1[[#This Row],[Bo''lim]],Bolimlar!A:A,Bolimlar!B:B,"Topilmadi")</f>
        <v>Aziz Karimov</v>
      </c>
      <c r="V229">
        <f>IF(P229="Ha",1,0)</f>
        <v>0</v>
      </c>
      <c r="W229" t="str">
        <f>IF(T229&lt;1,"1 yildan kam",IF(T229&lt;3,"1-3 yil","3 yildan ko'p"))</f>
        <v>3 yildan ko'p</v>
      </c>
    </row>
    <row r="230" spans="1:23" x14ac:dyDescent="0.3">
      <c r="A230" t="s">
        <v>1252</v>
      </c>
      <c r="B230" t="s">
        <v>92</v>
      </c>
      <c r="C230" t="s">
        <v>20</v>
      </c>
      <c r="D230" s="5">
        <v>35318</v>
      </c>
      <c r="E230" s="5">
        <v>44509</v>
      </c>
      <c r="F230" t="s">
        <v>245</v>
      </c>
      <c r="G230" t="s">
        <v>48</v>
      </c>
      <c r="H230" t="s">
        <v>68</v>
      </c>
      <c r="I230" t="s">
        <v>24</v>
      </c>
      <c r="J230">
        <v>8470000</v>
      </c>
      <c r="K230">
        <v>3</v>
      </c>
      <c r="L230">
        <v>3</v>
      </c>
      <c r="M230">
        <v>18</v>
      </c>
      <c r="N230" t="s">
        <v>41</v>
      </c>
      <c r="O230" t="s">
        <v>53</v>
      </c>
      <c r="P230" t="s">
        <v>36</v>
      </c>
      <c r="Q230" s="5"/>
      <c r="S230">
        <f>DATEDIF(D230,DATE(2026,9,30),"Y")</f>
        <v>30</v>
      </c>
      <c r="T230" s="6">
        <f>(IF(Q230="",DATE(2026,9,30),Q230)-E230)/365.25</f>
        <v>4.8898015058179327</v>
      </c>
      <c r="U230" t="str">
        <f>_xlfn.XLOOKUP(Table1_1[[#This Row],[Bo''lim]],Bolimlar!A:A,Bolimlar!B:B,"Topilmadi")</f>
        <v>Dilnoza Rahimova</v>
      </c>
      <c r="V230">
        <f>IF(P230="Ha",1,0)</f>
        <v>0</v>
      </c>
      <c r="W230" t="str">
        <f>IF(T230&lt;1,"1 yildan kam",IF(T230&lt;3,"1-3 yil","3 yildan ko'p"))</f>
        <v>3 yildan ko'p</v>
      </c>
    </row>
    <row r="231" spans="1:23" x14ac:dyDescent="0.3">
      <c r="A231" t="s">
        <v>603</v>
      </c>
      <c r="B231" t="s">
        <v>345</v>
      </c>
      <c r="C231" t="s">
        <v>31</v>
      </c>
      <c r="D231" s="5">
        <v>34996</v>
      </c>
      <c r="E231" s="5">
        <v>44470</v>
      </c>
      <c r="F231" t="s">
        <v>245</v>
      </c>
      <c r="G231" t="s">
        <v>90</v>
      </c>
      <c r="H231" t="s">
        <v>68</v>
      </c>
      <c r="I231" t="s">
        <v>24</v>
      </c>
      <c r="J231">
        <v>8390000</v>
      </c>
      <c r="K231">
        <v>3</v>
      </c>
      <c r="L231">
        <v>5</v>
      </c>
      <c r="M231">
        <v>14</v>
      </c>
      <c r="N231" t="s">
        <v>41</v>
      </c>
      <c r="O231" t="s">
        <v>35</v>
      </c>
      <c r="P231" t="s">
        <v>27</v>
      </c>
      <c r="Q231" s="5">
        <v>45751</v>
      </c>
      <c r="R231" t="s">
        <v>61</v>
      </c>
      <c r="S231">
        <f>DATEDIF(D231,DATE(2026,9,30),"Y")</f>
        <v>30</v>
      </c>
      <c r="T231" s="6">
        <f>(IF(Q231="",DATE(2026,9,30),Q231)-E231)/365.25</f>
        <v>3.5071868583162216</v>
      </c>
      <c r="U231" t="str">
        <f>_xlfn.XLOOKUP(Table1_1[[#This Row],[Bo''lim]],Bolimlar!A:A,Bolimlar!B:B,"Topilmadi")</f>
        <v>Dilnoza Rahimova</v>
      </c>
      <c r="V231">
        <f>IF(P231="Ha",1,0)</f>
        <v>1</v>
      </c>
      <c r="W231" t="str">
        <f>IF(T231&lt;1,"1 yildan kam",IF(T231&lt;3,"1-3 yil","3 yildan ko'p"))</f>
        <v>3 yildan ko'p</v>
      </c>
    </row>
    <row r="232" spans="1:23" x14ac:dyDescent="0.3">
      <c r="A232" t="s">
        <v>552</v>
      </c>
      <c r="B232" t="s">
        <v>281</v>
      </c>
      <c r="C232" t="s">
        <v>31</v>
      </c>
      <c r="D232" s="5">
        <v>34143</v>
      </c>
      <c r="E232" s="5">
        <v>43778</v>
      </c>
      <c r="F232" t="s">
        <v>1035</v>
      </c>
      <c r="G232" t="s">
        <v>73</v>
      </c>
      <c r="H232" t="s">
        <v>68</v>
      </c>
      <c r="I232" t="s">
        <v>24</v>
      </c>
      <c r="J232">
        <v>8380000</v>
      </c>
      <c r="K232">
        <v>3</v>
      </c>
      <c r="L232">
        <v>2</v>
      </c>
      <c r="M232">
        <v>15</v>
      </c>
      <c r="N232" t="s">
        <v>88</v>
      </c>
      <c r="O232" t="s">
        <v>26</v>
      </c>
      <c r="P232" t="s">
        <v>36</v>
      </c>
      <c r="Q232" s="5"/>
      <c r="S232">
        <f>DATEDIF(D232,DATE(2026,9,30),"Y")</f>
        <v>33</v>
      </c>
      <c r="T232" s="6">
        <f>(IF(Q232="",DATE(2026,9,30),Q232)-E232)/365.25</f>
        <v>6.8911704312114992</v>
      </c>
      <c r="U232" t="str">
        <f>_xlfn.XLOOKUP(Table1_1[[#This Row],[Bo''lim]],Bolimlar!A:A,Bolimlar!B:B,"Topilmadi")</f>
        <v>Aziz Karimov</v>
      </c>
      <c r="V232">
        <f>IF(P232="Ha",1,0)</f>
        <v>0</v>
      </c>
      <c r="W232" t="str">
        <f>IF(T232&lt;1,"1 yildan kam",IF(T232&lt;3,"1-3 yil","3 yildan ko'p"))</f>
        <v>3 yildan ko'p</v>
      </c>
    </row>
    <row r="233" spans="1:23" x14ac:dyDescent="0.3">
      <c r="A233" t="s">
        <v>1211</v>
      </c>
      <c r="B233" t="s">
        <v>1212</v>
      </c>
      <c r="C233" t="s">
        <v>31</v>
      </c>
      <c r="D233" s="5">
        <v>34403</v>
      </c>
      <c r="E233" s="5">
        <v>44382</v>
      </c>
      <c r="F233" t="s">
        <v>1035</v>
      </c>
      <c r="G233" t="s">
        <v>65</v>
      </c>
      <c r="H233" t="s">
        <v>68</v>
      </c>
      <c r="I233" t="s">
        <v>96</v>
      </c>
      <c r="J233">
        <v>8360000</v>
      </c>
      <c r="K233">
        <v>4</v>
      </c>
      <c r="L233">
        <v>3</v>
      </c>
      <c r="M233">
        <v>12</v>
      </c>
      <c r="N233" t="s">
        <v>41</v>
      </c>
      <c r="O233" t="s">
        <v>26</v>
      </c>
      <c r="P233" t="s">
        <v>36</v>
      </c>
      <c r="Q233" s="5"/>
      <c r="S233">
        <f>DATEDIF(D233,DATE(2026,9,30),"Y")</f>
        <v>32</v>
      </c>
      <c r="T233" s="6">
        <f>(IF(Q233="",DATE(2026,9,30),Q233)-E233)/365.25</f>
        <v>5.2375085557837098</v>
      </c>
      <c r="U233" t="str">
        <f>_xlfn.XLOOKUP(Table1_1[[#This Row],[Bo''lim]],Bolimlar!A:A,Bolimlar!B:B,"Topilmadi")</f>
        <v>Aziz Karimov</v>
      </c>
      <c r="V233">
        <f>IF(P233="Ha",1,0)</f>
        <v>0</v>
      </c>
      <c r="W233" t="str">
        <f>IF(T233&lt;1,"1 yildan kam",IF(T233&lt;3,"1-3 yil","3 yildan ko'p"))</f>
        <v>3 yildan ko'p</v>
      </c>
    </row>
    <row r="234" spans="1:23" x14ac:dyDescent="0.3">
      <c r="A234" t="s">
        <v>1122</v>
      </c>
      <c r="B234" t="s">
        <v>812</v>
      </c>
      <c r="C234" t="s">
        <v>31</v>
      </c>
      <c r="D234" s="5">
        <v>38338</v>
      </c>
      <c r="E234" s="5">
        <v>46183</v>
      </c>
      <c r="F234" t="s">
        <v>1035</v>
      </c>
      <c r="G234" t="s">
        <v>73</v>
      </c>
      <c r="H234" t="s">
        <v>68</v>
      </c>
      <c r="I234" t="s">
        <v>44</v>
      </c>
      <c r="J234">
        <v>8330000</v>
      </c>
      <c r="K234">
        <v>3</v>
      </c>
      <c r="L234">
        <v>4</v>
      </c>
      <c r="M234">
        <v>23</v>
      </c>
      <c r="N234" t="s">
        <v>41</v>
      </c>
      <c r="O234" t="s">
        <v>53</v>
      </c>
      <c r="P234" t="s">
        <v>36</v>
      </c>
      <c r="Q234" s="5"/>
      <c r="S234">
        <f>DATEDIF(D234,DATE(2026,9,30),"Y")</f>
        <v>21</v>
      </c>
      <c r="T234" s="6">
        <f>(IF(Q234="",DATE(2026,9,30),Q234)-E234)/365.25</f>
        <v>0.30663928815879532</v>
      </c>
      <c r="U234" t="str">
        <f>_xlfn.XLOOKUP(Table1_1[[#This Row],[Bo''lim]],Bolimlar!A:A,Bolimlar!B:B,"Topilmadi")</f>
        <v>Aziz Karimov</v>
      </c>
      <c r="V234">
        <f>IF(P234="Ha",1,0)</f>
        <v>0</v>
      </c>
      <c r="W234" t="str">
        <f>IF(T234&lt;1,"1 yildan kam",IF(T234&lt;3,"1-3 yil","3 yildan ko'p"))</f>
        <v>1 yildan kam</v>
      </c>
    </row>
    <row r="235" spans="1:23" x14ac:dyDescent="0.3">
      <c r="A235" t="s">
        <v>881</v>
      </c>
      <c r="B235" t="s">
        <v>418</v>
      </c>
      <c r="C235" t="s">
        <v>31</v>
      </c>
      <c r="D235" s="5">
        <v>33997</v>
      </c>
      <c r="E235" s="5">
        <v>44088</v>
      </c>
      <c r="F235" t="s">
        <v>1300</v>
      </c>
      <c r="G235" t="s">
        <v>52</v>
      </c>
      <c r="H235" t="s">
        <v>23</v>
      </c>
      <c r="I235" t="s">
        <v>34</v>
      </c>
      <c r="J235">
        <v>8320000</v>
      </c>
      <c r="K235">
        <v>3</v>
      </c>
      <c r="L235">
        <v>3</v>
      </c>
      <c r="M235">
        <v>27</v>
      </c>
      <c r="N235" t="s">
        <v>25</v>
      </c>
      <c r="O235" t="s">
        <v>26</v>
      </c>
      <c r="P235" t="s">
        <v>36</v>
      </c>
      <c r="Q235" s="5"/>
      <c r="S235">
        <f>DATEDIF(D235,DATE(2026,9,30),"Y")</f>
        <v>33</v>
      </c>
      <c r="T235" s="6">
        <f>(IF(Q235="",DATE(2026,9,30),Q235)-E235)/365.25</f>
        <v>6.0424366872005475</v>
      </c>
      <c r="U235" t="str">
        <f>_xlfn.XLOOKUP(Table1_1[[#This Row],[Bo''lim]],Bolimlar!A:A,Bolimlar!B:B,"Topilmadi")</f>
        <v>Shahlo Ismoilova</v>
      </c>
      <c r="V235">
        <f>IF(P235="Ha",1,0)</f>
        <v>0</v>
      </c>
      <c r="W235" t="str">
        <f>IF(T235&lt;1,"1 yildan kam",IF(T235&lt;3,"1-3 yil","3 yildan ko'p"))</f>
        <v>3 yildan ko'p</v>
      </c>
    </row>
    <row r="236" spans="1:23" x14ac:dyDescent="0.3">
      <c r="A236" t="s">
        <v>571</v>
      </c>
      <c r="B236" t="s">
        <v>572</v>
      </c>
      <c r="C236" t="s">
        <v>31</v>
      </c>
      <c r="D236" s="5">
        <v>33228</v>
      </c>
      <c r="E236" s="5">
        <v>42195</v>
      </c>
      <c r="F236" t="s">
        <v>1035</v>
      </c>
      <c r="G236" t="s">
        <v>79</v>
      </c>
      <c r="H236" t="s">
        <v>68</v>
      </c>
      <c r="I236" t="s">
        <v>24</v>
      </c>
      <c r="J236">
        <v>8290000</v>
      </c>
      <c r="K236">
        <v>3</v>
      </c>
      <c r="L236">
        <v>4</v>
      </c>
      <c r="M236">
        <v>29</v>
      </c>
      <c r="N236" t="s">
        <v>41</v>
      </c>
      <c r="O236" t="s">
        <v>26</v>
      </c>
      <c r="P236" t="s">
        <v>36</v>
      </c>
      <c r="Q236" s="5"/>
      <c r="S236">
        <f>DATEDIF(D236,DATE(2026,9,30),"Y")</f>
        <v>35</v>
      </c>
      <c r="T236" s="6">
        <f>(IF(Q236="",DATE(2026,9,30),Q236)-E236)/365.25</f>
        <v>11.225188227241615</v>
      </c>
      <c r="U236" t="str">
        <f>_xlfn.XLOOKUP(Table1_1[[#This Row],[Bo''lim]],Bolimlar!A:A,Bolimlar!B:B,"Topilmadi")</f>
        <v>Aziz Karimov</v>
      </c>
      <c r="V236">
        <f>IF(P236="Ha",1,0)</f>
        <v>0</v>
      </c>
      <c r="W236" t="str">
        <f>IF(T236&lt;1,"1 yildan kam",IF(T236&lt;3,"1-3 yil","3 yildan ko'p"))</f>
        <v>3 yildan ko'p</v>
      </c>
    </row>
    <row r="237" spans="1:23" x14ac:dyDescent="0.3">
      <c r="A237" t="s">
        <v>1105</v>
      </c>
      <c r="B237" t="s">
        <v>658</v>
      </c>
      <c r="C237" t="s">
        <v>31</v>
      </c>
      <c r="D237" s="5">
        <v>35446</v>
      </c>
      <c r="E237" s="5">
        <v>44459</v>
      </c>
      <c r="F237" t="s">
        <v>1300</v>
      </c>
      <c r="G237" t="s">
        <v>52</v>
      </c>
      <c r="H237" t="s">
        <v>23</v>
      </c>
      <c r="I237" t="s">
        <v>24</v>
      </c>
      <c r="J237">
        <v>8290000</v>
      </c>
      <c r="K237">
        <v>5</v>
      </c>
      <c r="L237">
        <v>2</v>
      </c>
      <c r="M237">
        <v>20</v>
      </c>
      <c r="N237" t="s">
        <v>41</v>
      </c>
      <c r="O237" t="s">
        <v>35</v>
      </c>
      <c r="P237" t="s">
        <v>36</v>
      </c>
      <c r="Q237" s="5"/>
      <c r="S237">
        <f>DATEDIF(D237,DATE(2026,9,30),"Y")</f>
        <v>29</v>
      </c>
      <c r="T237" s="6">
        <f>(IF(Q237="",DATE(2026,9,30),Q237)-E237)/365.25</f>
        <v>5.0266940451745379</v>
      </c>
      <c r="U237" t="str">
        <f>_xlfn.XLOOKUP(Table1_1[[#This Row],[Bo''lim]],Bolimlar!A:A,Bolimlar!B:B,"Topilmadi")</f>
        <v>Shahlo Ismoilova</v>
      </c>
      <c r="V237">
        <f>IF(P237="Ha",1,0)</f>
        <v>0</v>
      </c>
      <c r="W237" t="str">
        <f>IF(T237&lt;1,"1 yildan kam",IF(T237&lt;3,"1-3 yil","3 yildan ko'p"))</f>
        <v>3 yildan ko'p</v>
      </c>
    </row>
    <row r="238" spans="1:23" x14ac:dyDescent="0.3">
      <c r="A238" t="s">
        <v>432</v>
      </c>
      <c r="B238" t="s">
        <v>433</v>
      </c>
      <c r="C238" t="s">
        <v>31</v>
      </c>
      <c r="D238" s="5">
        <v>30595</v>
      </c>
      <c r="E238" s="5">
        <v>42547</v>
      </c>
      <c r="F238" t="s">
        <v>1035</v>
      </c>
      <c r="G238" t="s">
        <v>65</v>
      </c>
      <c r="H238" t="s">
        <v>68</v>
      </c>
      <c r="I238" t="s">
        <v>24</v>
      </c>
      <c r="J238">
        <v>8260000</v>
      </c>
      <c r="K238">
        <v>2</v>
      </c>
      <c r="L238">
        <v>3</v>
      </c>
      <c r="M238">
        <v>22</v>
      </c>
      <c r="N238" t="s">
        <v>41</v>
      </c>
      <c r="O238" t="s">
        <v>35</v>
      </c>
      <c r="P238" t="s">
        <v>36</v>
      </c>
      <c r="Q238" s="5"/>
      <c r="S238">
        <f>DATEDIF(D238,DATE(2026,9,30),"Y")</f>
        <v>42</v>
      </c>
      <c r="T238" s="6">
        <f>(IF(Q238="",DATE(2026,9,30),Q238)-E238)/365.25</f>
        <v>10.261464750171116</v>
      </c>
      <c r="U238" t="str">
        <f>_xlfn.XLOOKUP(Table1_1[[#This Row],[Bo''lim]],Bolimlar!A:A,Bolimlar!B:B,"Topilmadi")</f>
        <v>Aziz Karimov</v>
      </c>
      <c r="V238">
        <f>IF(P238="Ha",1,0)</f>
        <v>0</v>
      </c>
      <c r="W238" t="str">
        <f>IF(T238&lt;1,"1 yildan kam",IF(T238&lt;3,"1-3 yil","3 yildan ko'p"))</f>
        <v>3 yildan ko'p</v>
      </c>
    </row>
    <row r="239" spans="1:23" x14ac:dyDescent="0.3">
      <c r="A239" t="s">
        <v>1068</v>
      </c>
      <c r="B239" t="s">
        <v>680</v>
      </c>
      <c r="C239" t="s">
        <v>31</v>
      </c>
      <c r="D239" s="5">
        <v>34003</v>
      </c>
      <c r="E239" s="5">
        <v>46082</v>
      </c>
      <c r="F239" t="s">
        <v>1300</v>
      </c>
      <c r="G239" t="s">
        <v>93</v>
      </c>
      <c r="H239" t="s">
        <v>23</v>
      </c>
      <c r="I239" t="s">
        <v>34</v>
      </c>
      <c r="J239">
        <v>8260000</v>
      </c>
      <c r="K239">
        <v>4</v>
      </c>
      <c r="L239">
        <v>4</v>
      </c>
      <c r="M239">
        <v>31</v>
      </c>
      <c r="N239" t="s">
        <v>88</v>
      </c>
      <c r="O239" t="s">
        <v>26</v>
      </c>
      <c r="P239" t="s">
        <v>36</v>
      </c>
      <c r="Q239" s="5"/>
      <c r="S239">
        <f>DATEDIF(D239,DATE(2026,9,30),"Y")</f>
        <v>33</v>
      </c>
      <c r="T239" s="6">
        <f>(IF(Q239="",DATE(2026,9,30),Q239)-E239)/365.25</f>
        <v>0.58316221765913756</v>
      </c>
      <c r="U239" t="str">
        <f>_xlfn.XLOOKUP(Table1_1[[#This Row],[Bo''lim]],Bolimlar!A:A,Bolimlar!B:B,"Topilmadi")</f>
        <v>Shahlo Ismoilova</v>
      </c>
      <c r="V239">
        <f>IF(P239="Ha",1,0)</f>
        <v>0</v>
      </c>
      <c r="W239" t="str">
        <f>IF(T239&lt;1,"1 yildan kam",IF(T239&lt;3,"1-3 yil","3 yildan ko'p"))</f>
        <v>1 yildan kam</v>
      </c>
    </row>
    <row r="240" spans="1:23" x14ac:dyDescent="0.3">
      <c r="A240" t="s">
        <v>875</v>
      </c>
      <c r="B240" t="s">
        <v>296</v>
      </c>
      <c r="C240" t="s">
        <v>20</v>
      </c>
      <c r="D240" s="5">
        <v>34103</v>
      </c>
      <c r="E240" s="5">
        <v>45267</v>
      </c>
      <c r="F240" t="s">
        <v>1035</v>
      </c>
      <c r="G240" t="s">
        <v>73</v>
      </c>
      <c r="H240" t="s">
        <v>68</v>
      </c>
      <c r="I240" t="s">
        <v>24</v>
      </c>
      <c r="J240">
        <v>8250000</v>
      </c>
      <c r="K240">
        <v>4</v>
      </c>
      <c r="L240">
        <v>4</v>
      </c>
      <c r="M240">
        <v>20</v>
      </c>
      <c r="N240" t="s">
        <v>88</v>
      </c>
      <c r="O240" t="s">
        <v>35</v>
      </c>
      <c r="P240" t="s">
        <v>36</v>
      </c>
      <c r="Q240" s="5"/>
      <c r="S240">
        <f>DATEDIF(D240,DATE(2026,9,30),"Y")</f>
        <v>33</v>
      </c>
      <c r="T240" s="6">
        <f>(IF(Q240="",DATE(2026,9,30),Q240)-E240)/365.25</f>
        <v>2.8145106091718</v>
      </c>
      <c r="U240" t="str">
        <f>_xlfn.XLOOKUP(Table1_1[[#This Row],[Bo''lim]],Bolimlar!A:A,Bolimlar!B:B,"Topilmadi")</f>
        <v>Aziz Karimov</v>
      </c>
      <c r="V240">
        <f>IF(P240="Ha",1,0)</f>
        <v>0</v>
      </c>
      <c r="W240" t="str">
        <f>IF(T240&lt;1,"1 yildan kam",IF(T240&lt;3,"1-3 yil","3 yildan ko'p"))</f>
        <v>1-3 yil</v>
      </c>
    </row>
    <row r="241" spans="1:23" x14ac:dyDescent="0.3">
      <c r="A241" t="s">
        <v>919</v>
      </c>
      <c r="B241" t="s">
        <v>920</v>
      </c>
      <c r="C241" t="s">
        <v>31</v>
      </c>
      <c r="D241" s="5">
        <v>34593</v>
      </c>
      <c r="E241" s="5">
        <v>45167</v>
      </c>
      <c r="F241" t="s">
        <v>1035</v>
      </c>
      <c r="G241" t="s">
        <v>73</v>
      </c>
      <c r="H241" t="s">
        <v>68</v>
      </c>
      <c r="I241" t="s">
        <v>104</v>
      </c>
      <c r="J241">
        <v>8250000</v>
      </c>
      <c r="K241">
        <v>3</v>
      </c>
      <c r="L241">
        <v>4</v>
      </c>
      <c r="M241">
        <v>23</v>
      </c>
      <c r="N241" t="s">
        <v>41</v>
      </c>
      <c r="O241" t="s">
        <v>53</v>
      </c>
      <c r="P241" t="s">
        <v>36</v>
      </c>
      <c r="Q241" s="5"/>
      <c r="S241">
        <f>DATEDIF(D241,DATE(2026,9,30),"Y")</f>
        <v>32</v>
      </c>
      <c r="T241" s="6">
        <f>(IF(Q241="",DATE(2026,9,30),Q241)-E241)/365.25</f>
        <v>3.0882956878850103</v>
      </c>
      <c r="U241" t="str">
        <f>_xlfn.XLOOKUP(Table1_1[[#This Row],[Bo''lim]],Bolimlar!A:A,Bolimlar!B:B,"Topilmadi")</f>
        <v>Aziz Karimov</v>
      </c>
      <c r="V241">
        <f>IF(P241="Ha",1,0)</f>
        <v>0</v>
      </c>
      <c r="W241" t="str">
        <f>IF(T241&lt;1,"1 yildan kam",IF(T241&lt;3,"1-3 yil","3 yildan ko'p"))</f>
        <v>3 yildan ko'p</v>
      </c>
    </row>
    <row r="242" spans="1:23" x14ac:dyDescent="0.3">
      <c r="A242" t="s">
        <v>1205</v>
      </c>
      <c r="B242" t="s">
        <v>775</v>
      </c>
      <c r="C242" t="s">
        <v>31</v>
      </c>
      <c r="D242" s="5">
        <v>38846</v>
      </c>
      <c r="E242" s="5">
        <v>46226</v>
      </c>
      <c r="F242" t="s">
        <v>39</v>
      </c>
      <c r="G242" t="s">
        <v>170</v>
      </c>
      <c r="H242" t="s">
        <v>68</v>
      </c>
      <c r="I242" t="s">
        <v>44</v>
      </c>
      <c r="J242">
        <v>8240000</v>
      </c>
      <c r="K242">
        <v>4</v>
      </c>
      <c r="L242">
        <v>1</v>
      </c>
      <c r="M242">
        <v>0</v>
      </c>
      <c r="N242" t="s">
        <v>41</v>
      </c>
      <c r="O242" t="s">
        <v>53</v>
      </c>
      <c r="P242" t="s">
        <v>36</v>
      </c>
      <c r="Q242" s="5"/>
      <c r="S242">
        <f>DATEDIF(D242,DATE(2026,9,30),"Y")</f>
        <v>20</v>
      </c>
      <c r="T242" s="6">
        <f>(IF(Q242="",DATE(2026,9,30),Q242)-E242)/365.25</f>
        <v>0.18891170431211499</v>
      </c>
      <c r="U242" t="str">
        <f>_xlfn.XLOOKUP(Table1_1[[#This Row],[Bo''lim]],Bolimlar!A:A,Bolimlar!B:B,"Topilmadi")</f>
        <v>Nodira Tursunova</v>
      </c>
      <c r="V242">
        <f>IF(P242="Ha",1,0)</f>
        <v>0</v>
      </c>
      <c r="W242" t="str">
        <f>IF(T242&lt;1,"1 yildan kam",IF(T242&lt;3,"1-3 yil","3 yildan ko'p"))</f>
        <v>1 yildan kam</v>
      </c>
    </row>
    <row r="243" spans="1:23" x14ac:dyDescent="0.3">
      <c r="A243" t="s">
        <v>187</v>
      </c>
      <c r="B243" t="s">
        <v>188</v>
      </c>
      <c r="C243" t="s">
        <v>20</v>
      </c>
      <c r="D243" s="5">
        <v>37800</v>
      </c>
      <c r="E243" s="5">
        <v>46180</v>
      </c>
      <c r="F243" t="s">
        <v>21</v>
      </c>
      <c r="G243" t="s">
        <v>32</v>
      </c>
      <c r="H243" t="s">
        <v>68</v>
      </c>
      <c r="I243" t="s">
        <v>24</v>
      </c>
      <c r="J243">
        <v>8210000</v>
      </c>
      <c r="K243">
        <v>5</v>
      </c>
      <c r="L243">
        <v>4</v>
      </c>
      <c r="M243">
        <v>9</v>
      </c>
      <c r="N243" t="s">
        <v>41</v>
      </c>
      <c r="O243" t="s">
        <v>53</v>
      </c>
      <c r="P243" t="s">
        <v>36</v>
      </c>
      <c r="Q243" s="5"/>
      <c r="S243">
        <f>DATEDIF(D243,DATE(2026,9,30),"Y")</f>
        <v>23</v>
      </c>
      <c r="T243" s="6">
        <f>(IF(Q243="",DATE(2026,9,30),Q243)-E243)/365.25</f>
        <v>0.31485284052019163</v>
      </c>
      <c r="U243" t="str">
        <f>_xlfn.XLOOKUP(Table1_1[[#This Row],[Bo''lim]],Bolimlar!A:A,Bolimlar!B:B,"Topilmadi")</f>
        <v>Jasur Yusupov</v>
      </c>
      <c r="V243">
        <f>IF(P243="Ha",1,0)</f>
        <v>0</v>
      </c>
      <c r="W243" t="str">
        <f>IF(T243&lt;1,"1 yildan kam",IF(T243&lt;3,"1-3 yil","3 yildan ko'p"))</f>
        <v>1 yildan kam</v>
      </c>
    </row>
    <row r="244" spans="1:23" x14ac:dyDescent="0.3">
      <c r="A244" t="s">
        <v>1069</v>
      </c>
      <c r="B244" t="s">
        <v>984</v>
      </c>
      <c r="C244" t="s">
        <v>31</v>
      </c>
      <c r="D244" s="5">
        <v>35404</v>
      </c>
      <c r="E244" s="5">
        <v>43224</v>
      </c>
      <c r="F244" t="s">
        <v>1035</v>
      </c>
      <c r="G244" t="s">
        <v>73</v>
      </c>
      <c r="H244" t="s">
        <v>68</v>
      </c>
      <c r="I244" t="s">
        <v>24</v>
      </c>
      <c r="J244">
        <v>8180000</v>
      </c>
      <c r="K244">
        <v>2</v>
      </c>
      <c r="L244">
        <v>4</v>
      </c>
      <c r="M244">
        <v>4</v>
      </c>
      <c r="N244" t="s">
        <v>41</v>
      </c>
      <c r="O244" t="s">
        <v>53</v>
      </c>
      <c r="P244" t="s">
        <v>36</v>
      </c>
      <c r="Q244" s="5"/>
      <c r="S244">
        <f>DATEDIF(D244,DATE(2026,9,30),"Y")</f>
        <v>29</v>
      </c>
      <c r="T244" s="6">
        <f>(IF(Q244="",DATE(2026,9,30),Q244)-E244)/365.25</f>
        <v>8.4079397672826826</v>
      </c>
      <c r="U244" t="str">
        <f>_xlfn.XLOOKUP(Table1_1[[#This Row],[Bo''lim]],Bolimlar!A:A,Bolimlar!B:B,"Topilmadi")</f>
        <v>Aziz Karimov</v>
      </c>
      <c r="V244">
        <f>IF(P244="Ha",1,0)</f>
        <v>0</v>
      </c>
      <c r="W244" t="str">
        <f>IF(T244&lt;1,"1 yildan kam",IF(T244&lt;3,"1-3 yil","3 yildan ko'p"))</f>
        <v>3 yildan ko'p</v>
      </c>
    </row>
    <row r="245" spans="1:23" x14ac:dyDescent="0.3">
      <c r="A245" t="s">
        <v>1130</v>
      </c>
      <c r="B245" t="s">
        <v>1131</v>
      </c>
      <c r="C245" t="s">
        <v>20</v>
      </c>
      <c r="D245" s="5">
        <v>33889</v>
      </c>
      <c r="E245" s="5">
        <v>44093</v>
      </c>
      <c r="F245" t="s">
        <v>1035</v>
      </c>
      <c r="G245" t="s">
        <v>73</v>
      </c>
      <c r="H245" t="s">
        <v>68</v>
      </c>
      <c r="I245" t="s">
        <v>34</v>
      </c>
      <c r="J245">
        <v>8170000</v>
      </c>
      <c r="K245">
        <v>3</v>
      </c>
      <c r="L245">
        <v>5</v>
      </c>
      <c r="M245">
        <v>23</v>
      </c>
      <c r="N245" t="s">
        <v>88</v>
      </c>
      <c r="P245" t="s">
        <v>36</v>
      </c>
      <c r="Q245" s="5"/>
      <c r="S245">
        <f>DATEDIF(D245,DATE(2026,9,30),"Y")</f>
        <v>33</v>
      </c>
      <c r="T245" s="6">
        <f>(IF(Q245="",DATE(2026,9,30),Q245)-E245)/365.25</f>
        <v>6.0287474332648872</v>
      </c>
      <c r="U245" t="str">
        <f>_xlfn.XLOOKUP(Table1_1[[#This Row],[Bo''lim]],Bolimlar!A:A,Bolimlar!B:B,"Topilmadi")</f>
        <v>Aziz Karimov</v>
      </c>
      <c r="V245">
        <f>IF(P245="Ha",1,0)</f>
        <v>0</v>
      </c>
      <c r="W245" t="str">
        <f>IF(T245&lt;1,"1 yildan kam",IF(T245&lt;3,"1-3 yil","3 yildan ko'p"))</f>
        <v>3 yildan ko'p</v>
      </c>
    </row>
    <row r="246" spans="1:23" x14ac:dyDescent="0.3">
      <c r="A246" t="s">
        <v>118</v>
      </c>
      <c r="B246" t="s">
        <v>119</v>
      </c>
      <c r="C246" t="s">
        <v>31</v>
      </c>
      <c r="D246" s="5">
        <v>34393</v>
      </c>
      <c r="E246" s="5">
        <v>43772</v>
      </c>
      <c r="F246" t="s">
        <v>245</v>
      </c>
      <c r="G246" t="s">
        <v>48</v>
      </c>
      <c r="H246" t="s">
        <v>68</v>
      </c>
      <c r="I246" t="s">
        <v>24</v>
      </c>
      <c r="J246">
        <v>8160000</v>
      </c>
      <c r="K246">
        <v>3</v>
      </c>
      <c r="L246">
        <v>4</v>
      </c>
      <c r="M246">
        <v>4</v>
      </c>
      <c r="N246" t="s">
        <v>41</v>
      </c>
      <c r="O246" t="s">
        <v>35</v>
      </c>
      <c r="P246" t="s">
        <v>36</v>
      </c>
      <c r="Q246" s="5"/>
      <c r="S246">
        <f>DATEDIF(D246,DATE(2026,9,30),"Y")</f>
        <v>32</v>
      </c>
      <c r="T246" s="6">
        <f>(IF(Q246="",DATE(2026,9,30),Q246)-E246)/365.25</f>
        <v>6.9075975359342916</v>
      </c>
      <c r="U246" t="str">
        <f>_xlfn.XLOOKUP(Table1_1[[#This Row],[Bo''lim]],Bolimlar!A:A,Bolimlar!B:B,"Topilmadi")</f>
        <v>Dilnoza Rahimova</v>
      </c>
      <c r="V246">
        <f>IF(P246="Ha",1,0)</f>
        <v>0</v>
      </c>
      <c r="W246" t="str">
        <f>IF(T246&lt;1,"1 yildan kam",IF(T246&lt;3,"1-3 yil","3 yildan ko'p"))</f>
        <v>3 yildan ko'p</v>
      </c>
    </row>
    <row r="247" spans="1:23" x14ac:dyDescent="0.3">
      <c r="A247" t="s">
        <v>305</v>
      </c>
      <c r="B247" t="s">
        <v>223</v>
      </c>
      <c r="C247" t="s">
        <v>31</v>
      </c>
      <c r="D247" s="5">
        <v>37237</v>
      </c>
      <c r="E247" s="5">
        <v>45803</v>
      </c>
      <c r="F247" t="s">
        <v>245</v>
      </c>
      <c r="G247" t="s">
        <v>127</v>
      </c>
      <c r="H247" t="s">
        <v>68</v>
      </c>
      <c r="I247" t="s">
        <v>24</v>
      </c>
      <c r="J247">
        <v>8160000</v>
      </c>
      <c r="K247">
        <v>1</v>
      </c>
      <c r="L247">
        <v>4</v>
      </c>
      <c r="M247">
        <v>15</v>
      </c>
      <c r="N247" t="s">
        <v>88</v>
      </c>
      <c r="O247" t="s">
        <v>26</v>
      </c>
      <c r="P247" t="s">
        <v>36</v>
      </c>
      <c r="Q247" s="5"/>
      <c r="S247">
        <f>DATEDIF(D247,DATE(2026,9,30),"Y")</f>
        <v>24</v>
      </c>
      <c r="T247" s="6">
        <f>(IF(Q247="",DATE(2026,9,30),Q247)-E247)/365.25</f>
        <v>1.3470225872689938</v>
      </c>
      <c r="U247" t="str">
        <f>_xlfn.XLOOKUP(Table1_1[[#This Row],[Bo''lim]],Bolimlar!A:A,Bolimlar!B:B,"Topilmadi")</f>
        <v>Dilnoza Rahimova</v>
      </c>
      <c r="V247">
        <f>IF(P247="Ha",1,0)</f>
        <v>0</v>
      </c>
      <c r="W247" t="str">
        <f>IF(T247&lt;1,"1 yildan kam",IF(T247&lt;3,"1-3 yil","3 yildan ko'p"))</f>
        <v>1-3 yil</v>
      </c>
    </row>
    <row r="248" spans="1:23" x14ac:dyDescent="0.3">
      <c r="A248" t="s">
        <v>1254</v>
      </c>
      <c r="B248" t="s">
        <v>139</v>
      </c>
      <c r="C248" t="s">
        <v>20</v>
      </c>
      <c r="D248" s="5">
        <v>33737</v>
      </c>
      <c r="E248" s="5">
        <v>44842</v>
      </c>
      <c r="F248" t="s">
        <v>21</v>
      </c>
      <c r="G248" t="s">
        <v>32</v>
      </c>
      <c r="H248" t="s">
        <v>68</v>
      </c>
      <c r="I248" t="s">
        <v>24</v>
      </c>
      <c r="J248">
        <v>8120000</v>
      </c>
      <c r="K248">
        <v>5</v>
      </c>
      <c r="L248">
        <v>3</v>
      </c>
      <c r="M248">
        <v>21</v>
      </c>
      <c r="N248" t="s">
        <v>41</v>
      </c>
      <c r="O248" t="s">
        <v>26</v>
      </c>
      <c r="P248" t="s">
        <v>36</v>
      </c>
      <c r="Q248" s="5"/>
      <c r="S248">
        <f>DATEDIF(D248,DATE(2026,9,30),"Y")</f>
        <v>34</v>
      </c>
      <c r="T248" s="6">
        <f>(IF(Q248="",DATE(2026,9,30),Q248)-E248)/365.25</f>
        <v>3.978097193702943</v>
      </c>
      <c r="U248" t="str">
        <f>_xlfn.XLOOKUP(Table1_1[[#This Row],[Bo''lim]],Bolimlar!A:A,Bolimlar!B:B,"Topilmadi")</f>
        <v>Jasur Yusupov</v>
      </c>
      <c r="V248">
        <f>IF(P248="Ha",1,0)</f>
        <v>0</v>
      </c>
      <c r="W248" t="str">
        <f>IF(T248&lt;1,"1 yildan kam",IF(T248&lt;3,"1-3 yil","3 yildan ko'p"))</f>
        <v>3 yildan ko'p</v>
      </c>
    </row>
    <row r="249" spans="1:23" x14ac:dyDescent="0.3">
      <c r="A249" t="s">
        <v>389</v>
      </c>
      <c r="B249" t="s">
        <v>390</v>
      </c>
      <c r="C249" t="s">
        <v>31</v>
      </c>
      <c r="D249" s="5">
        <v>28017</v>
      </c>
      <c r="E249" s="5">
        <v>43358</v>
      </c>
      <c r="F249" t="s">
        <v>1035</v>
      </c>
      <c r="G249" t="s">
        <v>73</v>
      </c>
      <c r="H249" t="s">
        <v>68</v>
      </c>
      <c r="I249" t="s">
        <v>24</v>
      </c>
      <c r="J249">
        <v>8080000</v>
      </c>
      <c r="K249">
        <v>3</v>
      </c>
      <c r="L249">
        <v>2</v>
      </c>
      <c r="M249">
        <v>9</v>
      </c>
      <c r="N249" t="s">
        <v>25</v>
      </c>
      <c r="O249" t="s">
        <v>53</v>
      </c>
      <c r="P249" t="s">
        <v>36</v>
      </c>
      <c r="Q249" s="5"/>
      <c r="S249">
        <f>DATEDIF(D249,DATE(2026,9,30),"Y")</f>
        <v>50</v>
      </c>
      <c r="T249" s="6">
        <f>(IF(Q249="",DATE(2026,9,30),Q249)-E249)/365.25</f>
        <v>8.0410677618069819</v>
      </c>
      <c r="U249" t="str">
        <f>_xlfn.XLOOKUP(Table1_1[[#This Row],[Bo''lim]],Bolimlar!A:A,Bolimlar!B:B,"Topilmadi")</f>
        <v>Aziz Karimov</v>
      </c>
      <c r="V249">
        <f>IF(P249="Ha",1,0)</f>
        <v>0</v>
      </c>
      <c r="W249" t="str">
        <f>IF(T249&lt;1,"1 yildan kam",IF(T249&lt;3,"1-3 yil","3 yildan ko'p"))</f>
        <v>3 yildan ko'p</v>
      </c>
    </row>
    <row r="250" spans="1:23" x14ac:dyDescent="0.3">
      <c r="A250" t="s">
        <v>1224</v>
      </c>
      <c r="B250" t="s">
        <v>328</v>
      </c>
      <c r="C250" t="s">
        <v>20</v>
      </c>
      <c r="D250" s="5">
        <v>38190</v>
      </c>
      <c r="E250" s="5">
        <v>46180</v>
      </c>
      <c r="F250" t="s">
        <v>1226</v>
      </c>
      <c r="G250" t="s">
        <v>142</v>
      </c>
      <c r="H250" t="s">
        <v>68</v>
      </c>
      <c r="I250" t="s">
        <v>24</v>
      </c>
      <c r="J250">
        <v>8080000</v>
      </c>
      <c r="K250">
        <v>3</v>
      </c>
      <c r="L250">
        <v>4</v>
      </c>
      <c r="M250">
        <v>13</v>
      </c>
      <c r="N250" t="s">
        <v>25</v>
      </c>
      <c r="O250" t="s">
        <v>35</v>
      </c>
      <c r="P250" t="s">
        <v>36</v>
      </c>
      <c r="Q250" s="5"/>
      <c r="S250">
        <f>DATEDIF(D250,DATE(2026,9,30),"Y")</f>
        <v>22</v>
      </c>
      <c r="T250" s="6">
        <f>(IF(Q250="",DATE(2026,9,30),Q250)-E250)/365.25</f>
        <v>0.31485284052019163</v>
      </c>
      <c r="U250" t="str">
        <f>_xlfn.XLOOKUP(Table1_1[[#This Row],[Bo''lim]],Bolimlar!A:A,Bolimlar!B:B,"Topilmadi")</f>
        <v>Madina Abdullayeva</v>
      </c>
      <c r="V250">
        <f>IF(P250="Ha",1,0)</f>
        <v>0</v>
      </c>
      <c r="W250" t="str">
        <f>IF(T250&lt;1,"1 yildan kam",IF(T250&lt;3,"1-3 yil","3 yildan ko'p"))</f>
        <v>1 yildan kam</v>
      </c>
    </row>
    <row r="251" spans="1:23" x14ac:dyDescent="0.3">
      <c r="A251" t="s">
        <v>257</v>
      </c>
      <c r="B251" t="s">
        <v>258</v>
      </c>
      <c r="C251" t="s">
        <v>20</v>
      </c>
      <c r="D251" s="5">
        <v>28120</v>
      </c>
      <c r="E251" s="5">
        <v>45519</v>
      </c>
      <c r="F251" t="s">
        <v>1300</v>
      </c>
      <c r="G251" t="s">
        <v>52</v>
      </c>
      <c r="H251" t="s">
        <v>23</v>
      </c>
      <c r="I251" t="s">
        <v>24</v>
      </c>
      <c r="J251">
        <v>8070000</v>
      </c>
      <c r="K251">
        <v>2</v>
      </c>
      <c r="L251">
        <v>4</v>
      </c>
      <c r="M251">
        <v>31</v>
      </c>
      <c r="N251" t="s">
        <v>41</v>
      </c>
      <c r="O251" t="s">
        <v>26</v>
      </c>
      <c r="P251" t="s">
        <v>36</v>
      </c>
      <c r="Q251" s="5"/>
      <c r="S251">
        <f>DATEDIF(D251,DATE(2026,9,30),"Y")</f>
        <v>49</v>
      </c>
      <c r="T251" s="6">
        <f>(IF(Q251="",DATE(2026,9,30),Q251)-E251)/365.25</f>
        <v>2.1245722108145104</v>
      </c>
      <c r="U251" t="str">
        <f>_xlfn.XLOOKUP(Table1_1[[#This Row],[Bo''lim]],Bolimlar!A:A,Bolimlar!B:B,"Topilmadi")</f>
        <v>Shahlo Ismoilova</v>
      </c>
      <c r="V251">
        <f>IF(P251="Ha",1,0)</f>
        <v>0</v>
      </c>
      <c r="W251" t="str">
        <f>IF(T251&lt;1,"1 yildan kam",IF(T251&lt;3,"1-3 yil","3 yildan ko'p"))</f>
        <v>1-3 yil</v>
      </c>
    </row>
    <row r="252" spans="1:23" x14ac:dyDescent="0.3">
      <c r="A252" t="s">
        <v>608</v>
      </c>
      <c r="B252" t="s">
        <v>609</v>
      </c>
      <c r="C252" t="s">
        <v>31</v>
      </c>
      <c r="D252" s="5">
        <v>35584</v>
      </c>
      <c r="E252" s="5">
        <v>45898</v>
      </c>
      <c r="F252" t="s">
        <v>484</v>
      </c>
      <c r="G252" t="s">
        <v>196</v>
      </c>
      <c r="H252" t="s">
        <v>68</v>
      </c>
      <c r="I252" t="s">
        <v>24</v>
      </c>
      <c r="J252">
        <v>8050000</v>
      </c>
      <c r="K252">
        <v>3</v>
      </c>
      <c r="L252">
        <v>4</v>
      </c>
      <c r="M252">
        <v>22</v>
      </c>
      <c r="N252" t="s">
        <v>25</v>
      </c>
      <c r="O252" t="s">
        <v>35</v>
      </c>
      <c r="P252" t="s">
        <v>36</v>
      </c>
      <c r="Q252" s="5"/>
      <c r="S252">
        <f>DATEDIF(D252,DATE(2026,9,30),"Y")</f>
        <v>29</v>
      </c>
      <c r="T252" s="6">
        <f>(IF(Q252="",DATE(2026,9,30),Q252)-E252)/365.25</f>
        <v>1.0869267624914443</v>
      </c>
      <c r="U252" t="str">
        <f>_xlfn.XLOOKUP(Table1_1[[#This Row],[Bo''lim]],Bolimlar!A:A,Bolimlar!B:B,"Topilmadi")</f>
        <v>Sardor Nazarov</v>
      </c>
      <c r="V252">
        <f>IF(P252="Ha",1,0)</f>
        <v>0</v>
      </c>
      <c r="W252" t="str">
        <f>IF(T252&lt;1,"1 yildan kam",IF(T252&lt;3,"1-3 yil","3 yildan ko'p"))</f>
        <v>1-3 yil</v>
      </c>
    </row>
    <row r="253" spans="1:23" x14ac:dyDescent="0.3">
      <c r="A253" t="s">
        <v>981</v>
      </c>
      <c r="B253" t="s">
        <v>982</v>
      </c>
      <c r="C253" t="s">
        <v>20</v>
      </c>
      <c r="D253" s="5">
        <v>34968</v>
      </c>
      <c r="E253" s="5">
        <v>44825</v>
      </c>
      <c r="F253" t="s">
        <v>21</v>
      </c>
      <c r="G253" t="s">
        <v>32</v>
      </c>
      <c r="H253" t="s">
        <v>68</v>
      </c>
      <c r="I253" t="s">
        <v>24</v>
      </c>
      <c r="J253">
        <v>8050000</v>
      </c>
      <c r="K253">
        <v>3</v>
      </c>
      <c r="L253">
        <v>3</v>
      </c>
      <c r="M253">
        <v>0</v>
      </c>
      <c r="N253" t="s">
        <v>41</v>
      </c>
      <c r="O253" t="s">
        <v>26</v>
      </c>
      <c r="P253" t="s">
        <v>36</v>
      </c>
      <c r="Q253" s="5"/>
      <c r="S253">
        <f>DATEDIF(D253,DATE(2026,9,30),"Y")</f>
        <v>31</v>
      </c>
      <c r="T253" s="6">
        <f>(IF(Q253="",DATE(2026,9,30),Q253)-E253)/365.25</f>
        <v>4.0246406570841886</v>
      </c>
      <c r="U253" t="str">
        <f>_xlfn.XLOOKUP(Table1_1[[#This Row],[Bo''lim]],Bolimlar!A:A,Bolimlar!B:B,"Topilmadi")</f>
        <v>Jasur Yusupov</v>
      </c>
      <c r="V253">
        <f>IF(P253="Ha",1,0)</f>
        <v>0</v>
      </c>
      <c r="W253" t="str">
        <f>IF(T253&lt;1,"1 yildan kam",IF(T253&lt;3,"1-3 yil","3 yildan ko'p"))</f>
        <v>3 yildan ko'p</v>
      </c>
    </row>
    <row r="254" spans="1:23" x14ac:dyDescent="0.3">
      <c r="A254" t="s">
        <v>1193</v>
      </c>
      <c r="B254" t="s">
        <v>622</v>
      </c>
      <c r="C254" t="s">
        <v>31</v>
      </c>
      <c r="D254" s="5">
        <v>30714</v>
      </c>
      <c r="E254" s="5">
        <v>46227</v>
      </c>
      <c r="F254" t="s">
        <v>1035</v>
      </c>
      <c r="G254" t="s">
        <v>79</v>
      </c>
      <c r="H254" t="s">
        <v>68</v>
      </c>
      <c r="I254" t="s">
        <v>24</v>
      </c>
      <c r="J254">
        <v>8050000</v>
      </c>
      <c r="K254">
        <v>2</v>
      </c>
      <c r="L254">
        <v>4</v>
      </c>
      <c r="M254">
        <v>28</v>
      </c>
      <c r="N254" t="s">
        <v>41</v>
      </c>
      <c r="O254" t="s">
        <v>35</v>
      </c>
      <c r="P254" t="s">
        <v>27</v>
      </c>
      <c r="Q254" s="5">
        <v>46287</v>
      </c>
      <c r="R254" t="s">
        <v>28</v>
      </c>
      <c r="S254">
        <f>DATEDIF(D254,DATE(2026,9,30),"Y")</f>
        <v>42</v>
      </c>
      <c r="T254" s="6">
        <f>(IF(Q254="",DATE(2026,9,30),Q254)-E254)/365.25</f>
        <v>0.16427104722792607</v>
      </c>
      <c r="U254" t="str">
        <f>_xlfn.XLOOKUP(Table1_1[[#This Row],[Bo''lim]],Bolimlar!A:A,Bolimlar!B:B,"Topilmadi")</f>
        <v>Aziz Karimov</v>
      </c>
      <c r="V254">
        <f>IF(P254="Ha",1,0)</f>
        <v>1</v>
      </c>
      <c r="W254" t="str">
        <f>IF(T254&lt;1,"1 yildan kam",IF(T254&lt;3,"1-3 yil","3 yildan ko'p"))</f>
        <v>1 yildan kam</v>
      </c>
    </row>
    <row r="255" spans="1:23" x14ac:dyDescent="0.3">
      <c r="A255" t="s">
        <v>694</v>
      </c>
      <c r="B255" t="s">
        <v>695</v>
      </c>
      <c r="C255" t="s">
        <v>31</v>
      </c>
      <c r="D255" s="5">
        <v>26274</v>
      </c>
      <c r="E255" s="5">
        <v>43002</v>
      </c>
      <c r="F255" t="s">
        <v>484</v>
      </c>
      <c r="G255" t="s">
        <v>196</v>
      </c>
      <c r="H255" t="s">
        <v>68</v>
      </c>
      <c r="I255" t="s">
        <v>104</v>
      </c>
      <c r="J255">
        <v>8030000</v>
      </c>
      <c r="K255">
        <v>3</v>
      </c>
      <c r="L255">
        <v>3</v>
      </c>
      <c r="M255">
        <v>22</v>
      </c>
      <c r="N255" t="s">
        <v>41</v>
      </c>
      <c r="O255" t="s">
        <v>26</v>
      </c>
      <c r="P255" t="s">
        <v>36</v>
      </c>
      <c r="Q255" s="5"/>
      <c r="S255">
        <f>DATEDIF(D255,DATE(2026,9,30),"Y")</f>
        <v>54</v>
      </c>
      <c r="T255" s="6">
        <f>(IF(Q255="",DATE(2026,9,30),Q255)-E255)/365.25</f>
        <v>9.0157426420260087</v>
      </c>
      <c r="U255" t="str">
        <f>_xlfn.XLOOKUP(Table1_1[[#This Row],[Bo''lim]],Bolimlar!A:A,Bolimlar!B:B,"Topilmadi")</f>
        <v>Sardor Nazarov</v>
      </c>
      <c r="V255">
        <f>IF(P255="Ha",1,0)</f>
        <v>0</v>
      </c>
      <c r="W255" t="str">
        <f>IF(T255&lt;1,"1 yildan kam",IF(T255&lt;3,"1-3 yil","3 yildan ko'p"))</f>
        <v>3 yildan ko'p</v>
      </c>
    </row>
    <row r="256" spans="1:23" x14ac:dyDescent="0.3">
      <c r="A256" t="s">
        <v>1230</v>
      </c>
      <c r="B256" t="s">
        <v>161</v>
      </c>
      <c r="C256" t="s">
        <v>20</v>
      </c>
      <c r="D256" s="5">
        <v>36163</v>
      </c>
      <c r="E256" s="5">
        <v>46128</v>
      </c>
      <c r="F256" t="s">
        <v>245</v>
      </c>
      <c r="G256" t="s">
        <v>90</v>
      </c>
      <c r="H256" t="s">
        <v>68</v>
      </c>
      <c r="I256" t="s">
        <v>82</v>
      </c>
      <c r="J256">
        <v>8030000</v>
      </c>
      <c r="K256">
        <v>4</v>
      </c>
      <c r="L256">
        <v>2</v>
      </c>
      <c r="M256">
        <v>20</v>
      </c>
      <c r="N256" t="s">
        <v>88</v>
      </c>
      <c r="O256" t="s">
        <v>53</v>
      </c>
      <c r="P256" t="s">
        <v>36</v>
      </c>
      <c r="Q256" s="5"/>
      <c r="S256">
        <f>DATEDIF(D256,DATE(2026,9,30),"Y")</f>
        <v>27</v>
      </c>
      <c r="T256" s="6">
        <f>(IF(Q256="",DATE(2026,9,30),Q256)-E256)/365.25</f>
        <v>0.45722108145106094</v>
      </c>
      <c r="U256" t="str">
        <f>_xlfn.XLOOKUP(Table1_1[[#This Row],[Bo''lim]],Bolimlar!A:A,Bolimlar!B:B,"Topilmadi")</f>
        <v>Dilnoza Rahimova</v>
      </c>
      <c r="V256">
        <f>IF(P256="Ha",1,0)</f>
        <v>0</v>
      </c>
      <c r="W256" t="str">
        <f>IF(T256&lt;1,"1 yildan kam",IF(T256&lt;3,"1-3 yil","3 yildan ko'p"))</f>
        <v>1 yildan kam</v>
      </c>
    </row>
    <row r="257" spans="1:23" x14ac:dyDescent="0.3">
      <c r="A257" t="s">
        <v>529</v>
      </c>
      <c r="B257" t="s">
        <v>489</v>
      </c>
      <c r="C257" t="s">
        <v>31</v>
      </c>
      <c r="D257" s="5">
        <v>28920</v>
      </c>
      <c r="E257" s="5">
        <v>45806</v>
      </c>
      <c r="F257" t="s">
        <v>1035</v>
      </c>
      <c r="G257" t="s">
        <v>65</v>
      </c>
      <c r="H257" t="s">
        <v>68</v>
      </c>
      <c r="I257" t="s">
        <v>24</v>
      </c>
      <c r="J257">
        <v>8010000</v>
      </c>
      <c r="K257">
        <v>5</v>
      </c>
      <c r="L257">
        <v>4</v>
      </c>
      <c r="M257">
        <v>15</v>
      </c>
      <c r="N257" t="s">
        <v>41</v>
      </c>
      <c r="O257" t="s">
        <v>26</v>
      </c>
      <c r="P257" t="s">
        <v>36</v>
      </c>
      <c r="Q257" s="5"/>
      <c r="S257">
        <f>DATEDIF(D257,DATE(2026,9,30),"Y")</f>
        <v>47</v>
      </c>
      <c r="T257" s="6">
        <f>(IF(Q257="",DATE(2026,9,30),Q257)-E257)/365.25</f>
        <v>1.3388090349075976</v>
      </c>
      <c r="U257" t="str">
        <f>_xlfn.XLOOKUP(Table1_1[[#This Row],[Bo''lim]],Bolimlar!A:A,Bolimlar!B:B,"Topilmadi")</f>
        <v>Aziz Karimov</v>
      </c>
      <c r="V257">
        <f>IF(P257="Ha",1,0)</f>
        <v>0</v>
      </c>
      <c r="W257" t="str">
        <f>IF(T257&lt;1,"1 yildan kam",IF(T257&lt;3,"1-3 yil","3 yildan ko'p"))</f>
        <v>1-3 yil</v>
      </c>
    </row>
    <row r="258" spans="1:23" x14ac:dyDescent="0.3">
      <c r="A258" t="s">
        <v>1010</v>
      </c>
      <c r="B258" t="s">
        <v>1011</v>
      </c>
      <c r="C258" t="s">
        <v>31</v>
      </c>
      <c r="D258" s="5">
        <v>34154</v>
      </c>
      <c r="E258" s="5">
        <v>43713</v>
      </c>
      <c r="F258" t="s">
        <v>484</v>
      </c>
      <c r="G258" t="s">
        <v>196</v>
      </c>
      <c r="H258" t="s">
        <v>68</v>
      </c>
      <c r="I258" t="s">
        <v>24</v>
      </c>
      <c r="J258">
        <v>7990000</v>
      </c>
      <c r="K258">
        <v>5</v>
      </c>
      <c r="L258">
        <v>3</v>
      </c>
      <c r="M258">
        <v>21</v>
      </c>
      <c r="N258" t="s">
        <v>88</v>
      </c>
      <c r="O258" t="s">
        <v>35</v>
      </c>
      <c r="P258" t="s">
        <v>36</v>
      </c>
      <c r="Q258" s="5"/>
      <c r="S258">
        <f>DATEDIF(D258,DATE(2026,9,30),"Y")</f>
        <v>33</v>
      </c>
      <c r="T258" s="6">
        <f>(IF(Q258="",DATE(2026,9,30),Q258)-E258)/365.25</f>
        <v>7.0691307323750854</v>
      </c>
      <c r="U258" t="str">
        <f>_xlfn.XLOOKUP(Table1_1[[#This Row],[Bo''lim]],Bolimlar!A:A,Bolimlar!B:B,"Topilmadi")</f>
        <v>Sardor Nazarov</v>
      </c>
      <c r="V258">
        <f>IF(P258="Ha",1,0)</f>
        <v>0</v>
      </c>
      <c r="W258" t="str">
        <f>IF(T258&lt;1,"1 yildan kam",IF(T258&lt;3,"1-3 yil","3 yildan ko'p"))</f>
        <v>3 yildan ko'p</v>
      </c>
    </row>
    <row r="259" spans="1:23" x14ac:dyDescent="0.3">
      <c r="A259" t="s">
        <v>416</v>
      </c>
      <c r="B259" t="s">
        <v>92</v>
      </c>
      <c r="C259" t="s">
        <v>20</v>
      </c>
      <c r="D259" s="5">
        <v>32796</v>
      </c>
      <c r="E259" s="5">
        <v>45945</v>
      </c>
      <c r="F259" t="s">
        <v>21</v>
      </c>
      <c r="G259" t="s">
        <v>32</v>
      </c>
      <c r="H259" t="s">
        <v>68</v>
      </c>
      <c r="I259" t="s">
        <v>24</v>
      </c>
      <c r="J259">
        <v>7980000</v>
      </c>
      <c r="K259">
        <v>3</v>
      </c>
      <c r="L259">
        <v>4</v>
      </c>
      <c r="M259">
        <v>38</v>
      </c>
      <c r="N259" t="s">
        <v>41</v>
      </c>
      <c r="O259" t="s">
        <v>26</v>
      </c>
      <c r="P259" t="s">
        <v>36</v>
      </c>
      <c r="Q259" s="5"/>
      <c r="S259">
        <f>DATEDIF(D259,DATE(2026,9,30),"Y")</f>
        <v>36</v>
      </c>
      <c r="T259" s="6">
        <f>(IF(Q259="",DATE(2026,9,30),Q259)-E259)/365.25</f>
        <v>0.95824777549623541</v>
      </c>
      <c r="U259" t="str">
        <f>_xlfn.XLOOKUP(Table1_1[[#This Row],[Bo''lim]],Bolimlar!A:A,Bolimlar!B:B,"Topilmadi")</f>
        <v>Jasur Yusupov</v>
      </c>
      <c r="V259">
        <f>IF(P259="Ha",1,0)</f>
        <v>0</v>
      </c>
      <c r="W259" t="str">
        <f>IF(T259&lt;1,"1 yildan kam",IF(T259&lt;3,"1-3 yil","3 yildan ko'p"))</f>
        <v>1 yildan kam</v>
      </c>
    </row>
    <row r="260" spans="1:23" x14ac:dyDescent="0.3">
      <c r="A260" t="s">
        <v>1169</v>
      </c>
      <c r="B260" t="s">
        <v>254</v>
      </c>
      <c r="C260" t="s">
        <v>31</v>
      </c>
      <c r="D260" s="5">
        <v>32982</v>
      </c>
      <c r="E260" s="5">
        <v>46263</v>
      </c>
      <c r="F260" t="s">
        <v>1035</v>
      </c>
      <c r="G260" t="s">
        <v>65</v>
      </c>
      <c r="H260" t="s">
        <v>68</v>
      </c>
      <c r="I260" t="s">
        <v>24</v>
      </c>
      <c r="J260">
        <v>7960000</v>
      </c>
      <c r="K260">
        <v>3</v>
      </c>
      <c r="L260">
        <v>2</v>
      </c>
      <c r="M260">
        <v>22</v>
      </c>
      <c r="N260" t="s">
        <v>41</v>
      </c>
      <c r="O260" t="s">
        <v>35</v>
      </c>
      <c r="P260" t="s">
        <v>36</v>
      </c>
      <c r="Q260" s="5"/>
      <c r="S260">
        <f>DATEDIF(D260,DATE(2026,9,30),"Y")</f>
        <v>36</v>
      </c>
      <c r="T260" s="6">
        <f>(IF(Q260="",DATE(2026,9,30),Q260)-E260)/365.25</f>
        <v>8.761122518822724E-2</v>
      </c>
      <c r="U260" t="str">
        <f>_xlfn.XLOOKUP(Table1_1[[#This Row],[Bo''lim]],Bolimlar!A:A,Bolimlar!B:B,"Topilmadi")</f>
        <v>Aziz Karimov</v>
      </c>
      <c r="V260">
        <f>IF(P260="Ha",1,0)</f>
        <v>0</v>
      </c>
      <c r="W260" t="str">
        <f>IF(T260&lt;1,"1 yildan kam",IF(T260&lt;3,"1-3 yil","3 yildan ko'p"))</f>
        <v>1 yildan kam</v>
      </c>
    </row>
    <row r="261" spans="1:23" x14ac:dyDescent="0.3">
      <c r="A261" t="s">
        <v>130</v>
      </c>
      <c r="B261" t="s">
        <v>131</v>
      </c>
      <c r="C261" t="s">
        <v>20</v>
      </c>
      <c r="D261" s="5">
        <v>34317</v>
      </c>
      <c r="E261" s="5">
        <v>44016</v>
      </c>
      <c r="F261" t="s">
        <v>21</v>
      </c>
      <c r="G261" t="s">
        <v>22</v>
      </c>
      <c r="H261" t="s">
        <v>68</v>
      </c>
      <c r="I261" t="s">
        <v>24</v>
      </c>
      <c r="J261">
        <v>7940000</v>
      </c>
      <c r="K261">
        <v>5</v>
      </c>
      <c r="L261">
        <v>2</v>
      </c>
      <c r="M261">
        <v>15</v>
      </c>
      <c r="N261" t="s">
        <v>41</v>
      </c>
      <c r="O261" t="s">
        <v>26</v>
      </c>
      <c r="P261" t="s">
        <v>36</v>
      </c>
      <c r="Q261" s="5"/>
      <c r="S261">
        <f>DATEDIF(D261,DATE(2026,9,30),"Y")</f>
        <v>32</v>
      </c>
      <c r="T261" s="6">
        <f>(IF(Q261="",DATE(2026,9,30),Q261)-E261)/365.25</f>
        <v>6.239561943874059</v>
      </c>
      <c r="U261" t="str">
        <f>_xlfn.XLOOKUP(Table1_1[[#This Row],[Bo''lim]],Bolimlar!A:A,Bolimlar!B:B,"Topilmadi")</f>
        <v>Jasur Yusupov</v>
      </c>
      <c r="V261">
        <f>IF(P261="Ha",1,0)</f>
        <v>0</v>
      </c>
      <c r="W261" t="str">
        <f>IF(T261&lt;1,"1 yildan kam",IF(T261&lt;3,"1-3 yil","3 yildan ko'p"))</f>
        <v>3 yildan ko'p</v>
      </c>
    </row>
    <row r="262" spans="1:23" x14ac:dyDescent="0.3">
      <c r="A262" t="s">
        <v>209</v>
      </c>
      <c r="B262" t="s">
        <v>210</v>
      </c>
      <c r="C262" t="s">
        <v>31</v>
      </c>
      <c r="D262" s="5">
        <v>37331</v>
      </c>
      <c r="E262" s="5">
        <v>45172</v>
      </c>
      <c r="F262" t="s">
        <v>39</v>
      </c>
      <c r="G262" t="s">
        <v>40</v>
      </c>
      <c r="H262" t="s">
        <v>68</v>
      </c>
      <c r="I262" t="s">
        <v>82</v>
      </c>
      <c r="J262">
        <v>7940000</v>
      </c>
      <c r="K262">
        <v>5</v>
      </c>
      <c r="L262">
        <v>2</v>
      </c>
      <c r="M262">
        <v>12</v>
      </c>
      <c r="N262" t="s">
        <v>41</v>
      </c>
      <c r="O262" t="s">
        <v>26</v>
      </c>
      <c r="P262" t="s">
        <v>36</v>
      </c>
      <c r="Q262" s="5"/>
      <c r="S262">
        <f>DATEDIF(D262,DATE(2026,9,30),"Y")</f>
        <v>24</v>
      </c>
      <c r="T262" s="6">
        <f>(IF(Q262="",DATE(2026,9,30),Q262)-E262)/365.25</f>
        <v>3.07460643394935</v>
      </c>
      <c r="U262" t="str">
        <f>_xlfn.XLOOKUP(Table1_1[[#This Row],[Bo''lim]],Bolimlar!A:A,Bolimlar!B:B,"Topilmadi")</f>
        <v>Nodira Tursunova</v>
      </c>
      <c r="V262">
        <f>IF(P262="Ha",1,0)</f>
        <v>0</v>
      </c>
      <c r="W262" t="str">
        <f>IF(T262&lt;1,"1 yildan kam",IF(T262&lt;3,"1-3 yil","3 yildan ko'p"))</f>
        <v>3 yildan ko'p</v>
      </c>
    </row>
    <row r="263" spans="1:23" x14ac:dyDescent="0.3">
      <c r="A263" t="s">
        <v>1089</v>
      </c>
      <c r="B263" t="s">
        <v>627</v>
      </c>
      <c r="C263" t="s">
        <v>31</v>
      </c>
      <c r="D263" s="5">
        <v>33726</v>
      </c>
      <c r="E263" s="5">
        <v>44461</v>
      </c>
      <c r="F263" t="s">
        <v>1035</v>
      </c>
      <c r="G263" t="s">
        <v>73</v>
      </c>
      <c r="H263" t="s">
        <v>68</v>
      </c>
      <c r="I263" t="s">
        <v>24</v>
      </c>
      <c r="J263">
        <v>7940000</v>
      </c>
      <c r="K263">
        <v>4</v>
      </c>
      <c r="L263">
        <v>3</v>
      </c>
      <c r="M263">
        <v>20</v>
      </c>
      <c r="N263" t="s">
        <v>88</v>
      </c>
      <c r="O263" t="s">
        <v>35</v>
      </c>
      <c r="P263" t="s">
        <v>36</v>
      </c>
      <c r="Q263" s="5"/>
      <c r="S263">
        <f>DATEDIF(D263,DATE(2026,9,30),"Y")</f>
        <v>34</v>
      </c>
      <c r="T263" s="6">
        <f>(IF(Q263="",DATE(2026,9,30),Q263)-E263)/365.25</f>
        <v>5.0212183436002737</v>
      </c>
      <c r="U263" t="str">
        <f>_xlfn.XLOOKUP(Table1_1[[#This Row],[Bo''lim]],Bolimlar!A:A,Bolimlar!B:B,"Topilmadi")</f>
        <v>Aziz Karimov</v>
      </c>
      <c r="V263">
        <f>IF(P263="Ha",1,0)</f>
        <v>0</v>
      </c>
      <c r="W263" t="str">
        <f>IF(T263&lt;1,"1 yildan kam",IF(T263&lt;3,"1-3 yil","3 yildan ko'p"))</f>
        <v>3 yildan ko'p</v>
      </c>
    </row>
    <row r="264" spans="1:23" x14ac:dyDescent="0.3">
      <c r="A264" t="s">
        <v>714</v>
      </c>
      <c r="B264" t="s">
        <v>215</v>
      </c>
      <c r="C264" t="s">
        <v>20</v>
      </c>
      <c r="D264" s="5">
        <v>33760</v>
      </c>
      <c r="E264" s="5">
        <v>44144</v>
      </c>
      <c r="F264" t="s">
        <v>1035</v>
      </c>
      <c r="G264" t="s">
        <v>79</v>
      </c>
      <c r="H264" t="s">
        <v>68</v>
      </c>
      <c r="I264" t="s">
        <v>44</v>
      </c>
      <c r="J264">
        <v>7900000</v>
      </c>
      <c r="K264">
        <v>3</v>
      </c>
      <c r="L264">
        <v>4</v>
      </c>
      <c r="M264">
        <v>28</v>
      </c>
      <c r="N264" t="s">
        <v>41</v>
      </c>
      <c r="O264" t="s">
        <v>26</v>
      </c>
      <c r="P264" t="s">
        <v>36</v>
      </c>
      <c r="Q264" s="5"/>
      <c r="S264">
        <f>DATEDIF(D264,DATE(2026,9,30),"Y")</f>
        <v>34</v>
      </c>
      <c r="T264" s="6">
        <f>(IF(Q264="",DATE(2026,9,30),Q264)-E264)/365.25</f>
        <v>5.8891170431211499</v>
      </c>
      <c r="U264" t="str">
        <f>_xlfn.XLOOKUP(Table1_1[[#This Row],[Bo''lim]],Bolimlar!A:A,Bolimlar!B:B,"Topilmadi")</f>
        <v>Aziz Karimov</v>
      </c>
      <c r="V264">
        <f>IF(P264="Ha",1,0)</f>
        <v>0</v>
      </c>
      <c r="W264" t="str">
        <f>IF(T264&lt;1,"1 yildan kam",IF(T264&lt;3,"1-3 yil","3 yildan ko'p"))</f>
        <v>3 yildan ko'p</v>
      </c>
    </row>
    <row r="265" spans="1:23" x14ac:dyDescent="0.3">
      <c r="A265" t="s">
        <v>949</v>
      </c>
      <c r="B265" t="s">
        <v>950</v>
      </c>
      <c r="C265" t="s">
        <v>20</v>
      </c>
      <c r="D265" s="5">
        <v>33863</v>
      </c>
      <c r="E265" s="5">
        <v>44862</v>
      </c>
      <c r="F265" t="s">
        <v>39</v>
      </c>
      <c r="G265" t="s">
        <v>170</v>
      </c>
      <c r="H265" t="s">
        <v>68</v>
      </c>
      <c r="I265" t="s">
        <v>34</v>
      </c>
      <c r="J265">
        <v>7890000</v>
      </c>
      <c r="K265">
        <v>4</v>
      </c>
      <c r="L265">
        <v>4</v>
      </c>
      <c r="M265">
        <v>0</v>
      </c>
      <c r="N265" t="s">
        <v>41</v>
      </c>
      <c r="O265" t="s">
        <v>35</v>
      </c>
      <c r="P265" t="s">
        <v>36</v>
      </c>
      <c r="Q265" s="5"/>
      <c r="S265">
        <f>DATEDIF(D265,DATE(2026,9,30),"Y")</f>
        <v>34</v>
      </c>
      <c r="T265" s="6">
        <f>(IF(Q265="",DATE(2026,9,30),Q265)-E265)/365.25</f>
        <v>3.9233401779603012</v>
      </c>
      <c r="U265" t="str">
        <f>_xlfn.XLOOKUP(Table1_1[[#This Row],[Bo''lim]],Bolimlar!A:A,Bolimlar!B:B,"Topilmadi")</f>
        <v>Nodira Tursunova</v>
      </c>
      <c r="V265">
        <f>IF(P265="Ha",1,0)</f>
        <v>0</v>
      </c>
      <c r="W265" t="str">
        <f>IF(T265&lt;1,"1 yildan kam",IF(T265&lt;3,"1-3 yil","3 yildan ko'p"))</f>
        <v>3 yildan ko'p</v>
      </c>
    </row>
    <row r="266" spans="1:23" x14ac:dyDescent="0.3">
      <c r="A266" t="s">
        <v>230</v>
      </c>
      <c r="B266" t="s">
        <v>231</v>
      </c>
      <c r="C266" t="s">
        <v>20</v>
      </c>
      <c r="D266" s="5">
        <v>35656</v>
      </c>
      <c r="E266" s="5">
        <v>44755</v>
      </c>
      <c r="F266" t="s">
        <v>484</v>
      </c>
      <c r="G266" t="s">
        <v>115</v>
      </c>
      <c r="H266" t="s">
        <v>68</v>
      </c>
      <c r="I266" t="s">
        <v>24</v>
      </c>
      <c r="J266">
        <v>7880000</v>
      </c>
      <c r="K266">
        <v>4</v>
      </c>
      <c r="L266">
        <v>1</v>
      </c>
      <c r="M266">
        <v>13</v>
      </c>
      <c r="N266" t="s">
        <v>88</v>
      </c>
      <c r="O266" t="s">
        <v>26</v>
      </c>
      <c r="P266" t="s">
        <v>36</v>
      </c>
      <c r="Q266" s="5"/>
      <c r="S266">
        <f>DATEDIF(D266,DATE(2026,9,30),"Y")</f>
        <v>29</v>
      </c>
      <c r="T266" s="6">
        <f>(IF(Q266="",DATE(2026,9,30),Q266)-E266)/365.25</f>
        <v>4.216290212183436</v>
      </c>
      <c r="U266" t="str">
        <f>_xlfn.XLOOKUP(Table1_1[[#This Row],[Bo''lim]],Bolimlar!A:A,Bolimlar!B:B,"Topilmadi")</f>
        <v>Sardor Nazarov</v>
      </c>
      <c r="V266">
        <f>IF(P266="Ha",1,0)</f>
        <v>0</v>
      </c>
      <c r="W266" t="str">
        <f>IF(T266&lt;1,"1 yildan kam",IF(T266&lt;3,"1-3 yil","3 yildan ko'p"))</f>
        <v>3 yildan ko'p</v>
      </c>
    </row>
    <row r="267" spans="1:23" x14ac:dyDescent="0.3">
      <c r="A267" t="s">
        <v>862</v>
      </c>
      <c r="B267" t="s">
        <v>863</v>
      </c>
      <c r="C267" t="s">
        <v>20</v>
      </c>
      <c r="D267" s="5">
        <v>38742</v>
      </c>
      <c r="E267" s="5">
        <v>46165</v>
      </c>
      <c r="F267" t="s">
        <v>1226</v>
      </c>
      <c r="G267" t="s">
        <v>142</v>
      </c>
      <c r="H267" t="s">
        <v>68</v>
      </c>
      <c r="I267" t="s">
        <v>24</v>
      </c>
      <c r="J267">
        <v>7880000</v>
      </c>
      <c r="K267">
        <v>3</v>
      </c>
      <c r="L267">
        <v>4</v>
      </c>
      <c r="M267">
        <v>10</v>
      </c>
      <c r="N267" t="s">
        <v>41</v>
      </c>
      <c r="O267" t="s">
        <v>26</v>
      </c>
      <c r="P267" t="s">
        <v>36</v>
      </c>
      <c r="Q267" s="5"/>
      <c r="S267">
        <f>DATEDIF(D267,DATE(2026,9,30),"Y")</f>
        <v>20</v>
      </c>
      <c r="T267" s="6">
        <f>(IF(Q267="",DATE(2026,9,30),Q267)-E267)/365.25</f>
        <v>0.35592060232717315</v>
      </c>
      <c r="U267" t="str">
        <f>_xlfn.XLOOKUP(Table1_1[[#This Row],[Bo''lim]],Bolimlar!A:A,Bolimlar!B:B,"Topilmadi")</f>
        <v>Madina Abdullayeva</v>
      </c>
      <c r="V267">
        <f>IF(P267="Ha",1,0)</f>
        <v>0</v>
      </c>
      <c r="W267" t="str">
        <f>IF(T267&lt;1,"1 yildan kam",IF(T267&lt;3,"1-3 yil","3 yildan ko'p"))</f>
        <v>1 yildan kam</v>
      </c>
    </row>
    <row r="268" spans="1:23" x14ac:dyDescent="0.3">
      <c r="A268" t="s">
        <v>973</v>
      </c>
      <c r="B268" t="s">
        <v>640</v>
      </c>
      <c r="C268" t="s">
        <v>31</v>
      </c>
      <c r="D268" s="5">
        <v>35056</v>
      </c>
      <c r="E268" s="5">
        <v>45694</v>
      </c>
      <c r="F268" t="s">
        <v>1035</v>
      </c>
      <c r="G268" t="s">
        <v>65</v>
      </c>
      <c r="H268" t="s">
        <v>68</v>
      </c>
      <c r="I268" t="s">
        <v>24</v>
      </c>
      <c r="J268">
        <v>7860000</v>
      </c>
      <c r="K268">
        <v>4</v>
      </c>
      <c r="L268">
        <v>2</v>
      </c>
      <c r="M268">
        <v>20</v>
      </c>
      <c r="N268" t="s">
        <v>25</v>
      </c>
      <c r="O268" t="s">
        <v>26</v>
      </c>
      <c r="P268" t="s">
        <v>36</v>
      </c>
      <c r="Q268" s="5"/>
      <c r="S268">
        <f>DATEDIF(D268,DATE(2026,9,30),"Y")</f>
        <v>30</v>
      </c>
      <c r="T268" s="6">
        <f>(IF(Q268="",DATE(2026,9,30),Q268)-E268)/365.25</f>
        <v>1.6454483230663928</v>
      </c>
      <c r="U268" t="str">
        <f>_xlfn.XLOOKUP(Table1_1[[#This Row],[Bo''lim]],Bolimlar!A:A,Bolimlar!B:B,"Topilmadi")</f>
        <v>Aziz Karimov</v>
      </c>
      <c r="V268">
        <f>IF(P268="Ha",1,0)</f>
        <v>0</v>
      </c>
      <c r="W268" t="str">
        <f>IF(T268&lt;1,"1 yildan kam",IF(T268&lt;3,"1-3 yil","3 yildan ko'p"))</f>
        <v>1-3 yil</v>
      </c>
    </row>
    <row r="269" spans="1:23" x14ac:dyDescent="0.3">
      <c r="A269" t="s">
        <v>945</v>
      </c>
      <c r="B269" t="s">
        <v>352</v>
      </c>
      <c r="C269" t="s">
        <v>20</v>
      </c>
      <c r="D269" s="5">
        <v>31634</v>
      </c>
      <c r="E269" s="5">
        <v>44288</v>
      </c>
      <c r="F269" t="s">
        <v>1035</v>
      </c>
      <c r="G269" t="s">
        <v>73</v>
      </c>
      <c r="H269" t="s">
        <v>68</v>
      </c>
      <c r="I269" t="s">
        <v>24</v>
      </c>
      <c r="J269">
        <v>7840000</v>
      </c>
      <c r="K269">
        <v>2</v>
      </c>
      <c r="L269">
        <v>1</v>
      </c>
      <c r="M269">
        <v>9</v>
      </c>
      <c r="N269" t="s">
        <v>41</v>
      </c>
      <c r="O269" t="s">
        <v>26</v>
      </c>
      <c r="P269" t="s">
        <v>27</v>
      </c>
      <c r="Q269" s="5">
        <v>45707</v>
      </c>
      <c r="R269" t="s">
        <v>155</v>
      </c>
      <c r="S269">
        <f>DATEDIF(D269,DATE(2026,9,30),"Y")</f>
        <v>40</v>
      </c>
      <c r="T269" s="6">
        <f>(IF(Q269="",DATE(2026,9,30),Q269)-E269)/365.25</f>
        <v>3.8850102669404518</v>
      </c>
      <c r="U269" t="str">
        <f>_xlfn.XLOOKUP(Table1_1[[#This Row],[Bo''lim]],Bolimlar!A:A,Bolimlar!B:B,"Topilmadi")</f>
        <v>Aziz Karimov</v>
      </c>
      <c r="V269">
        <f>IF(P269="Ha",1,0)</f>
        <v>1</v>
      </c>
      <c r="W269" t="str">
        <f>IF(T269&lt;1,"1 yildan kam",IF(T269&lt;3,"1-3 yil","3 yildan ko'p"))</f>
        <v>3 yildan ko'p</v>
      </c>
    </row>
    <row r="270" spans="1:23" x14ac:dyDescent="0.3">
      <c r="A270" t="s">
        <v>842</v>
      </c>
      <c r="B270" t="s">
        <v>636</v>
      </c>
      <c r="C270" t="s">
        <v>20</v>
      </c>
      <c r="D270" s="5">
        <v>35572</v>
      </c>
      <c r="E270" s="5">
        <v>44491</v>
      </c>
      <c r="F270" t="s">
        <v>1226</v>
      </c>
      <c r="G270" t="s">
        <v>57</v>
      </c>
      <c r="H270" t="s">
        <v>68</v>
      </c>
      <c r="I270" t="s">
        <v>24</v>
      </c>
      <c r="J270">
        <v>7810000</v>
      </c>
      <c r="K270">
        <v>4</v>
      </c>
      <c r="L270">
        <v>4</v>
      </c>
      <c r="M270">
        <v>23</v>
      </c>
      <c r="N270" t="s">
        <v>25</v>
      </c>
      <c r="O270" t="s">
        <v>35</v>
      </c>
      <c r="P270" t="s">
        <v>36</v>
      </c>
      <c r="Q270" s="5"/>
      <c r="S270">
        <f>DATEDIF(D270,DATE(2026,9,30),"Y")</f>
        <v>29</v>
      </c>
      <c r="T270" s="6">
        <f>(IF(Q270="",DATE(2026,9,30),Q270)-E270)/365.25</f>
        <v>4.9390828199863108</v>
      </c>
      <c r="U270" t="str">
        <f>_xlfn.XLOOKUP(Table1_1[[#This Row],[Bo''lim]],Bolimlar!A:A,Bolimlar!B:B,"Topilmadi")</f>
        <v>Madina Abdullayeva</v>
      </c>
      <c r="V270">
        <f>IF(P270="Ha",1,0)</f>
        <v>0</v>
      </c>
      <c r="W270" t="str">
        <f>IF(T270&lt;1,"1 yildan kam",IF(T270&lt;3,"1-3 yil","3 yildan ko'p"))</f>
        <v>3 yildan ko'p</v>
      </c>
    </row>
    <row r="271" spans="1:23" x14ac:dyDescent="0.3">
      <c r="A271" t="s">
        <v>952</v>
      </c>
      <c r="B271" t="s">
        <v>560</v>
      </c>
      <c r="C271" t="s">
        <v>20</v>
      </c>
      <c r="D271" s="5">
        <v>33551</v>
      </c>
      <c r="E271" s="5">
        <v>45088</v>
      </c>
      <c r="F271" t="s">
        <v>21</v>
      </c>
      <c r="G271" t="s">
        <v>22</v>
      </c>
      <c r="H271" t="s">
        <v>68</v>
      </c>
      <c r="I271" t="s">
        <v>34</v>
      </c>
      <c r="J271">
        <v>7780000</v>
      </c>
      <c r="K271">
        <v>4</v>
      </c>
      <c r="L271">
        <v>3</v>
      </c>
      <c r="M271">
        <v>10</v>
      </c>
      <c r="N271" t="s">
        <v>41</v>
      </c>
      <c r="O271" t="s">
        <v>26</v>
      </c>
      <c r="P271" t="s">
        <v>36</v>
      </c>
      <c r="Q271" s="5"/>
      <c r="S271">
        <f>DATEDIF(D271,DATE(2026,9,30),"Y")</f>
        <v>34</v>
      </c>
      <c r="T271" s="6">
        <f>(IF(Q271="",DATE(2026,9,30),Q271)-E271)/365.25</f>
        <v>3.3045859000684463</v>
      </c>
      <c r="U271" t="str">
        <f>_xlfn.XLOOKUP(Table1_1[[#This Row],[Bo''lim]],Bolimlar!A:A,Bolimlar!B:B,"Topilmadi")</f>
        <v>Jasur Yusupov</v>
      </c>
      <c r="V271">
        <f>IF(P271="Ha",1,0)</f>
        <v>0</v>
      </c>
      <c r="W271" t="str">
        <f>IF(T271&lt;1,"1 yildan kam",IF(T271&lt;3,"1-3 yil","3 yildan ko'p"))</f>
        <v>3 yildan ko'p</v>
      </c>
    </row>
    <row r="272" spans="1:23" x14ac:dyDescent="0.3">
      <c r="A272" t="s">
        <v>570</v>
      </c>
      <c r="B272" t="s">
        <v>265</v>
      </c>
      <c r="C272" t="s">
        <v>31</v>
      </c>
      <c r="D272" s="5">
        <v>34597</v>
      </c>
      <c r="E272" s="5">
        <v>44972</v>
      </c>
      <c r="F272" t="s">
        <v>484</v>
      </c>
      <c r="G272" t="s">
        <v>115</v>
      </c>
      <c r="H272" t="s">
        <v>68</v>
      </c>
      <c r="I272" t="s">
        <v>24</v>
      </c>
      <c r="J272">
        <v>7740000</v>
      </c>
      <c r="K272">
        <v>1</v>
      </c>
      <c r="L272">
        <v>3</v>
      </c>
      <c r="M272">
        <v>8</v>
      </c>
      <c r="N272" t="s">
        <v>25</v>
      </c>
      <c r="O272" t="s">
        <v>53</v>
      </c>
      <c r="P272" t="s">
        <v>36</v>
      </c>
      <c r="Q272" s="5"/>
      <c r="S272">
        <f>DATEDIF(D272,DATE(2026,9,30),"Y")</f>
        <v>32</v>
      </c>
      <c r="T272" s="6">
        <f>(IF(Q272="",DATE(2026,9,30),Q272)-E272)/365.25</f>
        <v>3.6221765913757702</v>
      </c>
      <c r="U272" t="str">
        <f>_xlfn.XLOOKUP(Table1_1[[#This Row],[Bo''lim]],Bolimlar!A:A,Bolimlar!B:B,"Topilmadi")</f>
        <v>Sardor Nazarov</v>
      </c>
      <c r="V272">
        <f>IF(P272="Ha",1,0)</f>
        <v>0</v>
      </c>
      <c r="W272" t="str">
        <f>IF(T272&lt;1,"1 yildan kam",IF(T272&lt;3,"1-3 yil","3 yildan ko'p"))</f>
        <v>3 yildan ko'p</v>
      </c>
    </row>
    <row r="273" spans="1:23" x14ac:dyDescent="0.3">
      <c r="A273" t="s">
        <v>688</v>
      </c>
      <c r="B273" t="s">
        <v>689</v>
      </c>
      <c r="C273" t="s">
        <v>31</v>
      </c>
      <c r="D273" s="5">
        <v>34857</v>
      </c>
      <c r="E273" s="5">
        <v>45707</v>
      </c>
      <c r="F273" t="s">
        <v>245</v>
      </c>
      <c r="G273" t="s">
        <v>127</v>
      </c>
      <c r="H273" t="s">
        <v>68</v>
      </c>
      <c r="I273" t="s">
        <v>24</v>
      </c>
      <c r="J273">
        <v>7730000</v>
      </c>
      <c r="K273">
        <v>4</v>
      </c>
      <c r="L273">
        <v>2</v>
      </c>
      <c r="M273">
        <v>12</v>
      </c>
      <c r="N273" t="s">
        <v>41</v>
      </c>
      <c r="O273" t="s">
        <v>26</v>
      </c>
      <c r="P273" t="s">
        <v>36</v>
      </c>
      <c r="Q273" s="5"/>
      <c r="S273">
        <f>DATEDIF(D273,DATE(2026,9,30),"Y")</f>
        <v>31</v>
      </c>
      <c r="T273" s="6">
        <f>(IF(Q273="",DATE(2026,9,30),Q273)-E273)/365.25</f>
        <v>1.6098562628336757</v>
      </c>
      <c r="U273" t="str">
        <f>_xlfn.XLOOKUP(Table1_1[[#This Row],[Bo''lim]],Bolimlar!A:A,Bolimlar!B:B,"Topilmadi")</f>
        <v>Dilnoza Rahimova</v>
      </c>
      <c r="V273">
        <f>IF(P273="Ha",1,0)</f>
        <v>0</v>
      </c>
      <c r="W273" t="str">
        <f>IF(T273&lt;1,"1 yildan kam",IF(T273&lt;3,"1-3 yil","3 yildan ko'p"))</f>
        <v>1-3 yil</v>
      </c>
    </row>
    <row r="274" spans="1:23" x14ac:dyDescent="0.3">
      <c r="A274" t="s">
        <v>909</v>
      </c>
      <c r="B274" t="s">
        <v>710</v>
      </c>
      <c r="C274" t="s">
        <v>20</v>
      </c>
      <c r="D274" s="5">
        <v>38762</v>
      </c>
      <c r="E274" s="5">
        <v>46117</v>
      </c>
      <c r="F274" t="s">
        <v>1035</v>
      </c>
      <c r="G274" t="s">
        <v>73</v>
      </c>
      <c r="H274" t="s">
        <v>68</v>
      </c>
      <c r="I274" t="s">
        <v>34</v>
      </c>
      <c r="J274">
        <v>7730000</v>
      </c>
      <c r="K274">
        <v>4</v>
      </c>
      <c r="L274">
        <v>4</v>
      </c>
      <c r="M274">
        <v>20</v>
      </c>
      <c r="N274" t="s">
        <v>41</v>
      </c>
      <c r="O274" t="s">
        <v>26</v>
      </c>
      <c r="P274" t="s">
        <v>27</v>
      </c>
      <c r="Q274" s="5">
        <v>46273</v>
      </c>
      <c r="R274" t="s">
        <v>61</v>
      </c>
      <c r="S274">
        <f>DATEDIF(D274,DATE(2026,9,30),"Y")</f>
        <v>20</v>
      </c>
      <c r="T274" s="6">
        <f>(IF(Q274="",DATE(2026,9,30),Q274)-E274)/365.25</f>
        <v>0.4271047227926078</v>
      </c>
      <c r="U274" t="str">
        <f>_xlfn.XLOOKUP(Table1_1[[#This Row],[Bo''lim]],Bolimlar!A:A,Bolimlar!B:B,"Topilmadi")</f>
        <v>Aziz Karimov</v>
      </c>
      <c r="V274">
        <f>IF(P274="Ha",1,0)</f>
        <v>1</v>
      </c>
      <c r="W274" t="str">
        <f>IF(T274&lt;1,"1 yildan kam",IF(T274&lt;3,"1-3 yil","3 yildan ko'p"))</f>
        <v>1 yildan kam</v>
      </c>
    </row>
    <row r="275" spans="1:23" x14ac:dyDescent="0.3">
      <c r="A275" t="s">
        <v>1133</v>
      </c>
      <c r="B275" t="s">
        <v>510</v>
      </c>
      <c r="C275" t="s">
        <v>31</v>
      </c>
      <c r="D275" s="5">
        <v>27975</v>
      </c>
      <c r="E275" s="5">
        <v>43480</v>
      </c>
      <c r="F275" t="s">
        <v>1226</v>
      </c>
      <c r="G275" t="s">
        <v>57</v>
      </c>
      <c r="H275" t="s">
        <v>68</v>
      </c>
      <c r="I275" t="s">
        <v>44</v>
      </c>
      <c r="J275">
        <v>7730000</v>
      </c>
      <c r="K275">
        <v>2</v>
      </c>
      <c r="L275">
        <v>2</v>
      </c>
      <c r="M275">
        <v>25</v>
      </c>
      <c r="N275" t="s">
        <v>41</v>
      </c>
      <c r="O275" t="s">
        <v>35</v>
      </c>
      <c r="P275" t="s">
        <v>36</v>
      </c>
      <c r="Q275" s="5"/>
      <c r="S275">
        <f>DATEDIF(D275,DATE(2026,9,30),"Y")</f>
        <v>50</v>
      </c>
      <c r="T275" s="6">
        <f>(IF(Q275="",DATE(2026,9,30),Q275)-E275)/365.25</f>
        <v>7.7070499657768652</v>
      </c>
      <c r="U275" t="str">
        <f>_xlfn.XLOOKUP(Table1_1[[#This Row],[Bo''lim]],Bolimlar!A:A,Bolimlar!B:B,"Topilmadi")</f>
        <v>Madina Abdullayeva</v>
      </c>
      <c r="V275">
        <f>IF(P275="Ha",1,0)</f>
        <v>0</v>
      </c>
      <c r="W275" t="str">
        <f>IF(T275&lt;1,"1 yildan kam",IF(T275&lt;3,"1-3 yil","3 yildan ko'p"))</f>
        <v>3 yildan ko'p</v>
      </c>
    </row>
    <row r="276" spans="1:23" x14ac:dyDescent="0.3">
      <c r="A276" t="s">
        <v>199</v>
      </c>
      <c r="B276" t="s">
        <v>200</v>
      </c>
      <c r="C276" t="s">
        <v>31</v>
      </c>
      <c r="D276" s="5">
        <v>35912</v>
      </c>
      <c r="E276" s="5">
        <v>44772</v>
      </c>
      <c r="F276" t="s">
        <v>484</v>
      </c>
      <c r="G276" t="s">
        <v>115</v>
      </c>
      <c r="H276" t="s">
        <v>68</v>
      </c>
      <c r="I276" t="s">
        <v>44</v>
      </c>
      <c r="J276">
        <v>7720000</v>
      </c>
      <c r="K276">
        <v>3</v>
      </c>
      <c r="L276">
        <v>2</v>
      </c>
      <c r="M276">
        <v>21</v>
      </c>
      <c r="N276" t="s">
        <v>88</v>
      </c>
      <c r="O276" t="s">
        <v>26</v>
      </c>
      <c r="P276" t="s">
        <v>36</v>
      </c>
      <c r="Q276" s="5"/>
      <c r="S276">
        <f>DATEDIF(D276,DATE(2026,9,30),"Y")</f>
        <v>28</v>
      </c>
      <c r="T276" s="6">
        <f>(IF(Q276="",DATE(2026,9,30),Q276)-E276)/365.25</f>
        <v>4.16974674880219</v>
      </c>
      <c r="U276" t="str">
        <f>_xlfn.XLOOKUP(Table1_1[[#This Row],[Bo''lim]],Bolimlar!A:A,Bolimlar!B:B,"Topilmadi")</f>
        <v>Sardor Nazarov</v>
      </c>
      <c r="V276">
        <f>IF(P276="Ha",1,0)</f>
        <v>0</v>
      </c>
      <c r="W276" t="str">
        <f>IF(T276&lt;1,"1 yildan kam",IF(T276&lt;3,"1-3 yil","3 yildan ko'p"))</f>
        <v>3 yildan ko'p</v>
      </c>
    </row>
    <row r="277" spans="1:23" x14ac:dyDescent="0.3">
      <c r="A277" t="s">
        <v>1106</v>
      </c>
      <c r="B277" t="s">
        <v>119</v>
      </c>
      <c r="C277" t="s">
        <v>31</v>
      </c>
      <c r="D277" s="5">
        <v>29328</v>
      </c>
      <c r="E277" s="5">
        <v>45111</v>
      </c>
      <c r="F277" t="s">
        <v>1035</v>
      </c>
      <c r="G277" t="s">
        <v>65</v>
      </c>
      <c r="H277" t="s">
        <v>68</v>
      </c>
      <c r="I277" t="s">
        <v>96</v>
      </c>
      <c r="J277">
        <v>7710000</v>
      </c>
      <c r="K277">
        <v>3</v>
      </c>
      <c r="L277">
        <v>1</v>
      </c>
      <c r="M277">
        <v>12</v>
      </c>
      <c r="N277" t="s">
        <v>41</v>
      </c>
      <c r="O277" t="s">
        <v>26</v>
      </c>
      <c r="P277" t="s">
        <v>27</v>
      </c>
      <c r="Q277" s="5">
        <v>45916</v>
      </c>
      <c r="R277" t="s">
        <v>111</v>
      </c>
      <c r="S277">
        <f>DATEDIF(D277,DATE(2026,9,30),"Y")</f>
        <v>46</v>
      </c>
      <c r="T277" s="6">
        <f>(IF(Q277="",DATE(2026,9,30),Q277)-E277)/365.25</f>
        <v>2.2039698836413417</v>
      </c>
      <c r="U277" t="str">
        <f>_xlfn.XLOOKUP(Table1_1[[#This Row],[Bo''lim]],Bolimlar!A:A,Bolimlar!B:B,"Topilmadi")</f>
        <v>Aziz Karimov</v>
      </c>
      <c r="V277">
        <f>IF(P277="Ha",1,0)</f>
        <v>1</v>
      </c>
      <c r="W277" t="str">
        <f>IF(T277&lt;1,"1 yildan kam",IF(T277&lt;3,"1-3 yil","3 yildan ko'p"))</f>
        <v>1-3 yil</v>
      </c>
    </row>
    <row r="278" spans="1:23" x14ac:dyDescent="0.3">
      <c r="A278" t="s">
        <v>446</v>
      </c>
      <c r="B278" t="s">
        <v>141</v>
      </c>
      <c r="C278" t="s">
        <v>20</v>
      </c>
      <c r="D278" s="5">
        <v>36292</v>
      </c>
      <c r="E278" s="5">
        <v>45077</v>
      </c>
      <c r="F278" t="s">
        <v>245</v>
      </c>
      <c r="G278" t="s">
        <v>48</v>
      </c>
      <c r="H278" t="s">
        <v>68</v>
      </c>
      <c r="I278" t="s">
        <v>206</v>
      </c>
      <c r="J278">
        <v>7690000</v>
      </c>
      <c r="K278">
        <v>4</v>
      </c>
      <c r="L278">
        <v>5</v>
      </c>
      <c r="M278">
        <v>4</v>
      </c>
      <c r="N278" t="s">
        <v>41</v>
      </c>
      <c r="O278" t="s">
        <v>35</v>
      </c>
      <c r="P278" t="s">
        <v>36</v>
      </c>
      <c r="Q278" s="5"/>
      <c r="S278">
        <f>DATEDIF(D278,DATE(2026,9,30),"Y")</f>
        <v>27</v>
      </c>
      <c r="T278" s="6">
        <f>(IF(Q278="",DATE(2026,9,30),Q278)-E278)/365.25</f>
        <v>3.3347022587268995</v>
      </c>
      <c r="U278" t="str">
        <f>_xlfn.XLOOKUP(Table1_1[[#This Row],[Bo''lim]],Bolimlar!A:A,Bolimlar!B:B,"Topilmadi")</f>
        <v>Dilnoza Rahimova</v>
      </c>
      <c r="V278">
        <f>IF(P278="Ha",1,0)</f>
        <v>0</v>
      </c>
      <c r="W278" t="str">
        <f>IF(T278&lt;1,"1 yildan kam",IF(T278&lt;3,"1-3 yil","3 yildan ko'p"))</f>
        <v>3 yildan ko'p</v>
      </c>
    </row>
    <row r="279" spans="1:23" x14ac:dyDescent="0.3">
      <c r="A279" t="s">
        <v>821</v>
      </c>
      <c r="B279" t="s">
        <v>822</v>
      </c>
      <c r="C279" t="s">
        <v>20</v>
      </c>
      <c r="D279" s="5">
        <v>35397</v>
      </c>
      <c r="E279" s="5">
        <v>43454</v>
      </c>
      <c r="F279" t="s">
        <v>484</v>
      </c>
      <c r="G279" t="s">
        <v>115</v>
      </c>
      <c r="H279" t="s">
        <v>68</v>
      </c>
      <c r="I279" t="s">
        <v>96</v>
      </c>
      <c r="J279">
        <v>7690000</v>
      </c>
      <c r="K279">
        <v>4</v>
      </c>
      <c r="L279">
        <v>5</v>
      </c>
      <c r="M279">
        <v>19</v>
      </c>
      <c r="N279" t="s">
        <v>88</v>
      </c>
      <c r="O279" t="s">
        <v>26</v>
      </c>
      <c r="P279" t="s">
        <v>36</v>
      </c>
      <c r="Q279" s="5"/>
      <c r="S279">
        <f>DATEDIF(D279,DATE(2026,9,30),"Y")</f>
        <v>29</v>
      </c>
      <c r="T279" s="6">
        <f>(IF(Q279="",DATE(2026,9,30),Q279)-E279)/365.25</f>
        <v>7.7782340862422998</v>
      </c>
      <c r="U279" t="str">
        <f>_xlfn.XLOOKUP(Table1_1[[#This Row],[Bo''lim]],Bolimlar!A:A,Bolimlar!B:B,"Topilmadi")</f>
        <v>Sardor Nazarov</v>
      </c>
      <c r="V279">
        <f>IF(P279="Ha",1,0)</f>
        <v>0</v>
      </c>
      <c r="W279" t="str">
        <f>IF(T279&lt;1,"1 yildan kam",IF(T279&lt;3,"1-3 yil","3 yildan ko'p"))</f>
        <v>3 yildan ko'p</v>
      </c>
    </row>
    <row r="280" spans="1:23" x14ac:dyDescent="0.3">
      <c r="A280" t="s">
        <v>955</v>
      </c>
      <c r="B280" t="s">
        <v>481</v>
      </c>
      <c r="C280" t="s">
        <v>31</v>
      </c>
      <c r="D280" s="5">
        <v>30920</v>
      </c>
      <c r="E280" s="5">
        <v>46247</v>
      </c>
      <c r="F280" t="s">
        <v>1035</v>
      </c>
      <c r="G280" t="s">
        <v>79</v>
      </c>
      <c r="H280" t="s">
        <v>68</v>
      </c>
      <c r="I280" t="s">
        <v>24</v>
      </c>
      <c r="J280">
        <v>7680000</v>
      </c>
      <c r="K280">
        <v>5</v>
      </c>
      <c r="L280">
        <v>5</v>
      </c>
      <c r="M280">
        <v>2</v>
      </c>
      <c r="N280" t="s">
        <v>25</v>
      </c>
      <c r="O280" t="s">
        <v>53</v>
      </c>
      <c r="P280" t="s">
        <v>36</v>
      </c>
      <c r="Q280" s="5"/>
      <c r="S280">
        <f>DATEDIF(D280,DATE(2026,9,30),"Y")</f>
        <v>42</v>
      </c>
      <c r="T280" s="6">
        <f>(IF(Q280="",DATE(2026,9,30),Q280)-E280)/365.25</f>
        <v>0.13141683778234087</v>
      </c>
      <c r="U280" t="str">
        <f>_xlfn.XLOOKUP(Table1_1[[#This Row],[Bo''lim]],Bolimlar!A:A,Bolimlar!B:B,"Topilmadi")</f>
        <v>Aziz Karimov</v>
      </c>
      <c r="V280">
        <f>IF(P280="Ha",1,0)</f>
        <v>0</v>
      </c>
      <c r="W280" t="str">
        <f>IF(T280&lt;1,"1 yildan kam",IF(T280&lt;3,"1-3 yil","3 yildan ko'p"))</f>
        <v>1 yildan kam</v>
      </c>
    </row>
    <row r="281" spans="1:23" x14ac:dyDescent="0.3">
      <c r="A281" t="s">
        <v>462</v>
      </c>
      <c r="B281" t="s">
        <v>463</v>
      </c>
      <c r="C281" t="s">
        <v>31</v>
      </c>
      <c r="D281" s="5">
        <v>36943</v>
      </c>
      <c r="E281" s="5">
        <v>45410</v>
      </c>
      <c r="F281" t="s">
        <v>245</v>
      </c>
      <c r="G281" t="s">
        <v>90</v>
      </c>
      <c r="H281" t="s">
        <v>68</v>
      </c>
      <c r="I281" t="s">
        <v>44</v>
      </c>
      <c r="J281">
        <v>7660000</v>
      </c>
      <c r="K281">
        <v>4</v>
      </c>
      <c r="L281">
        <v>2</v>
      </c>
      <c r="M281">
        <v>11</v>
      </c>
      <c r="N281" t="s">
        <v>88</v>
      </c>
      <c r="O281" t="s">
        <v>53</v>
      </c>
      <c r="P281" t="s">
        <v>36</v>
      </c>
      <c r="Q281" s="5"/>
      <c r="S281">
        <f>DATEDIF(D281,DATE(2026,9,30),"Y")</f>
        <v>25</v>
      </c>
      <c r="T281" s="6">
        <f>(IF(Q281="",DATE(2026,9,30),Q281)-E281)/365.25</f>
        <v>2.4229979466119098</v>
      </c>
      <c r="U281" t="str">
        <f>_xlfn.XLOOKUP(Table1_1[[#This Row],[Bo''lim]],Bolimlar!A:A,Bolimlar!B:B,"Topilmadi")</f>
        <v>Dilnoza Rahimova</v>
      </c>
      <c r="V281">
        <f>IF(P281="Ha",1,0)</f>
        <v>0</v>
      </c>
      <c r="W281" t="str">
        <f>IF(T281&lt;1,"1 yildan kam",IF(T281&lt;3,"1-3 yil","3 yildan ko'p"))</f>
        <v>1-3 yil</v>
      </c>
    </row>
    <row r="282" spans="1:23" x14ac:dyDescent="0.3">
      <c r="A282" t="s">
        <v>268</v>
      </c>
      <c r="B282" t="s">
        <v>269</v>
      </c>
      <c r="C282" t="s">
        <v>20</v>
      </c>
      <c r="D282" s="5">
        <v>32424</v>
      </c>
      <c r="E282" s="5">
        <v>43541</v>
      </c>
      <c r="F282" t="s">
        <v>484</v>
      </c>
      <c r="G282" t="s">
        <v>196</v>
      </c>
      <c r="H282" t="s">
        <v>68</v>
      </c>
      <c r="I282" t="s">
        <v>96</v>
      </c>
      <c r="J282">
        <v>7630000</v>
      </c>
      <c r="K282">
        <v>3</v>
      </c>
      <c r="L282">
        <v>2</v>
      </c>
      <c r="M282">
        <v>13</v>
      </c>
      <c r="N282" t="s">
        <v>41</v>
      </c>
      <c r="O282" t="s">
        <v>35</v>
      </c>
      <c r="P282" t="s">
        <v>36</v>
      </c>
      <c r="Q282" s="5"/>
      <c r="S282">
        <f>DATEDIF(D282,DATE(2026,9,30),"Y")</f>
        <v>37</v>
      </c>
      <c r="T282" s="6">
        <f>(IF(Q282="",DATE(2026,9,30),Q282)-E282)/365.25</f>
        <v>7.5400410677618073</v>
      </c>
      <c r="U282" t="str">
        <f>_xlfn.XLOOKUP(Table1_1[[#This Row],[Bo''lim]],Bolimlar!A:A,Bolimlar!B:B,"Topilmadi")</f>
        <v>Sardor Nazarov</v>
      </c>
      <c r="V282">
        <f>IF(P282="Ha",1,0)</f>
        <v>0</v>
      </c>
      <c r="W282" t="str">
        <f>IF(T282&lt;1,"1 yildan kam",IF(T282&lt;3,"1-3 yil","3 yildan ko'p"))</f>
        <v>3 yildan ko'p</v>
      </c>
    </row>
    <row r="283" spans="1:23" x14ac:dyDescent="0.3">
      <c r="A283" t="s">
        <v>960</v>
      </c>
      <c r="B283" t="s">
        <v>961</v>
      </c>
      <c r="C283" t="s">
        <v>20</v>
      </c>
      <c r="D283" s="5">
        <v>38916</v>
      </c>
      <c r="E283" s="5">
        <v>46262</v>
      </c>
      <c r="F283" t="s">
        <v>484</v>
      </c>
      <c r="G283" t="s">
        <v>196</v>
      </c>
      <c r="H283" t="s">
        <v>68</v>
      </c>
      <c r="I283" t="s">
        <v>44</v>
      </c>
      <c r="J283">
        <v>7610000</v>
      </c>
      <c r="K283">
        <v>3</v>
      </c>
      <c r="L283">
        <v>2</v>
      </c>
      <c r="M283">
        <v>4</v>
      </c>
      <c r="N283" t="s">
        <v>41</v>
      </c>
      <c r="O283" t="s">
        <v>26</v>
      </c>
      <c r="P283" t="s">
        <v>36</v>
      </c>
      <c r="Q283" s="5"/>
      <c r="S283">
        <f>DATEDIF(D283,DATE(2026,9,30),"Y")</f>
        <v>20</v>
      </c>
      <c r="T283" s="6">
        <f>(IF(Q283="",DATE(2026,9,30),Q283)-E283)/365.25</f>
        <v>9.034907597535935E-2</v>
      </c>
      <c r="U283" t="str">
        <f>_xlfn.XLOOKUP(Table1_1[[#This Row],[Bo''lim]],Bolimlar!A:A,Bolimlar!B:B,"Topilmadi")</f>
        <v>Sardor Nazarov</v>
      </c>
      <c r="V283">
        <f>IF(P283="Ha",1,0)</f>
        <v>0</v>
      </c>
      <c r="W283" t="str">
        <f>IF(T283&lt;1,"1 yildan kam",IF(T283&lt;3,"1-3 yil","3 yildan ko'p"))</f>
        <v>1 yildan kam</v>
      </c>
    </row>
    <row r="284" spans="1:23" x14ac:dyDescent="0.3">
      <c r="A284" t="s">
        <v>753</v>
      </c>
      <c r="B284" t="s">
        <v>754</v>
      </c>
      <c r="C284" t="s">
        <v>20</v>
      </c>
      <c r="D284" s="5">
        <v>32894</v>
      </c>
      <c r="E284" s="5">
        <v>42999</v>
      </c>
      <c r="F284" t="s">
        <v>1226</v>
      </c>
      <c r="G284" t="s">
        <v>142</v>
      </c>
      <c r="H284" t="s">
        <v>68</v>
      </c>
      <c r="I284" t="s">
        <v>34</v>
      </c>
      <c r="J284">
        <v>7590000</v>
      </c>
      <c r="K284">
        <v>3</v>
      </c>
      <c r="L284">
        <v>4</v>
      </c>
      <c r="M284">
        <v>3</v>
      </c>
      <c r="N284" t="s">
        <v>25</v>
      </c>
      <c r="O284" t="s">
        <v>26</v>
      </c>
      <c r="P284" t="s">
        <v>36</v>
      </c>
      <c r="Q284" s="5"/>
      <c r="S284">
        <f>DATEDIF(D284,DATE(2026,9,30),"Y")</f>
        <v>36</v>
      </c>
      <c r="T284" s="6">
        <f>(IF(Q284="",DATE(2026,9,30),Q284)-E284)/365.25</f>
        <v>9.0239561943874058</v>
      </c>
      <c r="U284" t="str">
        <f>_xlfn.XLOOKUP(Table1_1[[#This Row],[Bo''lim]],Bolimlar!A:A,Bolimlar!B:B,"Topilmadi")</f>
        <v>Madina Abdullayeva</v>
      </c>
      <c r="V284">
        <f>IF(P284="Ha",1,0)</f>
        <v>0</v>
      </c>
      <c r="W284" t="str">
        <f>IF(T284&lt;1,"1 yildan kam",IF(T284&lt;3,"1-3 yil","3 yildan ko'p"))</f>
        <v>3 yildan ko'p</v>
      </c>
    </row>
    <row r="285" spans="1:23" x14ac:dyDescent="0.3">
      <c r="A285" t="s">
        <v>1054</v>
      </c>
      <c r="B285" t="s">
        <v>431</v>
      </c>
      <c r="C285" t="s">
        <v>20</v>
      </c>
      <c r="D285" s="5">
        <v>32517</v>
      </c>
      <c r="E285" s="5">
        <v>45325</v>
      </c>
      <c r="F285" t="s">
        <v>1035</v>
      </c>
      <c r="G285" t="s">
        <v>65</v>
      </c>
      <c r="H285" t="s">
        <v>68</v>
      </c>
      <c r="I285" t="s">
        <v>24</v>
      </c>
      <c r="J285">
        <v>7590000</v>
      </c>
      <c r="K285">
        <v>3</v>
      </c>
      <c r="L285">
        <v>4</v>
      </c>
      <c r="M285">
        <v>31</v>
      </c>
      <c r="N285" t="s">
        <v>41</v>
      </c>
      <c r="O285" t="s">
        <v>35</v>
      </c>
      <c r="P285" t="s">
        <v>36</v>
      </c>
      <c r="Q285" s="5"/>
      <c r="S285">
        <f>DATEDIF(D285,DATE(2026,9,30),"Y")</f>
        <v>37</v>
      </c>
      <c r="T285" s="6">
        <f>(IF(Q285="",DATE(2026,9,30),Q285)-E285)/365.25</f>
        <v>2.6557152635181382</v>
      </c>
      <c r="U285" t="str">
        <f>_xlfn.XLOOKUP(Table1_1[[#This Row],[Bo''lim]],Bolimlar!A:A,Bolimlar!B:B,"Topilmadi")</f>
        <v>Aziz Karimov</v>
      </c>
      <c r="V285">
        <f>IF(P285="Ha",1,0)</f>
        <v>0</v>
      </c>
      <c r="W285" t="str">
        <f>IF(T285&lt;1,"1 yildan kam",IF(T285&lt;3,"1-3 yil","3 yildan ko'p"))</f>
        <v>1-3 yil</v>
      </c>
    </row>
    <row r="286" spans="1:23" x14ac:dyDescent="0.3">
      <c r="A286" t="s">
        <v>201</v>
      </c>
      <c r="B286" t="s">
        <v>202</v>
      </c>
      <c r="C286" t="s">
        <v>20</v>
      </c>
      <c r="D286" s="5">
        <v>36000</v>
      </c>
      <c r="E286" s="5">
        <v>44989</v>
      </c>
      <c r="F286" t="s">
        <v>1035</v>
      </c>
      <c r="G286" t="s">
        <v>65</v>
      </c>
      <c r="H286" t="s">
        <v>68</v>
      </c>
      <c r="I286" t="s">
        <v>24</v>
      </c>
      <c r="J286">
        <v>7550000</v>
      </c>
      <c r="K286">
        <v>4</v>
      </c>
      <c r="L286">
        <v>2</v>
      </c>
      <c r="M286">
        <v>0</v>
      </c>
      <c r="N286" t="s">
        <v>41</v>
      </c>
      <c r="O286" t="s">
        <v>35</v>
      </c>
      <c r="P286" t="s">
        <v>27</v>
      </c>
      <c r="Q286" s="5">
        <v>45823</v>
      </c>
      <c r="R286" t="s">
        <v>155</v>
      </c>
      <c r="S286">
        <f>DATEDIF(D286,DATE(2026,9,30),"Y")</f>
        <v>28</v>
      </c>
      <c r="T286" s="6">
        <f>(IF(Q286="",DATE(2026,9,30),Q286)-E286)/365.25</f>
        <v>2.2833675564681726</v>
      </c>
      <c r="U286" t="str">
        <f>_xlfn.XLOOKUP(Table1_1[[#This Row],[Bo''lim]],Bolimlar!A:A,Bolimlar!B:B,"Topilmadi")</f>
        <v>Aziz Karimov</v>
      </c>
      <c r="V286">
        <f>IF(P286="Ha",1,0)</f>
        <v>1</v>
      </c>
      <c r="W286" t="str">
        <f>IF(T286&lt;1,"1 yildan kam",IF(T286&lt;3,"1-3 yil","3 yildan ko'p"))</f>
        <v>1-3 yil</v>
      </c>
    </row>
    <row r="287" spans="1:23" x14ac:dyDescent="0.3">
      <c r="A287" t="s">
        <v>337</v>
      </c>
      <c r="B287" t="s">
        <v>338</v>
      </c>
      <c r="C287" t="s">
        <v>31</v>
      </c>
      <c r="D287" s="5">
        <v>35906</v>
      </c>
      <c r="E287" s="5">
        <v>45191</v>
      </c>
      <c r="F287" t="s">
        <v>245</v>
      </c>
      <c r="G287" t="s">
        <v>90</v>
      </c>
      <c r="H287" t="s">
        <v>68</v>
      </c>
      <c r="I287" t="s">
        <v>24</v>
      </c>
      <c r="J287">
        <v>7550000</v>
      </c>
      <c r="K287">
        <v>4</v>
      </c>
      <c r="L287">
        <v>1</v>
      </c>
      <c r="M287">
        <v>20</v>
      </c>
      <c r="N287" t="s">
        <v>25</v>
      </c>
      <c r="O287" t="s">
        <v>26</v>
      </c>
      <c r="P287" t="s">
        <v>27</v>
      </c>
      <c r="Q287" s="5">
        <v>46017</v>
      </c>
      <c r="R287" t="s">
        <v>61</v>
      </c>
      <c r="S287">
        <f>DATEDIF(D287,DATE(2026,9,30),"Y")</f>
        <v>28</v>
      </c>
      <c r="T287" s="6">
        <f>(IF(Q287="",DATE(2026,9,30),Q287)-E287)/365.25</f>
        <v>2.2614647501711156</v>
      </c>
      <c r="U287" t="str">
        <f>_xlfn.XLOOKUP(Table1_1[[#This Row],[Bo''lim]],Bolimlar!A:A,Bolimlar!B:B,"Topilmadi")</f>
        <v>Dilnoza Rahimova</v>
      </c>
      <c r="V287">
        <f>IF(P287="Ha",1,0)</f>
        <v>1</v>
      </c>
      <c r="W287" t="str">
        <f>IF(T287&lt;1,"1 yildan kam",IF(T287&lt;3,"1-3 yil","3 yildan ko'p"))</f>
        <v>1-3 yil</v>
      </c>
    </row>
    <row r="288" spans="1:23" x14ac:dyDescent="0.3">
      <c r="A288" t="s">
        <v>1070</v>
      </c>
      <c r="B288" t="s">
        <v>161</v>
      </c>
      <c r="C288" t="s">
        <v>20</v>
      </c>
      <c r="D288" s="5">
        <v>31880</v>
      </c>
      <c r="E288" s="5">
        <v>45260</v>
      </c>
      <c r="F288" t="s">
        <v>39</v>
      </c>
      <c r="G288" t="s">
        <v>40</v>
      </c>
      <c r="H288" t="s">
        <v>68</v>
      </c>
      <c r="I288" t="s">
        <v>24</v>
      </c>
      <c r="J288">
        <v>7430000</v>
      </c>
      <c r="K288">
        <v>3</v>
      </c>
      <c r="L288">
        <v>4</v>
      </c>
      <c r="M288">
        <v>15</v>
      </c>
      <c r="N288" t="s">
        <v>25</v>
      </c>
      <c r="O288" t="s">
        <v>26</v>
      </c>
      <c r="P288" t="s">
        <v>36</v>
      </c>
      <c r="Q288" s="5"/>
      <c r="S288">
        <f>DATEDIF(D288,DATE(2026,9,30),"Y")</f>
        <v>39</v>
      </c>
      <c r="T288" s="6">
        <f>(IF(Q288="",DATE(2026,9,30),Q288)-E288)/365.25</f>
        <v>2.8336755646817249</v>
      </c>
      <c r="U288" t="str">
        <f>_xlfn.XLOOKUP(Table1_1[[#This Row],[Bo''lim]],Bolimlar!A:A,Bolimlar!B:B,"Topilmadi")</f>
        <v>Nodira Tursunova</v>
      </c>
      <c r="V288">
        <f>IF(P288="Ha",1,0)</f>
        <v>0</v>
      </c>
      <c r="W288" t="str">
        <f>IF(T288&lt;1,"1 yildan kam",IF(T288&lt;3,"1-3 yil","3 yildan ko'p"))</f>
        <v>1-3 yil</v>
      </c>
    </row>
    <row r="289" spans="1:23" x14ac:dyDescent="0.3">
      <c r="A289" t="s">
        <v>696</v>
      </c>
      <c r="B289" t="s">
        <v>697</v>
      </c>
      <c r="C289" t="s">
        <v>20</v>
      </c>
      <c r="D289" s="5">
        <v>33485</v>
      </c>
      <c r="E289" s="5">
        <v>46099</v>
      </c>
      <c r="F289" t="s">
        <v>39</v>
      </c>
      <c r="G289" t="s">
        <v>40</v>
      </c>
      <c r="H289" t="s">
        <v>68</v>
      </c>
      <c r="I289" t="s">
        <v>34</v>
      </c>
      <c r="J289">
        <v>7420000</v>
      </c>
      <c r="K289">
        <v>4</v>
      </c>
      <c r="L289">
        <v>4</v>
      </c>
      <c r="M289">
        <v>14</v>
      </c>
      <c r="N289" t="s">
        <v>41</v>
      </c>
      <c r="O289" t="s">
        <v>53</v>
      </c>
      <c r="P289" t="s">
        <v>36</v>
      </c>
      <c r="Q289" s="5"/>
      <c r="S289">
        <f>DATEDIF(D289,DATE(2026,9,30),"Y")</f>
        <v>35</v>
      </c>
      <c r="T289" s="6">
        <f>(IF(Q289="",DATE(2026,9,30),Q289)-E289)/365.25</f>
        <v>0.53661875427789185</v>
      </c>
      <c r="U289" t="str">
        <f>_xlfn.XLOOKUP(Table1_1[[#This Row],[Bo''lim]],Bolimlar!A:A,Bolimlar!B:B,"Topilmadi")</f>
        <v>Nodira Tursunova</v>
      </c>
      <c r="V289">
        <f>IF(P289="Ha",1,0)</f>
        <v>0</v>
      </c>
      <c r="W289" t="str">
        <f>IF(T289&lt;1,"1 yildan kam",IF(T289&lt;3,"1-3 yil","3 yildan ko'p"))</f>
        <v>1 yildan kam</v>
      </c>
    </row>
    <row r="290" spans="1:23" x14ac:dyDescent="0.3">
      <c r="A290" t="s">
        <v>1090</v>
      </c>
      <c r="B290" t="s">
        <v>352</v>
      </c>
      <c r="C290" t="s">
        <v>20</v>
      </c>
      <c r="D290" s="5">
        <v>34628</v>
      </c>
      <c r="E290" s="5">
        <v>44866</v>
      </c>
      <c r="F290" t="s">
        <v>245</v>
      </c>
      <c r="G290" t="s">
        <v>48</v>
      </c>
      <c r="H290" t="s">
        <v>68</v>
      </c>
      <c r="I290" t="s">
        <v>104</v>
      </c>
      <c r="J290">
        <v>7410000</v>
      </c>
      <c r="K290">
        <v>4</v>
      </c>
      <c r="L290">
        <v>1</v>
      </c>
      <c r="M290">
        <v>9</v>
      </c>
      <c r="N290" t="s">
        <v>88</v>
      </c>
      <c r="O290" t="s">
        <v>35</v>
      </c>
      <c r="P290" t="s">
        <v>27</v>
      </c>
      <c r="Q290" s="5">
        <v>45847</v>
      </c>
      <c r="R290" t="s">
        <v>155</v>
      </c>
      <c r="S290">
        <f>DATEDIF(D290,DATE(2026,9,30),"Y")</f>
        <v>31</v>
      </c>
      <c r="T290" s="6">
        <f>(IF(Q290="",DATE(2026,9,30),Q290)-E290)/365.25</f>
        <v>2.6858316221765914</v>
      </c>
      <c r="U290" t="str">
        <f>_xlfn.XLOOKUP(Table1_1[[#This Row],[Bo''lim]],Bolimlar!A:A,Bolimlar!B:B,"Topilmadi")</f>
        <v>Dilnoza Rahimova</v>
      </c>
      <c r="V290">
        <f>IF(P290="Ha",1,0)</f>
        <v>1</v>
      </c>
      <c r="W290" t="str">
        <f>IF(T290&lt;1,"1 yildan kam",IF(T290&lt;3,"1-3 yil","3 yildan ko'p"))</f>
        <v>1-3 yil</v>
      </c>
    </row>
    <row r="291" spans="1:23" x14ac:dyDescent="0.3">
      <c r="A291" t="s">
        <v>1249</v>
      </c>
      <c r="B291" t="s">
        <v>1250</v>
      </c>
      <c r="C291" t="s">
        <v>31</v>
      </c>
      <c r="D291" s="5">
        <v>32287</v>
      </c>
      <c r="E291" s="5">
        <v>45105</v>
      </c>
      <c r="F291" t="s">
        <v>484</v>
      </c>
      <c r="G291" t="s">
        <v>150</v>
      </c>
      <c r="H291" t="s">
        <v>68</v>
      </c>
      <c r="I291" t="s">
        <v>44</v>
      </c>
      <c r="J291">
        <v>7380000</v>
      </c>
      <c r="K291">
        <v>3</v>
      </c>
      <c r="L291">
        <v>1</v>
      </c>
      <c r="M291">
        <v>4</v>
      </c>
      <c r="N291" t="s">
        <v>25</v>
      </c>
      <c r="O291" t="s">
        <v>35</v>
      </c>
      <c r="P291" t="s">
        <v>36</v>
      </c>
      <c r="Q291" s="5"/>
      <c r="S291">
        <f>DATEDIF(D291,DATE(2026,9,30),"Y")</f>
        <v>38</v>
      </c>
      <c r="T291" s="6">
        <f>(IF(Q291="",DATE(2026,9,30),Q291)-E291)/365.25</f>
        <v>3.2580424366872007</v>
      </c>
      <c r="U291" t="str">
        <f>_xlfn.XLOOKUP(Table1_1[[#This Row],[Bo''lim]],Bolimlar!A:A,Bolimlar!B:B,"Topilmadi")</f>
        <v>Sardor Nazarov</v>
      </c>
      <c r="V291">
        <f>IF(P291="Ha",1,0)</f>
        <v>0</v>
      </c>
      <c r="W291" t="str">
        <f>IF(T291&lt;1,"1 yildan kam",IF(T291&lt;3,"1-3 yil","3 yildan ko'p"))</f>
        <v>3 yildan ko'p</v>
      </c>
    </row>
    <row r="292" spans="1:23" x14ac:dyDescent="0.3">
      <c r="A292" t="s">
        <v>349</v>
      </c>
      <c r="B292" t="s">
        <v>267</v>
      </c>
      <c r="C292" t="s">
        <v>31</v>
      </c>
      <c r="D292" s="5">
        <v>36266</v>
      </c>
      <c r="E292" s="5">
        <v>45188</v>
      </c>
      <c r="F292" t="s">
        <v>1035</v>
      </c>
      <c r="G292" t="s">
        <v>65</v>
      </c>
      <c r="H292" t="s">
        <v>68</v>
      </c>
      <c r="I292" t="s">
        <v>44</v>
      </c>
      <c r="J292">
        <v>7370000</v>
      </c>
      <c r="K292">
        <v>4</v>
      </c>
      <c r="L292">
        <v>2</v>
      </c>
      <c r="M292">
        <v>14</v>
      </c>
      <c r="N292" t="s">
        <v>88</v>
      </c>
      <c r="O292" t="s">
        <v>35</v>
      </c>
      <c r="P292" t="s">
        <v>36</v>
      </c>
      <c r="Q292" s="5"/>
      <c r="S292">
        <f>DATEDIF(D292,DATE(2026,9,30),"Y")</f>
        <v>27</v>
      </c>
      <c r="T292" s="6">
        <f>(IF(Q292="",DATE(2026,9,30),Q292)-E292)/365.25</f>
        <v>3.030800821355236</v>
      </c>
      <c r="U292" t="str">
        <f>_xlfn.XLOOKUP(Table1_1[[#This Row],[Bo''lim]],Bolimlar!A:A,Bolimlar!B:B,"Topilmadi")</f>
        <v>Aziz Karimov</v>
      </c>
      <c r="V292">
        <f>IF(P292="Ha",1,0)</f>
        <v>0</v>
      </c>
      <c r="W292" t="str">
        <f>IF(T292&lt;1,"1 yildan kam",IF(T292&lt;3,"1-3 yil","3 yildan ko'p"))</f>
        <v>3 yildan ko'p</v>
      </c>
    </row>
    <row r="293" spans="1:23" x14ac:dyDescent="0.3">
      <c r="A293" t="s">
        <v>1039</v>
      </c>
      <c r="B293" t="s">
        <v>871</v>
      </c>
      <c r="C293" t="s">
        <v>20</v>
      </c>
      <c r="D293" s="5">
        <v>29839</v>
      </c>
      <c r="E293" s="5">
        <v>44559</v>
      </c>
      <c r="F293" t="s">
        <v>245</v>
      </c>
      <c r="G293" t="s">
        <v>48</v>
      </c>
      <c r="H293" t="s">
        <v>68</v>
      </c>
      <c r="I293" t="s">
        <v>104</v>
      </c>
      <c r="J293">
        <v>7360000</v>
      </c>
      <c r="K293">
        <v>3</v>
      </c>
      <c r="L293">
        <v>3</v>
      </c>
      <c r="M293">
        <v>9</v>
      </c>
      <c r="N293" t="s">
        <v>25</v>
      </c>
      <c r="O293" t="s">
        <v>26</v>
      </c>
      <c r="P293" t="s">
        <v>36</v>
      </c>
      <c r="Q293" s="5"/>
      <c r="S293">
        <f>DATEDIF(D293,DATE(2026,9,30),"Y")</f>
        <v>45</v>
      </c>
      <c r="T293" s="6">
        <f>(IF(Q293="",DATE(2026,9,30),Q293)-E293)/365.25</f>
        <v>4.7529089664613275</v>
      </c>
      <c r="U293" t="str">
        <f>_xlfn.XLOOKUP(Table1_1[[#This Row],[Bo''lim]],Bolimlar!A:A,Bolimlar!B:B,"Topilmadi")</f>
        <v>Dilnoza Rahimova</v>
      </c>
      <c r="V293">
        <f>IF(P293="Ha",1,0)</f>
        <v>0</v>
      </c>
      <c r="W293" t="str">
        <f>IF(T293&lt;1,"1 yildan kam",IF(T293&lt;3,"1-3 yil","3 yildan ko'p"))</f>
        <v>3 yildan ko'p</v>
      </c>
    </row>
    <row r="294" spans="1:23" x14ac:dyDescent="0.3">
      <c r="A294" t="s">
        <v>989</v>
      </c>
      <c r="B294" t="s">
        <v>179</v>
      </c>
      <c r="C294" t="s">
        <v>31</v>
      </c>
      <c r="D294" s="5">
        <v>35122</v>
      </c>
      <c r="E294" s="5">
        <v>44302</v>
      </c>
      <c r="F294" t="s">
        <v>484</v>
      </c>
      <c r="G294" t="s">
        <v>196</v>
      </c>
      <c r="H294" t="s">
        <v>68</v>
      </c>
      <c r="I294" t="s">
        <v>44</v>
      </c>
      <c r="J294">
        <v>7350000</v>
      </c>
      <c r="K294">
        <v>3</v>
      </c>
      <c r="L294">
        <v>3</v>
      </c>
      <c r="M294">
        <v>23</v>
      </c>
      <c r="N294" t="s">
        <v>25</v>
      </c>
      <c r="O294" t="s">
        <v>26</v>
      </c>
      <c r="P294" t="s">
        <v>36</v>
      </c>
      <c r="Q294" s="5"/>
      <c r="S294">
        <f>DATEDIF(D294,DATE(2026,9,30),"Y")</f>
        <v>30</v>
      </c>
      <c r="T294" s="6">
        <f>(IF(Q294="",DATE(2026,9,30),Q294)-E294)/365.25</f>
        <v>5.4565366187542779</v>
      </c>
      <c r="U294" t="str">
        <f>_xlfn.XLOOKUP(Table1_1[[#This Row],[Bo''lim]],Bolimlar!A:A,Bolimlar!B:B,"Topilmadi")</f>
        <v>Sardor Nazarov</v>
      </c>
      <c r="V294">
        <f>IF(P294="Ha",1,0)</f>
        <v>0</v>
      </c>
      <c r="W294" t="str">
        <f>IF(T294&lt;1,"1 yildan kam",IF(T294&lt;3,"1-3 yil","3 yildan ko'p"))</f>
        <v>3 yildan ko'p</v>
      </c>
    </row>
    <row r="295" spans="1:23" x14ac:dyDescent="0.3">
      <c r="A295" t="s">
        <v>1025</v>
      </c>
      <c r="B295" t="s">
        <v>265</v>
      </c>
      <c r="C295" t="s">
        <v>31</v>
      </c>
      <c r="D295" s="5">
        <v>31952</v>
      </c>
      <c r="E295" s="5">
        <v>43156</v>
      </c>
      <c r="F295" t="s">
        <v>1226</v>
      </c>
      <c r="G295" t="s">
        <v>57</v>
      </c>
      <c r="H295" t="s">
        <v>68</v>
      </c>
      <c r="I295" t="s">
        <v>24</v>
      </c>
      <c r="J295">
        <v>7340000</v>
      </c>
      <c r="K295">
        <v>3</v>
      </c>
      <c r="L295">
        <v>3</v>
      </c>
      <c r="M295">
        <v>21</v>
      </c>
      <c r="N295" t="s">
        <v>25</v>
      </c>
      <c r="O295" t="s">
        <v>35</v>
      </c>
      <c r="P295" t="s">
        <v>36</v>
      </c>
      <c r="Q295" s="5"/>
      <c r="S295">
        <f>DATEDIF(D295,DATE(2026,9,30),"Y")</f>
        <v>39</v>
      </c>
      <c r="T295" s="6">
        <f>(IF(Q295="",DATE(2026,9,30),Q295)-E295)/365.25</f>
        <v>8.5941136208076667</v>
      </c>
      <c r="U295" t="str">
        <f>_xlfn.XLOOKUP(Table1_1[[#This Row],[Bo''lim]],Bolimlar!A:A,Bolimlar!B:B,"Topilmadi")</f>
        <v>Madina Abdullayeva</v>
      </c>
      <c r="V295">
        <f>IF(P295="Ha",1,0)</f>
        <v>0</v>
      </c>
      <c r="W295" t="str">
        <f>IF(T295&lt;1,"1 yildan kam",IF(T295&lt;3,"1-3 yil","3 yildan ko'p"))</f>
        <v>3 yildan ko'p</v>
      </c>
    </row>
    <row r="296" spans="1:23" x14ac:dyDescent="0.3">
      <c r="A296" t="s">
        <v>69</v>
      </c>
      <c r="B296" t="s">
        <v>70</v>
      </c>
      <c r="C296" t="s">
        <v>31</v>
      </c>
      <c r="D296" s="5">
        <v>33354</v>
      </c>
      <c r="E296" s="5">
        <v>43753</v>
      </c>
      <c r="F296" t="s">
        <v>1035</v>
      </c>
      <c r="G296" t="s">
        <v>65</v>
      </c>
      <c r="H296" t="s">
        <v>68</v>
      </c>
      <c r="I296" t="s">
        <v>24</v>
      </c>
      <c r="J296">
        <v>7310000</v>
      </c>
      <c r="K296">
        <v>3</v>
      </c>
      <c r="L296">
        <v>1</v>
      </c>
      <c r="M296">
        <v>30</v>
      </c>
      <c r="N296" t="s">
        <v>25</v>
      </c>
      <c r="O296" t="s">
        <v>26</v>
      </c>
      <c r="P296" t="s">
        <v>36</v>
      </c>
      <c r="Q296" s="5"/>
      <c r="S296">
        <f>DATEDIF(D296,DATE(2026,9,30),"Y")</f>
        <v>35</v>
      </c>
      <c r="T296" s="6">
        <f>(IF(Q296="",DATE(2026,9,30),Q296)-E296)/365.25</f>
        <v>6.9596167008898018</v>
      </c>
      <c r="U296" t="str">
        <f>_xlfn.XLOOKUP(Table1_1[[#This Row],[Bo''lim]],Bolimlar!A:A,Bolimlar!B:B,"Topilmadi")</f>
        <v>Aziz Karimov</v>
      </c>
      <c r="V296">
        <f>IF(P296="Ha",1,0)</f>
        <v>0</v>
      </c>
      <c r="W296" t="str">
        <f>IF(T296&lt;1,"1 yildan kam",IF(T296&lt;3,"1-3 yil","3 yildan ko'p"))</f>
        <v>3 yildan ko'p</v>
      </c>
    </row>
    <row r="297" spans="1:23" x14ac:dyDescent="0.3">
      <c r="A297" t="s">
        <v>319</v>
      </c>
      <c r="B297" t="s">
        <v>320</v>
      </c>
      <c r="C297" t="s">
        <v>20</v>
      </c>
      <c r="D297" s="5">
        <v>38932</v>
      </c>
      <c r="E297" s="5">
        <v>46255</v>
      </c>
      <c r="F297" t="s">
        <v>245</v>
      </c>
      <c r="G297" t="s">
        <v>127</v>
      </c>
      <c r="H297" t="s">
        <v>68</v>
      </c>
      <c r="I297" t="s">
        <v>24</v>
      </c>
      <c r="J297">
        <v>7290000</v>
      </c>
      <c r="K297">
        <v>3</v>
      </c>
      <c r="L297">
        <v>4</v>
      </c>
      <c r="M297">
        <v>0</v>
      </c>
      <c r="N297" t="s">
        <v>41</v>
      </c>
      <c r="O297" t="s">
        <v>35</v>
      </c>
      <c r="P297" t="s">
        <v>36</v>
      </c>
      <c r="Q297" s="5"/>
      <c r="S297">
        <f>DATEDIF(D297,DATE(2026,9,30),"Y")</f>
        <v>20</v>
      </c>
      <c r="T297" s="6">
        <f>(IF(Q297="",DATE(2026,9,30),Q297)-E297)/365.25</f>
        <v>0.10951403148528405</v>
      </c>
      <c r="U297" t="str">
        <f>_xlfn.XLOOKUP(Table1_1[[#This Row],[Bo''lim]],Bolimlar!A:A,Bolimlar!B:B,"Topilmadi")</f>
        <v>Dilnoza Rahimova</v>
      </c>
      <c r="V297">
        <f>IF(P297="Ha",1,0)</f>
        <v>0</v>
      </c>
      <c r="W297" t="str">
        <f>IF(T297&lt;1,"1 yildan kam",IF(T297&lt;3,"1-3 yil","3 yildan ko'p"))</f>
        <v>1 yildan kam</v>
      </c>
    </row>
    <row r="298" spans="1:23" x14ac:dyDescent="0.3">
      <c r="A298" t="s">
        <v>1137</v>
      </c>
      <c r="B298" t="s">
        <v>1138</v>
      </c>
      <c r="C298" t="s">
        <v>20</v>
      </c>
      <c r="D298" s="5">
        <v>34327</v>
      </c>
      <c r="E298" s="5">
        <v>44611</v>
      </c>
      <c r="F298" t="s">
        <v>245</v>
      </c>
      <c r="G298" t="s">
        <v>48</v>
      </c>
      <c r="H298" t="s">
        <v>68</v>
      </c>
      <c r="I298" t="s">
        <v>24</v>
      </c>
      <c r="J298">
        <v>7290000</v>
      </c>
      <c r="K298">
        <v>3</v>
      </c>
      <c r="L298">
        <v>2</v>
      </c>
      <c r="M298">
        <v>21</v>
      </c>
      <c r="N298" t="s">
        <v>88</v>
      </c>
      <c r="P298" t="s">
        <v>36</v>
      </c>
      <c r="Q298" s="5"/>
      <c r="S298">
        <f>DATEDIF(D298,DATE(2026,9,30),"Y")</f>
        <v>32</v>
      </c>
      <c r="T298" s="6">
        <f>(IF(Q298="",DATE(2026,9,30),Q298)-E298)/365.25</f>
        <v>4.6105407255304582</v>
      </c>
      <c r="U298" t="str">
        <f>_xlfn.XLOOKUP(Table1_1[[#This Row],[Bo''lim]],Bolimlar!A:A,Bolimlar!B:B,"Topilmadi")</f>
        <v>Dilnoza Rahimova</v>
      </c>
      <c r="V298">
        <f>IF(P298="Ha",1,0)</f>
        <v>0</v>
      </c>
      <c r="W298" t="str">
        <f>IF(T298&lt;1,"1 yildan kam",IF(T298&lt;3,"1-3 yil","3 yildan ko'p"))</f>
        <v>3 yildan ko'p</v>
      </c>
    </row>
    <row r="299" spans="1:23" x14ac:dyDescent="0.3">
      <c r="A299" t="s">
        <v>872</v>
      </c>
      <c r="B299" t="s">
        <v>873</v>
      </c>
      <c r="C299" t="s">
        <v>31</v>
      </c>
      <c r="D299" s="5">
        <v>30486</v>
      </c>
      <c r="E299" s="5">
        <v>44464</v>
      </c>
      <c r="F299" t="s">
        <v>1035</v>
      </c>
      <c r="G299" t="s">
        <v>79</v>
      </c>
      <c r="H299" t="s">
        <v>68</v>
      </c>
      <c r="I299" t="s">
        <v>104</v>
      </c>
      <c r="J299">
        <v>7250000</v>
      </c>
      <c r="L299">
        <v>2</v>
      </c>
      <c r="M299">
        <v>5</v>
      </c>
      <c r="N299" t="s">
        <v>41</v>
      </c>
      <c r="O299" t="s">
        <v>26</v>
      </c>
      <c r="P299" t="s">
        <v>27</v>
      </c>
      <c r="Q299" s="5">
        <v>46005</v>
      </c>
      <c r="R299" t="s">
        <v>61</v>
      </c>
      <c r="S299">
        <f>DATEDIF(D299,DATE(2026,9,30),"Y")</f>
        <v>43</v>
      </c>
      <c r="T299" s="6">
        <f>(IF(Q299="",DATE(2026,9,30),Q299)-E299)/365.25</f>
        <v>4.2190280629705681</v>
      </c>
      <c r="U299" t="str">
        <f>_xlfn.XLOOKUP(Table1_1[[#This Row],[Bo''lim]],Bolimlar!A:A,Bolimlar!B:B,"Topilmadi")</f>
        <v>Aziz Karimov</v>
      </c>
      <c r="V299">
        <f>IF(P299="Ha",1,0)</f>
        <v>1</v>
      </c>
      <c r="W299" t="str">
        <f>IF(T299&lt;1,"1 yildan kam",IF(T299&lt;3,"1-3 yil","3 yildan ko'p"))</f>
        <v>3 yildan ko'p</v>
      </c>
    </row>
    <row r="300" spans="1:23" x14ac:dyDescent="0.3">
      <c r="A300" t="s">
        <v>1207</v>
      </c>
      <c r="B300" t="s">
        <v>437</v>
      </c>
      <c r="C300" t="s">
        <v>20</v>
      </c>
      <c r="D300" s="5">
        <v>32160</v>
      </c>
      <c r="E300" s="5">
        <v>43175</v>
      </c>
      <c r="F300" t="s">
        <v>1035</v>
      </c>
      <c r="G300" t="s">
        <v>73</v>
      </c>
      <c r="H300" t="s">
        <v>68</v>
      </c>
      <c r="I300" t="s">
        <v>24</v>
      </c>
      <c r="J300">
        <v>7230000</v>
      </c>
      <c r="K300">
        <v>4</v>
      </c>
      <c r="L300">
        <v>1</v>
      </c>
      <c r="M300">
        <v>22</v>
      </c>
      <c r="N300" t="s">
        <v>41</v>
      </c>
      <c r="O300" t="s">
        <v>53</v>
      </c>
      <c r="P300" t="s">
        <v>36</v>
      </c>
      <c r="Q300" s="5"/>
      <c r="S300">
        <f>DATEDIF(D300,DATE(2026,9,30),"Y")</f>
        <v>38</v>
      </c>
      <c r="T300" s="6">
        <f>(IF(Q300="",DATE(2026,9,30),Q300)-E300)/365.25</f>
        <v>8.5420944558521565</v>
      </c>
      <c r="U300" t="str">
        <f>_xlfn.XLOOKUP(Table1_1[[#This Row],[Bo''lim]],Bolimlar!A:A,Bolimlar!B:B,"Topilmadi")</f>
        <v>Aziz Karimov</v>
      </c>
      <c r="V300">
        <f>IF(P300="Ha",1,0)</f>
        <v>0</v>
      </c>
      <c r="W300" t="str">
        <f>IF(T300&lt;1,"1 yildan kam",IF(T300&lt;3,"1-3 yil","3 yildan ko'p"))</f>
        <v>3 yildan ko'p</v>
      </c>
    </row>
    <row r="301" spans="1:23" x14ac:dyDescent="0.3">
      <c r="A301" t="s">
        <v>71</v>
      </c>
      <c r="B301" t="s">
        <v>72</v>
      </c>
      <c r="C301" t="s">
        <v>20</v>
      </c>
      <c r="D301" s="5">
        <v>27183</v>
      </c>
      <c r="E301" s="5">
        <v>44226</v>
      </c>
      <c r="F301" t="s">
        <v>1035</v>
      </c>
      <c r="G301" t="s">
        <v>73</v>
      </c>
      <c r="H301" t="s">
        <v>68</v>
      </c>
      <c r="I301" t="s">
        <v>44</v>
      </c>
      <c r="J301">
        <v>7190000</v>
      </c>
      <c r="K301">
        <v>5</v>
      </c>
      <c r="L301">
        <v>4</v>
      </c>
      <c r="M301">
        <v>0</v>
      </c>
      <c r="N301" t="s">
        <v>41</v>
      </c>
      <c r="O301" t="s">
        <v>35</v>
      </c>
      <c r="P301" t="s">
        <v>36</v>
      </c>
      <c r="Q301" s="5"/>
      <c r="S301">
        <f>DATEDIF(D301,DATE(2026,9,30),"Y")</f>
        <v>52</v>
      </c>
      <c r="T301" s="6">
        <f>(IF(Q301="",DATE(2026,9,30),Q301)-E301)/365.25</f>
        <v>5.6646132785763177</v>
      </c>
      <c r="U301" t="str">
        <f>_xlfn.XLOOKUP(Table1_1[[#This Row],[Bo''lim]],Bolimlar!A:A,Bolimlar!B:B,"Topilmadi")</f>
        <v>Aziz Karimov</v>
      </c>
      <c r="V301">
        <f>IF(P301="Ha",1,0)</f>
        <v>0</v>
      </c>
      <c r="W301" t="str">
        <f>IF(T301&lt;1,"1 yildan kam",IF(T301&lt;3,"1-3 yil","3 yildan ko'p"))</f>
        <v>3 yildan ko'p</v>
      </c>
    </row>
    <row r="302" spans="1:23" x14ac:dyDescent="0.3">
      <c r="A302" t="s">
        <v>333</v>
      </c>
      <c r="B302" t="s">
        <v>334</v>
      </c>
      <c r="C302" t="s">
        <v>31</v>
      </c>
      <c r="D302" s="5">
        <v>30797</v>
      </c>
      <c r="E302" s="5">
        <v>45572</v>
      </c>
      <c r="F302" t="s">
        <v>1300</v>
      </c>
      <c r="G302" t="s">
        <v>93</v>
      </c>
      <c r="H302" t="s">
        <v>68</v>
      </c>
      <c r="I302" t="s">
        <v>24</v>
      </c>
      <c r="J302">
        <v>7190000</v>
      </c>
      <c r="K302">
        <v>4</v>
      </c>
      <c r="L302">
        <v>2</v>
      </c>
      <c r="M302">
        <v>31</v>
      </c>
      <c r="N302" t="s">
        <v>41</v>
      </c>
      <c r="O302" t="s">
        <v>53</v>
      </c>
      <c r="P302" t="s">
        <v>36</v>
      </c>
      <c r="Q302" s="5"/>
      <c r="S302">
        <f>DATEDIF(D302,DATE(2026,9,30),"Y")</f>
        <v>42</v>
      </c>
      <c r="T302" s="6">
        <f>(IF(Q302="",DATE(2026,9,30),Q302)-E302)/365.25</f>
        <v>1.9794661190965093</v>
      </c>
      <c r="U302" t="str">
        <f>_xlfn.XLOOKUP(Table1_1[[#This Row],[Bo''lim]],Bolimlar!A:A,Bolimlar!B:B,"Topilmadi")</f>
        <v>Shahlo Ismoilova</v>
      </c>
      <c r="V302">
        <f>IF(P302="Ha",1,0)</f>
        <v>0</v>
      </c>
      <c r="W302" t="str">
        <f>IF(T302&lt;1,"1 yildan kam",IF(T302&lt;3,"1-3 yil","3 yildan ko'p"))</f>
        <v>1-3 yil</v>
      </c>
    </row>
    <row r="303" spans="1:23" x14ac:dyDescent="0.3">
      <c r="A303" t="s">
        <v>1251</v>
      </c>
      <c r="B303" t="s">
        <v>507</v>
      </c>
      <c r="C303" t="s">
        <v>20</v>
      </c>
      <c r="D303" s="5">
        <v>31353</v>
      </c>
      <c r="E303" s="5">
        <v>45347</v>
      </c>
      <c r="F303" t="s">
        <v>245</v>
      </c>
      <c r="G303" t="s">
        <v>127</v>
      </c>
      <c r="H303" t="s">
        <v>68</v>
      </c>
      <c r="I303" t="s">
        <v>24</v>
      </c>
      <c r="J303">
        <v>7190000</v>
      </c>
      <c r="K303">
        <v>2</v>
      </c>
      <c r="L303">
        <v>5</v>
      </c>
      <c r="M303">
        <v>7</v>
      </c>
      <c r="N303" t="s">
        <v>41</v>
      </c>
      <c r="O303" t="s">
        <v>26</v>
      </c>
      <c r="P303" t="s">
        <v>36</v>
      </c>
      <c r="Q303" s="5"/>
      <c r="S303">
        <f>DATEDIF(D303,DATE(2026,9,30),"Y")</f>
        <v>40</v>
      </c>
      <c r="T303" s="6">
        <f>(IF(Q303="",DATE(2026,9,30),Q303)-E303)/365.25</f>
        <v>2.5954825462012319</v>
      </c>
      <c r="U303" t="str">
        <f>_xlfn.XLOOKUP(Table1_1[[#This Row],[Bo''lim]],Bolimlar!A:A,Bolimlar!B:B,"Topilmadi")</f>
        <v>Dilnoza Rahimova</v>
      </c>
      <c r="V303">
        <f>IF(P303="Ha",1,0)</f>
        <v>0</v>
      </c>
      <c r="W303" t="str">
        <f>IF(T303&lt;1,"1 yildan kam",IF(T303&lt;3,"1-3 yil","3 yildan ko'p"))</f>
        <v>1-3 yil</v>
      </c>
    </row>
    <row r="304" spans="1:23" x14ac:dyDescent="0.3">
      <c r="A304" t="s">
        <v>1057</v>
      </c>
      <c r="B304" t="s">
        <v>569</v>
      </c>
      <c r="C304" t="s">
        <v>31</v>
      </c>
      <c r="D304" s="5">
        <v>32032</v>
      </c>
      <c r="E304" s="5">
        <v>44480</v>
      </c>
      <c r="F304" t="s">
        <v>245</v>
      </c>
      <c r="G304" t="s">
        <v>90</v>
      </c>
      <c r="H304" t="s">
        <v>68</v>
      </c>
      <c r="I304" t="s">
        <v>24</v>
      </c>
      <c r="J304">
        <v>7180000</v>
      </c>
      <c r="K304">
        <v>2</v>
      </c>
      <c r="L304">
        <v>2</v>
      </c>
      <c r="M304">
        <v>20</v>
      </c>
      <c r="N304" t="s">
        <v>25</v>
      </c>
      <c r="O304" t="s">
        <v>53</v>
      </c>
      <c r="P304" t="s">
        <v>36</v>
      </c>
      <c r="Q304" s="5"/>
      <c r="S304">
        <f>DATEDIF(D304,DATE(2026,9,30),"Y")</f>
        <v>39</v>
      </c>
      <c r="T304" s="6">
        <f>(IF(Q304="",DATE(2026,9,30),Q304)-E304)/365.25</f>
        <v>4.9691991786447636</v>
      </c>
      <c r="U304" t="str">
        <f>_xlfn.XLOOKUP(Table1_1[[#This Row],[Bo''lim]],Bolimlar!A:A,Bolimlar!B:B,"Topilmadi")</f>
        <v>Dilnoza Rahimova</v>
      </c>
      <c r="V304">
        <f>IF(P304="Ha",1,0)</f>
        <v>0</v>
      </c>
      <c r="W304" t="str">
        <f>IF(T304&lt;1,"1 yildan kam",IF(T304&lt;3,"1-3 yil","3 yildan ko'p"))</f>
        <v>3 yildan ko'p</v>
      </c>
    </row>
    <row r="305" spans="1:23" x14ac:dyDescent="0.3">
      <c r="A305" t="s">
        <v>1134</v>
      </c>
      <c r="B305" t="s">
        <v>110</v>
      </c>
      <c r="C305" t="s">
        <v>20</v>
      </c>
      <c r="D305" s="5">
        <v>35596</v>
      </c>
      <c r="E305" s="5">
        <v>44631</v>
      </c>
      <c r="F305" t="s">
        <v>1300</v>
      </c>
      <c r="G305" t="s">
        <v>93</v>
      </c>
      <c r="H305" t="s">
        <v>68</v>
      </c>
      <c r="I305" t="s">
        <v>34</v>
      </c>
      <c r="J305">
        <v>7180000</v>
      </c>
      <c r="K305">
        <v>4</v>
      </c>
      <c r="L305">
        <v>2</v>
      </c>
      <c r="M305">
        <v>13</v>
      </c>
      <c r="N305" t="s">
        <v>41</v>
      </c>
      <c r="O305" t="s">
        <v>26</v>
      </c>
      <c r="P305" t="s">
        <v>36</v>
      </c>
      <c r="Q305" s="5"/>
      <c r="S305">
        <f>DATEDIF(D305,DATE(2026,9,30),"Y")</f>
        <v>29</v>
      </c>
      <c r="T305" s="6">
        <f>(IF(Q305="",DATE(2026,9,30),Q305)-E305)/365.25</f>
        <v>4.5557837097878169</v>
      </c>
      <c r="U305" t="str">
        <f>_xlfn.XLOOKUP(Table1_1[[#This Row],[Bo''lim]],Bolimlar!A:A,Bolimlar!B:B,"Topilmadi")</f>
        <v>Shahlo Ismoilova</v>
      </c>
      <c r="V305">
        <f>IF(P305="Ha",1,0)</f>
        <v>0</v>
      </c>
      <c r="W305" t="str">
        <f>IF(T305&lt;1,"1 yildan kam",IF(T305&lt;3,"1-3 yil","3 yildan ko'p"))</f>
        <v>3 yildan ko'p</v>
      </c>
    </row>
    <row r="306" spans="1:23" x14ac:dyDescent="0.3">
      <c r="A306" t="s">
        <v>1159</v>
      </c>
      <c r="B306" t="s">
        <v>713</v>
      </c>
      <c r="C306" t="s">
        <v>20</v>
      </c>
      <c r="D306" s="5">
        <v>38986</v>
      </c>
      <c r="E306" s="5">
        <v>46270</v>
      </c>
      <c r="F306" t="s">
        <v>484</v>
      </c>
      <c r="G306" t="s">
        <v>150</v>
      </c>
      <c r="H306" t="s">
        <v>68</v>
      </c>
      <c r="I306" t="s">
        <v>24</v>
      </c>
      <c r="J306">
        <v>7160000</v>
      </c>
      <c r="K306">
        <v>3</v>
      </c>
      <c r="L306">
        <v>3</v>
      </c>
      <c r="M306">
        <v>15</v>
      </c>
      <c r="N306" t="s">
        <v>41</v>
      </c>
      <c r="O306" t="s">
        <v>35</v>
      </c>
      <c r="P306" t="s">
        <v>36</v>
      </c>
      <c r="Q306" s="5"/>
      <c r="S306">
        <f>DATEDIF(D306,DATE(2026,9,30),"Y")</f>
        <v>20</v>
      </c>
      <c r="T306" s="6">
        <f>(IF(Q306="",DATE(2026,9,30),Q306)-E306)/365.25</f>
        <v>6.8446269678302529E-2</v>
      </c>
      <c r="U306" t="str">
        <f>_xlfn.XLOOKUP(Table1_1[[#This Row],[Bo''lim]],Bolimlar!A:A,Bolimlar!B:B,"Topilmadi")</f>
        <v>Sardor Nazarov</v>
      </c>
      <c r="V306">
        <f>IF(P306="Ha",1,0)</f>
        <v>0</v>
      </c>
      <c r="W306" t="str">
        <f>IF(T306&lt;1,"1 yildan kam",IF(T306&lt;3,"1-3 yil","3 yildan ko'p"))</f>
        <v>1 yildan kam</v>
      </c>
    </row>
    <row r="307" spans="1:23" x14ac:dyDescent="0.3">
      <c r="A307" t="s">
        <v>887</v>
      </c>
      <c r="B307" t="s">
        <v>847</v>
      </c>
      <c r="C307" t="s">
        <v>20</v>
      </c>
      <c r="D307" s="5">
        <v>35604</v>
      </c>
      <c r="E307" s="5">
        <v>44695</v>
      </c>
      <c r="F307" t="s">
        <v>1035</v>
      </c>
      <c r="G307" t="s">
        <v>79</v>
      </c>
      <c r="H307" t="s">
        <v>68</v>
      </c>
      <c r="I307" t="s">
        <v>24</v>
      </c>
      <c r="J307">
        <v>7120000</v>
      </c>
      <c r="K307">
        <v>4</v>
      </c>
      <c r="L307">
        <v>5</v>
      </c>
      <c r="M307">
        <v>19</v>
      </c>
      <c r="N307" t="s">
        <v>25</v>
      </c>
      <c r="O307" t="s">
        <v>35</v>
      </c>
      <c r="P307" t="s">
        <v>36</v>
      </c>
      <c r="Q307" s="5"/>
      <c r="S307">
        <f>DATEDIF(D307,DATE(2026,9,30),"Y")</f>
        <v>29</v>
      </c>
      <c r="T307" s="6">
        <f>(IF(Q307="",DATE(2026,9,30),Q307)-E307)/365.25</f>
        <v>4.3805612594113619</v>
      </c>
      <c r="U307" t="str">
        <f>_xlfn.XLOOKUP(Table1_1[[#This Row],[Bo''lim]],Bolimlar!A:A,Bolimlar!B:B,"Topilmadi")</f>
        <v>Aziz Karimov</v>
      </c>
      <c r="V307">
        <f>IF(P307="Ha",1,0)</f>
        <v>0</v>
      </c>
      <c r="W307" t="str">
        <f>IF(T307&lt;1,"1 yildan kam",IF(T307&lt;3,"1-3 yil","3 yildan ko'p"))</f>
        <v>3 yildan ko'p</v>
      </c>
    </row>
    <row r="308" spans="1:23" x14ac:dyDescent="0.3">
      <c r="A308" t="s">
        <v>888</v>
      </c>
      <c r="B308" t="s">
        <v>212</v>
      </c>
      <c r="C308" t="s">
        <v>31</v>
      </c>
      <c r="D308" s="5">
        <v>31264</v>
      </c>
      <c r="E308" s="5">
        <v>43845</v>
      </c>
      <c r="F308" t="s">
        <v>484</v>
      </c>
      <c r="G308" t="s">
        <v>196</v>
      </c>
      <c r="H308" t="s">
        <v>68</v>
      </c>
      <c r="I308" t="s">
        <v>24</v>
      </c>
      <c r="J308">
        <v>7110000</v>
      </c>
      <c r="K308">
        <v>3</v>
      </c>
      <c r="L308">
        <v>1</v>
      </c>
      <c r="M308">
        <v>7</v>
      </c>
      <c r="N308" t="s">
        <v>25</v>
      </c>
      <c r="O308" t="s">
        <v>26</v>
      </c>
      <c r="P308" t="s">
        <v>36</v>
      </c>
      <c r="Q308" s="5"/>
      <c r="S308">
        <f>DATEDIF(D308,DATE(2026,9,30),"Y")</f>
        <v>41</v>
      </c>
      <c r="T308" s="6">
        <f>(IF(Q308="",DATE(2026,9,30),Q308)-E308)/365.25</f>
        <v>6.707734428473648</v>
      </c>
      <c r="U308" t="str">
        <f>_xlfn.XLOOKUP(Table1_1[[#This Row],[Bo''lim]],Bolimlar!A:A,Bolimlar!B:B,"Topilmadi")</f>
        <v>Sardor Nazarov</v>
      </c>
      <c r="V308">
        <f>IF(P308="Ha",1,0)</f>
        <v>0</v>
      </c>
      <c r="W308" t="str">
        <f>IF(T308&lt;1,"1 yildan kam",IF(T308&lt;3,"1-3 yil","3 yildan ko'p"))</f>
        <v>3 yildan ko'p</v>
      </c>
    </row>
    <row r="309" spans="1:23" x14ac:dyDescent="0.3">
      <c r="A309" t="s">
        <v>1144</v>
      </c>
      <c r="B309" t="s">
        <v>440</v>
      </c>
      <c r="C309" t="s">
        <v>20</v>
      </c>
      <c r="D309" s="5">
        <v>31324</v>
      </c>
      <c r="E309" s="5">
        <v>44326</v>
      </c>
      <c r="F309" t="s">
        <v>245</v>
      </c>
      <c r="G309" t="s">
        <v>48</v>
      </c>
      <c r="H309" t="s">
        <v>68</v>
      </c>
      <c r="I309" t="s">
        <v>44</v>
      </c>
      <c r="J309">
        <v>7090000</v>
      </c>
      <c r="K309">
        <v>1</v>
      </c>
      <c r="L309">
        <v>4</v>
      </c>
      <c r="M309">
        <v>11</v>
      </c>
      <c r="N309" t="s">
        <v>41</v>
      </c>
      <c r="O309" t="s">
        <v>26</v>
      </c>
      <c r="P309" t="s">
        <v>36</v>
      </c>
      <c r="Q309" s="5"/>
      <c r="S309">
        <f>DATEDIF(D309,DATE(2026,9,30),"Y")</f>
        <v>40</v>
      </c>
      <c r="T309" s="6">
        <f>(IF(Q309="",DATE(2026,9,30),Q309)-E309)/365.25</f>
        <v>5.3908281998631074</v>
      </c>
      <c r="U309" t="str">
        <f>_xlfn.XLOOKUP(Table1_1[[#This Row],[Bo''lim]],Bolimlar!A:A,Bolimlar!B:B,"Topilmadi")</f>
        <v>Dilnoza Rahimova</v>
      </c>
      <c r="V309">
        <f>IF(P309="Ha",1,0)</f>
        <v>0</v>
      </c>
      <c r="W309" t="str">
        <f>IF(T309&lt;1,"1 yildan kam",IF(T309&lt;3,"1-3 yil","3 yildan ko'p"))</f>
        <v>3 yildan ko'p</v>
      </c>
    </row>
    <row r="310" spans="1:23" x14ac:dyDescent="0.3">
      <c r="A310" t="s">
        <v>309</v>
      </c>
      <c r="B310" t="s">
        <v>95</v>
      </c>
      <c r="C310" t="s">
        <v>20</v>
      </c>
      <c r="D310" s="5">
        <v>31314</v>
      </c>
      <c r="E310" s="5">
        <v>42629</v>
      </c>
      <c r="F310" t="s">
        <v>484</v>
      </c>
      <c r="G310" t="s">
        <v>150</v>
      </c>
      <c r="H310" t="s">
        <v>68</v>
      </c>
      <c r="I310" t="s">
        <v>104</v>
      </c>
      <c r="J310">
        <v>7080000</v>
      </c>
      <c r="K310">
        <v>3</v>
      </c>
      <c r="L310">
        <v>1</v>
      </c>
      <c r="M310">
        <v>12</v>
      </c>
      <c r="N310" t="s">
        <v>41</v>
      </c>
      <c r="O310" t="s">
        <v>53</v>
      </c>
      <c r="P310" t="s">
        <v>27</v>
      </c>
      <c r="Q310" s="5">
        <v>46041</v>
      </c>
      <c r="R310" t="s">
        <v>61</v>
      </c>
      <c r="S310">
        <f>DATEDIF(D310,DATE(2026,9,30),"Y")</f>
        <v>41</v>
      </c>
      <c r="T310" s="6">
        <f>(IF(Q310="",DATE(2026,9,30),Q310)-E310)/365.25</f>
        <v>9.3415468856947292</v>
      </c>
      <c r="U310" t="str">
        <f>_xlfn.XLOOKUP(Table1_1[[#This Row],[Bo''lim]],Bolimlar!A:A,Bolimlar!B:B,"Topilmadi")</f>
        <v>Sardor Nazarov</v>
      </c>
      <c r="V310">
        <f>IF(P310="Ha",1,0)</f>
        <v>1</v>
      </c>
      <c r="W310" t="str">
        <f>IF(T310&lt;1,"1 yildan kam",IF(T310&lt;3,"1-3 yil","3 yildan ko'p"))</f>
        <v>3 yildan ko'p</v>
      </c>
    </row>
    <row r="311" spans="1:23" x14ac:dyDescent="0.3">
      <c r="A311" t="s">
        <v>818</v>
      </c>
      <c r="B311" t="s">
        <v>819</v>
      </c>
      <c r="C311" t="s">
        <v>31</v>
      </c>
      <c r="D311" s="5">
        <v>36361</v>
      </c>
      <c r="E311" s="5">
        <v>44014</v>
      </c>
      <c r="F311" t="s">
        <v>1035</v>
      </c>
      <c r="G311" t="s">
        <v>79</v>
      </c>
      <c r="H311" t="s">
        <v>68</v>
      </c>
      <c r="I311" t="s">
        <v>24</v>
      </c>
      <c r="J311">
        <v>7080000</v>
      </c>
      <c r="K311">
        <v>4</v>
      </c>
      <c r="L311">
        <v>4</v>
      </c>
      <c r="M311">
        <v>18</v>
      </c>
      <c r="N311" t="s">
        <v>41</v>
      </c>
      <c r="O311" t="s">
        <v>26</v>
      </c>
      <c r="P311" t="s">
        <v>36</v>
      </c>
      <c r="Q311" s="5"/>
      <c r="S311">
        <f>DATEDIF(D311,DATE(2026,9,30),"Y")</f>
        <v>27</v>
      </c>
      <c r="T311" s="6">
        <f>(IF(Q311="",DATE(2026,9,30),Q311)-E311)/365.25</f>
        <v>6.2450376454483232</v>
      </c>
      <c r="U311" t="str">
        <f>_xlfn.XLOOKUP(Table1_1[[#This Row],[Bo''lim]],Bolimlar!A:A,Bolimlar!B:B,"Topilmadi")</f>
        <v>Aziz Karimov</v>
      </c>
      <c r="V311">
        <f>IF(P311="Ha",1,0)</f>
        <v>0</v>
      </c>
      <c r="W311" t="str">
        <f>IF(T311&lt;1,"1 yildan kam",IF(T311&lt;3,"1-3 yil","3 yildan ko'p"))</f>
        <v>3 yildan ko'p</v>
      </c>
    </row>
    <row r="312" spans="1:23" x14ac:dyDescent="0.3">
      <c r="A312" t="s">
        <v>335</v>
      </c>
      <c r="B312" t="s">
        <v>336</v>
      </c>
      <c r="C312" t="s">
        <v>20</v>
      </c>
      <c r="D312" s="5">
        <v>35386</v>
      </c>
      <c r="E312" s="5">
        <v>44004</v>
      </c>
      <c r="F312" t="s">
        <v>1300</v>
      </c>
      <c r="G312" t="s">
        <v>93</v>
      </c>
      <c r="H312" t="s">
        <v>68</v>
      </c>
      <c r="I312" t="s">
        <v>104</v>
      </c>
      <c r="J312">
        <v>7070000</v>
      </c>
      <c r="K312">
        <v>4</v>
      </c>
      <c r="L312">
        <v>4</v>
      </c>
      <c r="M312">
        <v>7</v>
      </c>
      <c r="N312" t="s">
        <v>41</v>
      </c>
      <c r="O312" t="s">
        <v>26</v>
      </c>
      <c r="P312" t="s">
        <v>36</v>
      </c>
      <c r="Q312" s="5"/>
      <c r="S312">
        <f>DATEDIF(D312,DATE(2026,9,30),"Y")</f>
        <v>29</v>
      </c>
      <c r="T312" s="6">
        <f>(IF(Q312="",DATE(2026,9,30),Q312)-E312)/365.25</f>
        <v>6.2724161533196439</v>
      </c>
      <c r="U312" t="str">
        <f>_xlfn.XLOOKUP(Table1_1[[#This Row],[Bo''lim]],Bolimlar!A:A,Bolimlar!B:B,"Topilmadi")</f>
        <v>Shahlo Ismoilova</v>
      </c>
      <c r="V312">
        <f>IF(P312="Ha",1,0)</f>
        <v>0</v>
      </c>
      <c r="W312" t="str">
        <f>IF(T312&lt;1,"1 yildan kam",IF(T312&lt;3,"1-3 yil","3 yildan ko'p"))</f>
        <v>3 yildan ko'p</v>
      </c>
    </row>
    <row r="313" spans="1:23" x14ac:dyDescent="0.3">
      <c r="A313" t="s">
        <v>1267</v>
      </c>
      <c r="B313" t="s">
        <v>292</v>
      </c>
      <c r="C313" t="s">
        <v>31</v>
      </c>
      <c r="D313" s="5">
        <v>36312</v>
      </c>
      <c r="E313" s="5">
        <v>46207</v>
      </c>
      <c r="F313" t="s">
        <v>1035</v>
      </c>
      <c r="G313" t="s">
        <v>65</v>
      </c>
      <c r="H313" t="s">
        <v>68</v>
      </c>
      <c r="I313" t="s">
        <v>24</v>
      </c>
      <c r="J313">
        <v>7050000</v>
      </c>
      <c r="K313">
        <v>3</v>
      </c>
      <c r="L313">
        <v>3</v>
      </c>
      <c r="M313">
        <v>9</v>
      </c>
      <c r="N313" t="s">
        <v>25</v>
      </c>
      <c r="O313" t="s">
        <v>35</v>
      </c>
      <c r="P313" t="s">
        <v>27</v>
      </c>
      <c r="Q313" s="5">
        <v>46289</v>
      </c>
      <c r="R313" t="s">
        <v>235</v>
      </c>
      <c r="S313">
        <f>DATEDIF(D313,DATE(2026,9,30),"Y")</f>
        <v>27</v>
      </c>
      <c r="T313" s="6">
        <f>(IF(Q313="",DATE(2026,9,30),Q313)-E313)/365.25</f>
        <v>0.22450376454483231</v>
      </c>
      <c r="U313" t="str">
        <f>_xlfn.XLOOKUP(Table1_1[[#This Row],[Bo''lim]],Bolimlar!A:A,Bolimlar!B:B,"Topilmadi")</f>
        <v>Aziz Karimov</v>
      </c>
      <c r="V313">
        <f>IF(P313="Ha",1,0)</f>
        <v>1</v>
      </c>
      <c r="W313" t="str">
        <f>IF(T313&lt;1,"1 yildan kam",IF(T313&lt;3,"1-3 yil","3 yildan ko'p"))</f>
        <v>1 yildan kam</v>
      </c>
    </row>
    <row r="314" spans="1:23" x14ac:dyDescent="0.3">
      <c r="A314" t="s">
        <v>317</v>
      </c>
      <c r="B314" t="s">
        <v>318</v>
      </c>
      <c r="C314" t="s">
        <v>31</v>
      </c>
      <c r="D314" s="5">
        <v>32875</v>
      </c>
      <c r="E314" s="5">
        <v>46160</v>
      </c>
      <c r="F314" t="s">
        <v>1035</v>
      </c>
      <c r="G314" t="s">
        <v>65</v>
      </c>
      <c r="H314" t="s">
        <v>68</v>
      </c>
      <c r="I314" t="s">
        <v>24</v>
      </c>
      <c r="J314">
        <v>7040000</v>
      </c>
      <c r="K314">
        <v>4</v>
      </c>
      <c r="L314">
        <v>2</v>
      </c>
      <c r="M314">
        <v>25</v>
      </c>
      <c r="N314" t="s">
        <v>41</v>
      </c>
      <c r="O314" t="s">
        <v>35</v>
      </c>
      <c r="P314" t="s">
        <v>36</v>
      </c>
      <c r="Q314" s="5"/>
      <c r="S314">
        <f>DATEDIF(D314,DATE(2026,9,30),"Y")</f>
        <v>36</v>
      </c>
      <c r="T314" s="6">
        <f>(IF(Q314="",DATE(2026,9,30),Q314)-E314)/365.25</f>
        <v>0.36960985626283366</v>
      </c>
      <c r="U314" t="str">
        <f>_xlfn.XLOOKUP(Table1_1[[#This Row],[Bo''lim]],Bolimlar!A:A,Bolimlar!B:B,"Topilmadi")</f>
        <v>Aziz Karimov</v>
      </c>
      <c r="V314">
        <f>IF(P314="Ha",1,0)</f>
        <v>0</v>
      </c>
      <c r="W314" t="str">
        <f>IF(T314&lt;1,"1 yildan kam",IF(T314&lt;3,"1-3 yil","3 yildan ko'p"))</f>
        <v>1 yildan kam</v>
      </c>
    </row>
    <row r="315" spans="1:23" x14ac:dyDescent="0.3">
      <c r="A315" t="s">
        <v>897</v>
      </c>
      <c r="B315" t="s">
        <v>244</v>
      </c>
      <c r="C315" t="s">
        <v>31</v>
      </c>
      <c r="D315" s="5">
        <v>34382</v>
      </c>
      <c r="E315" s="5">
        <v>45604</v>
      </c>
      <c r="F315" t="s">
        <v>39</v>
      </c>
      <c r="G315" t="s">
        <v>170</v>
      </c>
      <c r="H315" t="s">
        <v>68</v>
      </c>
      <c r="I315" t="s">
        <v>24</v>
      </c>
      <c r="J315">
        <v>7040000</v>
      </c>
      <c r="K315">
        <v>3</v>
      </c>
      <c r="L315">
        <v>4</v>
      </c>
      <c r="M315">
        <v>7</v>
      </c>
      <c r="N315" t="s">
        <v>41</v>
      </c>
      <c r="O315" t="s">
        <v>26</v>
      </c>
      <c r="P315" t="s">
        <v>36</v>
      </c>
      <c r="Q315" s="5"/>
      <c r="S315">
        <f>DATEDIF(D315,DATE(2026,9,30),"Y")</f>
        <v>32</v>
      </c>
      <c r="T315" s="6">
        <f>(IF(Q315="",DATE(2026,9,30),Q315)-E315)/365.25</f>
        <v>1.891854893908282</v>
      </c>
      <c r="U315" t="str">
        <f>_xlfn.XLOOKUP(Table1_1[[#This Row],[Bo''lim]],Bolimlar!A:A,Bolimlar!B:B,"Topilmadi")</f>
        <v>Nodira Tursunova</v>
      </c>
      <c r="V315">
        <f>IF(P315="Ha",1,0)</f>
        <v>0</v>
      </c>
      <c r="W315" t="str">
        <f>IF(T315&lt;1,"1 yildan kam",IF(T315&lt;3,"1-3 yil","3 yildan ko'p"))</f>
        <v>1-3 yil</v>
      </c>
    </row>
    <row r="316" spans="1:23" x14ac:dyDescent="0.3">
      <c r="A316" t="s">
        <v>1187</v>
      </c>
      <c r="B316" t="s">
        <v>169</v>
      </c>
      <c r="C316" t="s">
        <v>31</v>
      </c>
      <c r="D316" s="5">
        <v>34341</v>
      </c>
      <c r="E316" s="5">
        <v>44932</v>
      </c>
      <c r="F316" t="s">
        <v>1300</v>
      </c>
      <c r="G316" t="s">
        <v>93</v>
      </c>
      <c r="H316" t="s">
        <v>68</v>
      </c>
      <c r="I316" t="s">
        <v>104</v>
      </c>
      <c r="J316">
        <v>7040000</v>
      </c>
      <c r="K316">
        <v>5</v>
      </c>
      <c r="L316">
        <v>3</v>
      </c>
      <c r="M316">
        <v>11</v>
      </c>
      <c r="N316" t="s">
        <v>41</v>
      </c>
      <c r="O316" t="s">
        <v>35</v>
      </c>
      <c r="P316" t="s">
        <v>36</v>
      </c>
      <c r="Q316" s="5"/>
      <c r="S316">
        <f>DATEDIF(D316,DATE(2026,9,30),"Y")</f>
        <v>32</v>
      </c>
      <c r="T316" s="6">
        <f>(IF(Q316="",DATE(2026,9,30),Q316)-E316)/365.25</f>
        <v>3.7316906228610542</v>
      </c>
      <c r="U316" t="str">
        <f>_xlfn.XLOOKUP(Table1_1[[#This Row],[Bo''lim]],Bolimlar!A:A,Bolimlar!B:B,"Topilmadi")</f>
        <v>Shahlo Ismoilova</v>
      </c>
      <c r="V316">
        <f>IF(P316="Ha",1,0)</f>
        <v>0</v>
      </c>
      <c r="W316" t="str">
        <f>IF(T316&lt;1,"1 yildan kam",IF(T316&lt;3,"1-3 yil","3 yildan ko'p"))</f>
        <v>3 yildan ko'p</v>
      </c>
    </row>
    <row r="317" spans="1:23" x14ac:dyDescent="0.3">
      <c r="A317" t="s">
        <v>1096</v>
      </c>
      <c r="B317" t="s">
        <v>1097</v>
      </c>
      <c r="C317" t="s">
        <v>20</v>
      </c>
      <c r="D317" s="5">
        <v>31113</v>
      </c>
      <c r="E317" s="5">
        <v>44205</v>
      </c>
      <c r="F317" t="s">
        <v>1300</v>
      </c>
      <c r="G317" t="s">
        <v>52</v>
      </c>
      <c r="H317" t="s">
        <v>68</v>
      </c>
      <c r="I317" t="s">
        <v>44</v>
      </c>
      <c r="J317">
        <v>7030000</v>
      </c>
      <c r="K317">
        <v>3</v>
      </c>
      <c r="L317">
        <v>4</v>
      </c>
      <c r="M317">
        <v>15</v>
      </c>
      <c r="N317" t="s">
        <v>41</v>
      </c>
      <c r="O317" t="s">
        <v>26</v>
      </c>
      <c r="P317" t="s">
        <v>36</v>
      </c>
      <c r="Q317" s="5"/>
      <c r="S317">
        <f>DATEDIF(D317,DATE(2026,9,30),"Y")</f>
        <v>41</v>
      </c>
      <c r="T317" s="6">
        <f>(IF(Q317="",DATE(2026,9,30),Q317)-E317)/365.25</f>
        <v>5.722108145106092</v>
      </c>
      <c r="U317" t="str">
        <f>_xlfn.XLOOKUP(Table1_1[[#This Row],[Bo''lim]],Bolimlar!A:A,Bolimlar!B:B,"Topilmadi")</f>
        <v>Shahlo Ismoilova</v>
      </c>
      <c r="V317">
        <f>IF(P317="Ha",1,0)</f>
        <v>0</v>
      </c>
      <c r="W317" t="str">
        <f>IF(T317&lt;1,"1 yildan kam",IF(T317&lt;3,"1-3 yil","3 yildan ko'p"))</f>
        <v>3 yildan ko'p</v>
      </c>
    </row>
    <row r="318" spans="1:23" x14ac:dyDescent="0.3">
      <c r="A318" t="s">
        <v>151</v>
      </c>
      <c r="B318" t="s">
        <v>152</v>
      </c>
      <c r="C318" t="s">
        <v>31</v>
      </c>
      <c r="D318" s="5">
        <v>33434</v>
      </c>
      <c r="E318" s="5">
        <v>46258</v>
      </c>
      <c r="F318" t="s">
        <v>1300</v>
      </c>
      <c r="G318" t="s">
        <v>52</v>
      </c>
      <c r="H318" t="s">
        <v>68</v>
      </c>
      <c r="I318" t="s">
        <v>104</v>
      </c>
      <c r="J318">
        <v>7010000</v>
      </c>
      <c r="K318">
        <v>3</v>
      </c>
      <c r="L318">
        <v>2</v>
      </c>
      <c r="M318">
        <v>21</v>
      </c>
      <c r="N318" t="s">
        <v>25</v>
      </c>
      <c r="O318" t="s">
        <v>26</v>
      </c>
      <c r="P318" t="s">
        <v>36</v>
      </c>
      <c r="Q318" s="5"/>
      <c r="S318">
        <f>DATEDIF(D318,DATE(2026,9,30),"Y")</f>
        <v>35</v>
      </c>
      <c r="T318" s="6">
        <f>(IF(Q318="",DATE(2026,9,30),Q318)-E318)/365.25</f>
        <v>0.10130047912388775</v>
      </c>
      <c r="U318" t="str">
        <f>_xlfn.XLOOKUP(Table1_1[[#This Row],[Bo''lim]],Bolimlar!A:A,Bolimlar!B:B,"Topilmadi")</f>
        <v>Shahlo Ismoilova</v>
      </c>
      <c r="V318">
        <f>IF(P318="Ha",1,0)</f>
        <v>0</v>
      </c>
      <c r="W318" t="str">
        <f>IF(T318&lt;1,"1 yildan kam",IF(T318&lt;3,"1-3 yil","3 yildan ko'p"))</f>
        <v>1 yildan kam</v>
      </c>
    </row>
    <row r="319" spans="1:23" x14ac:dyDescent="0.3">
      <c r="A319" t="s">
        <v>628</v>
      </c>
      <c r="B319" t="s">
        <v>629</v>
      </c>
      <c r="C319" t="s">
        <v>31</v>
      </c>
      <c r="D319" s="5">
        <v>38738</v>
      </c>
      <c r="E319" s="5">
        <v>46067</v>
      </c>
      <c r="F319" t="s">
        <v>1300</v>
      </c>
      <c r="G319" t="s">
        <v>93</v>
      </c>
      <c r="H319" t="s">
        <v>68</v>
      </c>
      <c r="I319" t="s">
        <v>34</v>
      </c>
      <c r="J319">
        <v>7010000</v>
      </c>
      <c r="K319">
        <v>5</v>
      </c>
      <c r="L319">
        <v>4</v>
      </c>
      <c r="M319">
        <v>24</v>
      </c>
      <c r="N319" t="s">
        <v>25</v>
      </c>
      <c r="O319" t="s">
        <v>35</v>
      </c>
      <c r="P319" t="s">
        <v>27</v>
      </c>
      <c r="Q319" s="5">
        <v>46260</v>
      </c>
      <c r="R319" t="s">
        <v>28</v>
      </c>
      <c r="S319">
        <f>DATEDIF(D319,DATE(2026,9,30),"Y")</f>
        <v>20</v>
      </c>
      <c r="T319" s="6">
        <f>(IF(Q319="",DATE(2026,9,30),Q319)-E319)/365.25</f>
        <v>0.52840520191649554</v>
      </c>
      <c r="U319" t="str">
        <f>_xlfn.XLOOKUP(Table1_1[[#This Row],[Bo''lim]],Bolimlar!A:A,Bolimlar!B:B,"Topilmadi")</f>
        <v>Shahlo Ismoilova</v>
      </c>
      <c r="V319">
        <f>IF(P319="Ha",1,0)</f>
        <v>1</v>
      </c>
      <c r="W319" t="str">
        <f>IF(T319&lt;1,"1 yildan kam",IF(T319&lt;3,"1-3 yil","3 yildan ko'p"))</f>
        <v>1 yildan kam</v>
      </c>
    </row>
    <row r="320" spans="1:23" x14ac:dyDescent="0.3">
      <c r="A320" t="s">
        <v>648</v>
      </c>
      <c r="B320" t="s">
        <v>649</v>
      </c>
      <c r="C320" t="s">
        <v>31</v>
      </c>
      <c r="D320" s="5">
        <v>35901</v>
      </c>
      <c r="E320" s="5">
        <v>45535</v>
      </c>
      <c r="F320" t="s">
        <v>1300</v>
      </c>
      <c r="G320" t="s">
        <v>52</v>
      </c>
      <c r="H320" t="s">
        <v>68</v>
      </c>
      <c r="I320" t="s">
        <v>34</v>
      </c>
      <c r="J320">
        <v>7010000</v>
      </c>
      <c r="K320">
        <v>2</v>
      </c>
      <c r="L320">
        <v>3</v>
      </c>
      <c r="M320">
        <v>12</v>
      </c>
      <c r="N320" t="s">
        <v>25</v>
      </c>
      <c r="O320" t="s">
        <v>35</v>
      </c>
      <c r="P320" t="s">
        <v>27</v>
      </c>
      <c r="Q320" s="5">
        <v>46110</v>
      </c>
      <c r="R320" t="s">
        <v>111</v>
      </c>
      <c r="S320">
        <f>DATEDIF(D320,DATE(2026,9,30),"Y")</f>
        <v>28</v>
      </c>
      <c r="T320" s="6">
        <f>(IF(Q320="",DATE(2026,9,30),Q320)-E320)/365.25</f>
        <v>1.5742642026009583</v>
      </c>
      <c r="U320" t="str">
        <f>_xlfn.XLOOKUP(Table1_1[[#This Row],[Bo''lim]],Bolimlar!A:A,Bolimlar!B:B,"Topilmadi")</f>
        <v>Shahlo Ismoilova</v>
      </c>
      <c r="V320">
        <f>IF(P320="Ha",1,0)</f>
        <v>1</v>
      </c>
      <c r="W320" t="str">
        <f>IF(T320&lt;1,"1 yildan kam",IF(T320&lt;3,"1-3 yil","3 yildan ko'p"))</f>
        <v>1-3 yil</v>
      </c>
    </row>
    <row r="321" spans="1:23" x14ac:dyDescent="0.3">
      <c r="A321" t="s">
        <v>722</v>
      </c>
      <c r="B321" t="s">
        <v>723</v>
      </c>
      <c r="C321" t="s">
        <v>31</v>
      </c>
      <c r="D321" s="5">
        <v>30882</v>
      </c>
      <c r="E321" s="5">
        <v>44541</v>
      </c>
      <c r="F321" t="s">
        <v>1035</v>
      </c>
      <c r="G321" t="s">
        <v>65</v>
      </c>
      <c r="H321" t="s">
        <v>68</v>
      </c>
      <c r="I321" t="s">
        <v>24</v>
      </c>
      <c r="J321">
        <v>7010000</v>
      </c>
      <c r="K321">
        <v>4</v>
      </c>
      <c r="L321">
        <v>3</v>
      </c>
      <c r="M321">
        <v>18</v>
      </c>
      <c r="N321" t="s">
        <v>41</v>
      </c>
      <c r="O321" t="s">
        <v>26</v>
      </c>
      <c r="P321" t="s">
        <v>36</v>
      </c>
      <c r="Q321" s="5"/>
      <c r="S321">
        <f>DATEDIF(D321,DATE(2026,9,30),"Y")</f>
        <v>42</v>
      </c>
      <c r="T321" s="6">
        <f>(IF(Q321="",DATE(2026,9,30),Q321)-E321)/365.25</f>
        <v>4.8021902806297057</v>
      </c>
      <c r="U321" t="str">
        <f>_xlfn.XLOOKUP(Table1_1[[#This Row],[Bo''lim]],Bolimlar!A:A,Bolimlar!B:B,"Topilmadi")</f>
        <v>Aziz Karimov</v>
      </c>
      <c r="V321">
        <f>IF(P321="Ha",1,0)</f>
        <v>0</v>
      </c>
      <c r="W321" t="str">
        <f>IF(T321&lt;1,"1 yildan kam",IF(T321&lt;3,"1-3 yil","3 yildan ko'p"))</f>
        <v>3 yildan ko'p</v>
      </c>
    </row>
    <row r="322" spans="1:23" x14ac:dyDescent="0.3">
      <c r="A322" t="s">
        <v>1128</v>
      </c>
      <c r="B322" t="s">
        <v>1129</v>
      </c>
      <c r="C322" t="s">
        <v>20</v>
      </c>
      <c r="D322" s="5">
        <v>34605</v>
      </c>
      <c r="E322" s="5">
        <v>46153</v>
      </c>
      <c r="F322" t="s">
        <v>1226</v>
      </c>
      <c r="G322" t="s">
        <v>142</v>
      </c>
      <c r="H322" t="s">
        <v>68</v>
      </c>
      <c r="I322" t="s">
        <v>96</v>
      </c>
      <c r="J322">
        <v>7010000</v>
      </c>
      <c r="K322">
        <v>4</v>
      </c>
      <c r="L322">
        <v>2</v>
      </c>
      <c r="M322">
        <v>0</v>
      </c>
      <c r="N322" t="s">
        <v>41</v>
      </c>
      <c r="O322" t="s">
        <v>26</v>
      </c>
      <c r="P322" t="s">
        <v>36</v>
      </c>
      <c r="Q322" s="5"/>
      <c r="S322">
        <f>DATEDIF(D322,DATE(2026,9,30),"Y")</f>
        <v>32</v>
      </c>
      <c r="T322" s="6">
        <f>(IF(Q322="",DATE(2026,9,30),Q322)-E322)/365.25</f>
        <v>0.38877481177275841</v>
      </c>
      <c r="U322" t="str">
        <f>_xlfn.XLOOKUP(Table1_1[[#This Row],[Bo''lim]],Bolimlar!A:A,Bolimlar!B:B,"Topilmadi")</f>
        <v>Madina Abdullayeva</v>
      </c>
      <c r="V322">
        <f>IF(P322="Ha",1,0)</f>
        <v>0</v>
      </c>
      <c r="W322" t="str">
        <f>IF(T322&lt;1,"1 yildan kam",IF(T322&lt;3,"1-3 yil","3 yildan ko'p"))</f>
        <v>1 yildan kam</v>
      </c>
    </row>
    <row r="323" spans="1:23" x14ac:dyDescent="0.3">
      <c r="A323" t="s">
        <v>1188</v>
      </c>
      <c r="B323" t="s">
        <v>368</v>
      </c>
      <c r="C323" t="s">
        <v>31</v>
      </c>
      <c r="D323" s="5">
        <v>35682</v>
      </c>
      <c r="E323" s="5">
        <v>44067</v>
      </c>
      <c r="F323" t="s">
        <v>1300</v>
      </c>
      <c r="G323" t="s">
        <v>52</v>
      </c>
      <c r="H323" t="s">
        <v>68</v>
      </c>
      <c r="I323" t="s">
        <v>24</v>
      </c>
      <c r="J323">
        <v>7010000</v>
      </c>
      <c r="K323">
        <v>5</v>
      </c>
      <c r="L323">
        <v>3</v>
      </c>
      <c r="M323">
        <v>10</v>
      </c>
      <c r="N323" t="s">
        <v>41</v>
      </c>
      <c r="O323" t="s">
        <v>26</v>
      </c>
      <c r="P323" t="s">
        <v>36</v>
      </c>
      <c r="Q323" s="5"/>
      <c r="S323">
        <f>DATEDIF(D323,DATE(2026,9,30),"Y")</f>
        <v>29</v>
      </c>
      <c r="T323" s="6">
        <f>(IF(Q323="",DATE(2026,9,30),Q323)-E323)/365.25</f>
        <v>6.0999315537303218</v>
      </c>
      <c r="U323" t="str">
        <f>_xlfn.XLOOKUP(Table1_1[[#This Row],[Bo''lim]],Bolimlar!A:A,Bolimlar!B:B,"Topilmadi")</f>
        <v>Shahlo Ismoilova</v>
      </c>
      <c r="V323">
        <f>IF(P323="Ha",1,0)</f>
        <v>0</v>
      </c>
      <c r="W323" t="str">
        <f>IF(T323&lt;1,"1 yildan kam",IF(T323&lt;3,"1-3 yil","3 yildan ko'p"))</f>
        <v>3 yildan ko'p</v>
      </c>
    </row>
    <row r="324" spans="1:23" x14ac:dyDescent="0.3">
      <c r="A324" t="s">
        <v>226</v>
      </c>
      <c r="B324" t="s">
        <v>227</v>
      </c>
      <c r="C324" t="s">
        <v>20</v>
      </c>
      <c r="D324" s="5">
        <v>32706</v>
      </c>
      <c r="E324" s="5">
        <v>43447</v>
      </c>
      <c r="F324" t="s">
        <v>1300</v>
      </c>
      <c r="G324" t="s">
        <v>52</v>
      </c>
      <c r="H324" t="s">
        <v>68</v>
      </c>
      <c r="I324" t="s">
        <v>24</v>
      </c>
      <c r="J324">
        <v>7000000</v>
      </c>
      <c r="K324">
        <v>2</v>
      </c>
      <c r="L324">
        <v>4</v>
      </c>
      <c r="M324">
        <v>20</v>
      </c>
      <c r="N324" t="s">
        <v>41</v>
      </c>
      <c r="O324" t="s">
        <v>53</v>
      </c>
      <c r="P324" t="s">
        <v>36</v>
      </c>
      <c r="Q324" s="5"/>
      <c r="S324">
        <f>DATEDIF(D324,DATE(2026,9,30),"Y")</f>
        <v>37</v>
      </c>
      <c r="T324" s="6">
        <f>(IF(Q324="",DATE(2026,9,30),Q324)-E324)/365.25</f>
        <v>7.7973990417522243</v>
      </c>
      <c r="U324" t="str">
        <f>_xlfn.XLOOKUP(Table1_1[[#This Row],[Bo''lim]],Bolimlar!A:A,Bolimlar!B:B,"Topilmadi")</f>
        <v>Shahlo Ismoilova</v>
      </c>
      <c r="V324">
        <f>IF(P324="Ha",1,0)</f>
        <v>0</v>
      </c>
      <c r="W324" t="str">
        <f>IF(T324&lt;1,"1 yildan kam",IF(T324&lt;3,"1-3 yil","3 yildan ko'p"))</f>
        <v>3 yildan ko'p</v>
      </c>
    </row>
    <row r="325" spans="1:23" x14ac:dyDescent="0.3">
      <c r="A325" t="s">
        <v>807</v>
      </c>
      <c r="B325" t="s">
        <v>808</v>
      </c>
      <c r="C325" t="s">
        <v>20</v>
      </c>
      <c r="D325" s="5">
        <v>33246</v>
      </c>
      <c r="E325" s="5">
        <v>42684</v>
      </c>
      <c r="F325" t="s">
        <v>245</v>
      </c>
      <c r="G325" t="s">
        <v>48</v>
      </c>
      <c r="H325" t="s">
        <v>68</v>
      </c>
      <c r="I325" t="s">
        <v>206</v>
      </c>
      <c r="J325">
        <v>7000000</v>
      </c>
      <c r="K325">
        <v>3</v>
      </c>
      <c r="L325">
        <v>4</v>
      </c>
      <c r="M325">
        <v>15</v>
      </c>
      <c r="N325" t="s">
        <v>25</v>
      </c>
      <c r="O325" t="s">
        <v>35</v>
      </c>
      <c r="P325" t="s">
        <v>36</v>
      </c>
      <c r="Q325" s="5"/>
      <c r="S325">
        <f>DATEDIF(D325,DATE(2026,9,30),"Y")</f>
        <v>35</v>
      </c>
      <c r="T325" s="6">
        <f>(IF(Q325="",DATE(2026,9,30),Q325)-E325)/365.25</f>
        <v>9.886379192334017</v>
      </c>
      <c r="U325" t="str">
        <f>_xlfn.XLOOKUP(Table1_1[[#This Row],[Bo''lim]],Bolimlar!A:A,Bolimlar!B:B,"Topilmadi")</f>
        <v>Dilnoza Rahimova</v>
      </c>
      <c r="V325">
        <f>IF(P325="Ha",1,0)</f>
        <v>0</v>
      </c>
      <c r="W325" t="str">
        <f>IF(T325&lt;1,"1 yildan kam",IF(T325&lt;3,"1-3 yil","3 yildan ko'p"))</f>
        <v>3 yildan ko'p</v>
      </c>
    </row>
    <row r="326" spans="1:23" x14ac:dyDescent="0.3">
      <c r="A326" t="s">
        <v>1017</v>
      </c>
      <c r="B326" t="s">
        <v>172</v>
      </c>
      <c r="C326" t="s">
        <v>31</v>
      </c>
      <c r="D326" s="5">
        <v>32969</v>
      </c>
      <c r="E326" s="5">
        <v>42534</v>
      </c>
      <c r="F326" t="s">
        <v>1300</v>
      </c>
      <c r="G326" t="s">
        <v>52</v>
      </c>
      <c r="H326" t="s">
        <v>68</v>
      </c>
      <c r="I326" t="s">
        <v>24</v>
      </c>
      <c r="J326">
        <v>6990000</v>
      </c>
      <c r="K326">
        <v>4</v>
      </c>
      <c r="L326">
        <v>4</v>
      </c>
      <c r="M326">
        <v>10</v>
      </c>
      <c r="N326" t="s">
        <v>25</v>
      </c>
      <c r="O326" t="s">
        <v>26</v>
      </c>
      <c r="P326" t="s">
        <v>36</v>
      </c>
      <c r="Q326" s="5"/>
      <c r="S326">
        <f>DATEDIF(D326,DATE(2026,9,30),"Y")</f>
        <v>36</v>
      </c>
      <c r="T326" s="6">
        <f>(IF(Q326="",DATE(2026,9,30),Q326)-E326)/365.25</f>
        <v>10.297056810403832</v>
      </c>
      <c r="U326" t="str">
        <f>_xlfn.XLOOKUP(Table1_1[[#This Row],[Bo''lim]],Bolimlar!A:A,Bolimlar!B:B,"Topilmadi")</f>
        <v>Shahlo Ismoilova</v>
      </c>
      <c r="V326">
        <f>IF(P326="Ha",1,0)</f>
        <v>0</v>
      </c>
      <c r="W326" t="str">
        <f>IF(T326&lt;1,"1 yildan kam",IF(T326&lt;3,"1-3 yil","3 yildan ko'p"))</f>
        <v>3 yildan ko'p</v>
      </c>
    </row>
    <row r="327" spans="1:23" x14ac:dyDescent="0.3">
      <c r="A327" t="s">
        <v>348</v>
      </c>
      <c r="B327" t="s">
        <v>102</v>
      </c>
      <c r="C327" t="s">
        <v>20</v>
      </c>
      <c r="D327" s="5">
        <v>31669</v>
      </c>
      <c r="E327" s="5">
        <v>44864</v>
      </c>
      <c r="F327" t="s">
        <v>1035</v>
      </c>
      <c r="G327" t="s">
        <v>73</v>
      </c>
      <c r="H327" t="s">
        <v>68</v>
      </c>
      <c r="I327" t="s">
        <v>82</v>
      </c>
      <c r="J327">
        <v>6970000</v>
      </c>
      <c r="K327">
        <v>3</v>
      </c>
      <c r="L327">
        <v>3</v>
      </c>
      <c r="M327">
        <v>10</v>
      </c>
      <c r="N327" t="s">
        <v>88</v>
      </c>
      <c r="O327" t="s">
        <v>26</v>
      </c>
      <c r="P327" t="s">
        <v>36</v>
      </c>
      <c r="Q327" s="5"/>
      <c r="S327">
        <f>DATEDIF(D327,DATE(2026,9,30),"Y")</f>
        <v>40</v>
      </c>
      <c r="T327" s="6">
        <f>(IF(Q327="",DATE(2026,9,30),Q327)-E327)/365.25</f>
        <v>3.9178644763860371</v>
      </c>
      <c r="U327" t="str">
        <f>_xlfn.XLOOKUP(Table1_1[[#This Row],[Bo''lim]],Bolimlar!A:A,Bolimlar!B:B,"Topilmadi")</f>
        <v>Aziz Karimov</v>
      </c>
      <c r="V327">
        <f>IF(P327="Ha",1,0)</f>
        <v>0</v>
      </c>
      <c r="W327" t="str">
        <f>IF(T327&lt;1,"1 yildan kam",IF(T327&lt;3,"1-3 yil","3 yildan ko'p"))</f>
        <v>3 yildan ko'p</v>
      </c>
    </row>
    <row r="328" spans="1:23" x14ac:dyDescent="0.3">
      <c r="A328" t="s">
        <v>467</v>
      </c>
      <c r="B328" t="s">
        <v>468</v>
      </c>
      <c r="C328" t="s">
        <v>20</v>
      </c>
      <c r="D328" s="5">
        <v>31734</v>
      </c>
      <c r="E328" s="5">
        <v>45030</v>
      </c>
      <c r="F328" t="s">
        <v>245</v>
      </c>
      <c r="G328" t="s">
        <v>127</v>
      </c>
      <c r="H328" t="s">
        <v>68</v>
      </c>
      <c r="I328" t="s">
        <v>24</v>
      </c>
      <c r="J328">
        <v>6940000</v>
      </c>
      <c r="K328">
        <v>3</v>
      </c>
      <c r="L328">
        <v>2</v>
      </c>
      <c r="M328">
        <v>0</v>
      </c>
      <c r="N328" t="s">
        <v>25</v>
      </c>
      <c r="O328" t="s">
        <v>35</v>
      </c>
      <c r="P328" t="s">
        <v>36</v>
      </c>
      <c r="Q328" s="5"/>
      <c r="S328">
        <f>DATEDIF(D328,DATE(2026,9,30),"Y")</f>
        <v>39</v>
      </c>
      <c r="T328" s="6">
        <f>(IF(Q328="",DATE(2026,9,30),Q328)-E328)/365.25</f>
        <v>3.463381245722108</v>
      </c>
      <c r="U328" t="str">
        <f>_xlfn.XLOOKUP(Table1_1[[#This Row],[Bo''lim]],Bolimlar!A:A,Bolimlar!B:B,"Topilmadi")</f>
        <v>Dilnoza Rahimova</v>
      </c>
      <c r="V328">
        <f>IF(P328="Ha",1,0)</f>
        <v>0</v>
      </c>
      <c r="W328" t="str">
        <f>IF(T328&lt;1,"1 yildan kam",IF(T328&lt;3,"1-3 yil","3 yildan ko'p"))</f>
        <v>3 yildan ko'p</v>
      </c>
    </row>
    <row r="329" spans="1:23" x14ac:dyDescent="0.3">
      <c r="A329" t="s">
        <v>1086</v>
      </c>
      <c r="B329" t="s">
        <v>1087</v>
      </c>
      <c r="C329" t="s">
        <v>31</v>
      </c>
      <c r="D329" s="5">
        <v>34808</v>
      </c>
      <c r="E329" s="5">
        <v>45939</v>
      </c>
      <c r="F329" t="s">
        <v>1300</v>
      </c>
      <c r="G329" t="s">
        <v>52</v>
      </c>
      <c r="H329" t="s">
        <v>68</v>
      </c>
      <c r="I329" t="s">
        <v>24</v>
      </c>
      <c r="J329">
        <v>6940000</v>
      </c>
      <c r="K329">
        <v>4</v>
      </c>
      <c r="L329">
        <v>4</v>
      </c>
      <c r="M329">
        <v>22</v>
      </c>
      <c r="N329" t="s">
        <v>25</v>
      </c>
      <c r="O329" t="s">
        <v>53</v>
      </c>
      <c r="P329" t="s">
        <v>36</v>
      </c>
      <c r="Q329" s="5"/>
      <c r="S329">
        <f>DATEDIF(D329,DATE(2026,9,30),"Y")</f>
        <v>31</v>
      </c>
      <c r="T329" s="6">
        <f>(IF(Q329="",DATE(2026,9,30),Q329)-E329)/365.25</f>
        <v>0.97467488021902804</v>
      </c>
      <c r="U329" t="str">
        <f>_xlfn.XLOOKUP(Table1_1[[#This Row],[Bo''lim]],Bolimlar!A:A,Bolimlar!B:B,"Topilmadi")</f>
        <v>Shahlo Ismoilova</v>
      </c>
      <c r="V329">
        <f>IF(P329="Ha",1,0)</f>
        <v>0</v>
      </c>
      <c r="W329" t="str">
        <f>IF(T329&lt;1,"1 yildan kam",IF(T329&lt;3,"1-3 yil","3 yildan ko'p"))</f>
        <v>1 yildan kam</v>
      </c>
    </row>
    <row r="330" spans="1:23" x14ac:dyDescent="0.3">
      <c r="A330" t="s">
        <v>408</v>
      </c>
      <c r="B330" t="s">
        <v>409</v>
      </c>
      <c r="C330" t="s">
        <v>31</v>
      </c>
      <c r="D330" s="5">
        <v>33552</v>
      </c>
      <c r="E330" s="5">
        <v>43187</v>
      </c>
      <c r="F330" t="s">
        <v>1226</v>
      </c>
      <c r="G330" t="s">
        <v>60</v>
      </c>
      <c r="H330" t="s">
        <v>68</v>
      </c>
      <c r="I330" t="s">
        <v>82</v>
      </c>
      <c r="J330">
        <v>6900000</v>
      </c>
      <c r="K330">
        <v>2</v>
      </c>
      <c r="L330">
        <v>4</v>
      </c>
      <c r="M330">
        <v>23</v>
      </c>
      <c r="N330" t="s">
        <v>41</v>
      </c>
      <c r="O330" t="s">
        <v>26</v>
      </c>
      <c r="P330" t="s">
        <v>36</v>
      </c>
      <c r="Q330" s="5"/>
      <c r="S330">
        <f>DATEDIF(D330,DATE(2026,9,30),"Y")</f>
        <v>34</v>
      </c>
      <c r="T330" s="6">
        <f>(IF(Q330="",DATE(2026,9,30),Q330)-E330)/365.25</f>
        <v>8.5092402464065717</v>
      </c>
      <c r="U330" t="str">
        <f>_xlfn.XLOOKUP(Table1_1[[#This Row],[Bo''lim]],Bolimlar!A:A,Bolimlar!B:B,"Topilmadi")</f>
        <v>Madina Abdullayeva</v>
      </c>
      <c r="V330">
        <f>IF(P330="Ha",1,0)</f>
        <v>0</v>
      </c>
      <c r="W330" t="str">
        <f>IF(T330&lt;1,"1 yildan kam",IF(T330&lt;3,"1-3 yil","3 yildan ko'p"))</f>
        <v>3 yildan ko'p</v>
      </c>
    </row>
    <row r="331" spans="1:23" x14ac:dyDescent="0.3">
      <c r="A331" t="s">
        <v>743</v>
      </c>
      <c r="B331" t="s">
        <v>242</v>
      </c>
      <c r="C331" t="s">
        <v>31</v>
      </c>
      <c r="D331" s="5">
        <v>32638</v>
      </c>
      <c r="E331" s="5">
        <v>43412</v>
      </c>
      <c r="F331" t="s">
        <v>1300</v>
      </c>
      <c r="G331" t="s">
        <v>93</v>
      </c>
      <c r="H331" t="s">
        <v>68</v>
      </c>
      <c r="I331" t="s">
        <v>24</v>
      </c>
      <c r="J331">
        <v>6900000</v>
      </c>
      <c r="K331">
        <v>4</v>
      </c>
      <c r="L331">
        <v>3</v>
      </c>
      <c r="M331">
        <v>18</v>
      </c>
      <c r="N331" t="s">
        <v>41</v>
      </c>
      <c r="O331" t="s">
        <v>26</v>
      </c>
      <c r="P331" t="s">
        <v>27</v>
      </c>
      <c r="Q331" s="5">
        <v>45826</v>
      </c>
      <c r="R331" t="s">
        <v>61</v>
      </c>
      <c r="S331">
        <f>DATEDIF(D331,DATE(2026,9,30),"Y")</f>
        <v>37</v>
      </c>
      <c r="T331" s="6">
        <f>(IF(Q331="",DATE(2026,9,30),Q331)-E331)/365.25</f>
        <v>6.6091718001368926</v>
      </c>
      <c r="U331" t="str">
        <f>_xlfn.XLOOKUP(Table1_1[[#This Row],[Bo''lim]],Bolimlar!A:A,Bolimlar!B:B,"Topilmadi")</f>
        <v>Shahlo Ismoilova</v>
      </c>
      <c r="V331">
        <f>IF(P331="Ha",1,0)</f>
        <v>1</v>
      </c>
      <c r="W331" t="str">
        <f>IF(T331&lt;1,"1 yildan kam",IF(T331&lt;3,"1-3 yil","3 yildan ko'p"))</f>
        <v>3 yildan ko'p</v>
      </c>
    </row>
    <row r="332" spans="1:23" x14ac:dyDescent="0.3">
      <c r="A332" t="s">
        <v>1208</v>
      </c>
      <c r="B332" t="s">
        <v>520</v>
      </c>
      <c r="C332" t="s">
        <v>20</v>
      </c>
      <c r="D332" s="5">
        <v>38637</v>
      </c>
      <c r="E332" s="5">
        <v>46100</v>
      </c>
      <c r="F332" t="s">
        <v>1035</v>
      </c>
      <c r="G332" t="s">
        <v>73</v>
      </c>
      <c r="H332" t="s">
        <v>68</v>
      </c>
      <c r="I332" t="s">
        <v>96</v>
      </c>
      <c r="J332">
        <v>6900000</v>
      </c>
      <c r="K332">
        <v>3</v>
      </c>
      <c r="L332">
        <v>4</v>
      </c>
      <c r="M332">
        <v>17</v>
      </c>
      <c r="N332" t="s">
        <v>25</v>
      </c>
      <c r="O332" t="s">
        <v>53</v>
      </c>
      <c r="P332" t="s">
        <v>36</v>
      </c>
      <c r="Q332" s="5"/>
      <c r="S332">
        <f>DATEDIF(D332,DATE(2026,9,30),"Y")</f>
        <v>20</v>
      </c>
      <c r="T332" s="6">
        <f>(IF(Q332="",DATE(2026,9,30),Q332)-E332)/365.25</f>
        <v>0.53388090349075978</v>
      </c>
      <c r="U332" t="str">
        <f>_xlfn.XLOOKUP(Table1_1[[#This Row],[Bo''lim]],Bolimlar!A:A,Bolimlar!B:B,"Topilmadi")</f>
        <v>Aziz Karimov</v>
      </c>
      <c r="V332">
        <f>IF(P332="Ha",1,0)</f>
        <v>0</v>
      </c>
      <c r="W332" t="str">
        <f>IF(T332&lt;1,"1 yildan kam",IF(T332&lt;3,"1-3 yil","3 yildan ko'p"))</f>
        <v>1 yildan kam</v>
      </c>
    </row>
    <row r="333" spans="1:23" x14ac:dyDescent="0.3">
      <c r="A333" t="s">
        <v>668</v>
      </c>
      <c r="B333" t="s">
        <v>63</v>
      </c>
      <c r="C333" t="s">
        <v>31</v>
      </c>
      <c r="D333" s="5">
        <v>28911</v>
      </c>
      <c r="E333" s="5">
        <v>45098</v>
      </c>
      <c r="F333" t="s">
        <v>1300</v>
      </c>
      <c r="G333" t="s">
        <v>93</v>
      </c>
      <c r="H333" t="s">
        <v>68</v>
      </c>
      <c r="I333" t="s">
        <v>24</v>
      </c>
      <c r="J333">
        <v>6880000</v>
      </c>
      <c r="K333">
        <v>3</v>
      </c>
      <c r="L333">
        <v>2</v>
      </c>
      <c r="M333">
        <v>16</v>
      </c>
      <c r="N333" t="s">
        <v>41</v>
      </c>
      <c r="O333" t="s">
        <v>26</v>
      </c>
      <c r="P333" t="s">
        <v>36</v>
      </c>
      <c r="Q333" s="5"/>
      <c r="S333">
        <f>DATEDIF(D333,DATE(2026,9,30),"Y")</f>
        <v>47</v>
      </c>
      <c r="T333" s="6">
        <f>(IF(Q333="",DATE(2026,9,30),Q333)-E333)/365.25</f>
        <v>3.2772073921971252</v>
      </c>
      <c r="U333" t="str">
        <f>_xlfn.XLOOKUP(Table1_1[[#This Row],[Bo''lim]],Bolimlar!A:A,Bolimlar!B:B,"Topilmadi")</f>
        <v>Shahlo Ismoilova</v>
      </c>
      <c r="V333">
        <f>IF(P333="Ha",1,0)</f>
        <v>0</v>
      </c>
      <c r="W333" t="str">
        <f>IF(T333&lt;1,"1 yildan kam",IF(T333&lt;3,"1-3 yil","3 yildan ko'p"))</f>
        <v>3 yildan ko'p</v>
      </c>
    </row>
    <row r="334" spans="1:23" x14ac:dyDescent="0.3">
      <c r="A334" t="s">
        <v>466</v>
      </c>
      <c r="B334" t="s">
        <v>267</v>
      </c>
      <c r="C334" t="s">
        <v>31</v>
      </c>
      <c r="D334" s="5">
        <v>32988</v>
      </c>
      <c r="E334" s="5">
        <v>45836</v>
      </c>
      <c r="F334" t="s">
        <v>245</v>
      </c>
      <c r="G334" t="s">
        <v>48</v>
      </c>
      <c r="H334" t="s">
        <v>68</v>
      </c>
      <c r="I334" t="s">
        <v>24</v>
      </c>
      <c r="J334">
        <v>6860000</v>
      </c>
      <c r="K334">
        <v>4</v>
      </c>
      <c r="L334">
        <v>1</v>
      </c>
      <c r="M334">
        <v>26</v>
      </c>
      <c r="N334" t="s">
        <v>25</v>
      </c>
      <c r="O334" t="s">
        <v>26</v>
      </c>
      <c r="P334" t="s">
        <v>36</v>
      </c>
      <c r="Q334" s="5"/>
      <c r="S334">
        <f>DATEDIF(D334,DATE(2026,9,30),"Y")</f>
        <v>36</v>
      </c>
      <c r="T334" s="6">
        <f>(IF(Q334="",DATE(2026,9,30),Q334)-E334)/365.25</f>
        <v>1.2566735112936345</v>
      </c>
      <c r="U334" t="str">
        <f>_xlfn.XLOOKUP(Table1_1[[#This Row],[Bo''lim]],Bolimlar!A:A,Bolimlar!B:B,"Topilmadi")</f>
        <v>Dilnoza Rahimova</v>
      </c>
      <c r="V334">
        <f>IF(P334="Ha",1,0)</f>
        <v>0</v>
      </c>
      <c r="W334" t="str">
        <f>IF(T334&lt;1,"1 yildan kam",IF(T334&lt;3,"1-3 yil","3 yildan ko'p"))</f>
        <v>1-3 yil</v>
      </c>
    </row>
    <row r="335" spans="1:23" x14ac:dyDescent="0.3">
      <c r="A335" t="s">
        <v>1269</v>
      </c>
      <c r="B335" t="s">
        <v>1095</v>
      </c>
      <c r="C335" t="s">
        <v>20</v>
      </c>
      <c r="D335" s="5">
        <v>32916</v>
      </c>
      <c r="E335" s="5">
        <v>43694</v>
      </c>
      <c r="F335" t="s">
        <v>1035</v>
      </c>
      <c r="G335" t="s">
        <v>65</v>
      </c>
      <c r="H335" t="s">
        <v>68</v>
      </c>
      <c r="I335" t="s">
        <v>104</v>
      </c>
      <c r="J335">
        <v>6860000</v>
      </c>
      <c r="K335">
        <v>4</v>
      </c>
      <c r="L335">
        <v>3</v>
      </c>
      <c r="M335">
        <v>22</v>
      </c>
      <c r="N335" t="s">
        <v>41</v>
      </c>
      <c r="O335" t="s">
        <v>53</v>
      </c>
      <c r="P335" t="s">
        <v>36</v>
      </c>
      <c r="Q335" s="5"/>
      <c r="S335">
        <f>DATEDIF(D335,DATE(2026,9,30),"Y")</f>
        <v>36</v>
      </c>
      <c r="T335" s="6">
        <f>(IF(Q335="",DATE(2026,9,30),Q335)-E335)/365.25</f>
        <v>7.1211498973305956</v>
      </c>
      <c r="U335" t="str">
        <f>_xlfn.XLOOKUP(Table1_1[[#This Row],[Bo''lim]],Bolimlar!A:A,Bolimlar!B:B,"Topilmadi")</f>
        <v>Aziz Karimov</v>
      </c>
      <c r="V335">
        <f>IF(P335="Ha",1,0)</f>
        <v>0</v>
      </c>
      <c r="W335" t="str">
        <f>IF(T335&lt;1,"1 yildan kam",IF(T335&lt;3,"1-3 yil","3 yildan ko'p"))</f>
        <v>3 yildan ko'p</v>
      </c>
    </row>
    <row r="336" spans="1:23" x14ac:dyDescent="0.3">
      <c r="A336" t="s">
        <v>675</v>
      </c>
      <c r="B336" t="s">
        <v>676</v>
      </c>
      <c r="C336" t="s">
        <v>31</v>
      </c>
      <c r="D336" s="5">
        <v>32321</v>
      </c>
      <c r="E336" s="5">
        <v>42312</v>
      </c>
      <c r="F336" t="s">
        <v>1035</v>
      </c>
      <c r="G336" t="s">
        <v>65</v>
      </c>
      <c r="H336" t="s">
        <v>68</v>
      </c>
      <c r="I336" t="s">
        <v>24</v>
      </c>
      <c r="J336">
        <v>6840000</v>
      </c>
      <c r="K336">
        <v>3</v>
      </c>
      <c r="L336">
        <v>4</v>
      </c>
      <c r="M336">
        <v>1</v>
      </c>
      <c r="N336" t="s">
        <v>41</v>
      </c>
      <c r="O336" t="s">
        <v>35</v>
      </c>
      <c r="P336" t="s">
        <v>36</v>
      </c>
      <c r="Q336" s="5"/>
      <c r="S336">
        <f>DATEDIF(D336,DATE(2026,9,30),"Y")</f>
        <v>38</v>
      </c>
      <c r="T336" s="6">
        <f>(IF(Q336="",DATE(2026,9,30),Q336)-E336)/365.25</f>
        <v>10.904859685147159</v>
      </c>
      <c r="U336" t="str">
        <f>_xlfn.XLOOKUP(Table1_1[[#This Row],[Bo''lim]],Bolimlar!A:A,Bolimlar!B:B,"Topilmadi")</f>
        <v>Aziz Karimov</v>
      </c>
      <c r="V336">
        <f>IF(P336="Ha",1,0)</f>
        <v>0</v>
      </c>
      <c r="W336" t="str">
        <f>IF(T336&lt;1,"1 yildan kam",IF(T336&lt;3,"1-3 yil","3 yildan ko'p"))</f>
        <v>3 yildan ko'p</v>
      </c>
    </row>
    <row r="337" spans="1:23" x14ac:dyDescent="0.3">
      <c r="A337" t="s">
        <v>969</v>
      </c>
      <c r="B337" t="s">
        <v>970</v>
      </c>
      <c r="C337" t="s">
        <v>31</v>
      </c>
      <c r="D337" s="5">
        <v>37896</v>
      </c>
      <c r="E337" s="5">
        <v>45946</v>
      </c>
      <c r="F337" t="s">
        <v>484</v>
      </c>
      <c r="G337" t="s">
        <v>150</v>
      </c>
      <c r="H337" t="s">
        <v>68</v>
      </c>
      <c r="I337" t="s">
        <v>24</v>
      </c>
      <c r="J337">
        <v>6830000</v>
      </c>
      <c r="K337">
        <v>2</v>
      </c>
      <c r="L337">
        <v>3</v>
      </c>
      <c r="M337">
        <v>27</v>
      </c>
      <c r="N337" t="s">
        <v>41</v>
      </c>
      <c r="O337" t="s">
        <v>26</v>
      </c>
      <c r="P337" t="s">
        <v>27</v>
      </c>
      <c r="Q337" s="5">
        <v>46176</v>
      </c>
      <c r="R337" t="s">
        <v>111</v>
      </c>
      <c r="S337">
        <f>DATEDIF(D337,DATE(2026,9,30),"Y")</f>
        <v>22</v>
      </c>
      <c r="T337" s="6">
        <f>(IF(Q337="",DATE(2026,9,30),Q337)-E337)/365.25</f>
        <v>0.62970568104038327</v>
      </c>
      <c r="U337" t="str">
        <f>_xlfn.XLOOKUP(Table1_1[[#This Row],[Bo''lim]],Bolimlar!A:A,Bolimlar!B:B,"Topilmadi")</f>
        <v>Sardor Nazarov</v>
      </c>
      <c r="V337">
        <f>IF(P337="Ha",1,0)</f>
        <v>1</v>
      </c>
      <c r="W337" t="str">
        <f>IF(T337&lt;1,"1 yildan kam",IF(T337&lt;3,"1-3 yil","3 yildan ko'p"))</f>
        <v>1 yildan kam</v>
      </c>
    </row>
    <row r="338" spans="1:23" x14ac:dyDescent="0.3">
      <c r="A338" t="s">
        <v>222</v>
      </c>
      <c r="B338" t="s">
        <v>223</v>
      </c>
      <c r="C338" t="s">
        <v>31</v>
      </c>
      <c r="D338" s="5">
        <v>38726</v>
      </c>
      <c r="E338" s="5">
        <v>46257</v>
      </c>
      <c r="F338" t="s">
        <v>1226</v>
      </c>
      <c r="G338" t="s">
        <v>142</v>
      </c>
      <c r="H338" t="s">
        <v>68</v>
      </c>
      <c r="I338" t="s">
        <v>24</v>
      </c>
      <c r="J338">
        <v>6820000</v>
      </c>
      <c r="K338">
        <v>3</v>
      </c>
      <c r="L338">
        <v>4</v>
      </c>
      <c r="M338">
        <v>13</v>
      </c>
      <c r="N338" t="s">
        <v>41</v>
      </c>
      <c r="O338" t="s">
        <v>35</v>
      </c>
      <c r="P338" t="s">
        <v>36</v>
      </c>
      <c r="Q338" s="5"/>
      <c r="S338">
        <f>DATEDIF(D338,DATE(2026,9,30),"Y")</f>
        <v>20</v>
      </c>
      <c r="T338" s="6">
        <f>(IF(Q338="",DATE(2026,9,30),Q338)-E338)/365.25</f>
        <v>0.10403832991101986</v>
      </c>
      <c r="U338" t="str">
        <f>_xlfn.XLOOKUP(Table1_1[[#This Row],[Bo''lim]],Bolimlar!A:A,Bolimlar!B:B,"Topilmadi")</f>
        <v>Madina Abdullayeva</v>
      </c>
      <c r="V338">
        <f>IF(P338="Ha",1,0)</f>
        <v>0</v>
      </c>
      <c r="W338" t="str">
        <f>IF(T338&lt;1,"1 yildan kam",IF(T338&lt;3,"1-3 yil","3 yildan ko'p"))</f>
        <v>1 yildan kam</v>
      </c>
    </row>
    <row r="339" spans="1:23" x14ac:dyDescent="0.3">
      <c r="A339" t="s">
        <v>478</v>
      </c>
      <c r="B339" t="s">
        <v>479</v>
      </c>
      <c r="C339" t="s">
        <v>31</v>
      </c>
      <c r="D339" s="5">
        <v>33621</v>
      </c>
      <c r="E339" s="5">
        <v>45202</v>
      </c>
      <c r="F339" t="s">
        <v>484</v>
      </c>
      <c r="G339" t="s">
        <v>115</v>
      </c>
      <c r="H339" t="s">
        <v>68</v>
      </c>
      <c r="I339" t="s">
        <v>24</v>
      </c>
      <c r="J339">
        <v>6820000</v>
      </c>
      <c r="K339">
        <v>4</v>
      </c>
      <c r="L339">
        <v>1</v>
      </c>
      <c r="M339">
        <v>9</v>
      </c>
      <c r="N339" t="s">
        <v>25</v>
      </c>
      <c r="O339" t="s">
        <v>26</v>
      </c>
      <c r="P339" t="s">
        <v>36</v>
      </c>
      <c r="Q339" s="5"/>
      <c r="S339">
        <f>DATEDIF(D339,DATE(2026,9,30),"Y")</f>
        <v>34</v>
      </c>
      <c r="T339" s="6">
        <f>(IF(Q339="",DATE(2026,9,30),Q339)-E339)/365.25</f>
        <v>2.9924709103353866</v>
      </c>
      <c r="U339" t="str">
        <f>_xlfn.XLOOKUP(Table1_1[[#This Row],[Bo''lim]],Bolimlar!A:A,Bolimlar!B:B,"Topilmadi")</f>
        <v>Sardor Nazarov</v>
      </c>
      <c r="V339">
        <f>IF(P339="Ha",1,0)</f>
        <v>0</v>
      </c>
      <c r="W339" t="str">
        <f>IF(T339&lt;1,"1 yildan kam",IF(T339&lt;3,"1-3 yil","3 yildan ko'p"))</f>
        <v>1-3 yil</v>
      </c>
    </row>
    <row r="340" spans="1:23" x14ac:dyDescent="0.3">
      <c r="A340" t="s">
        <v>891</v>
      </c>
      <c r="B340" t="s">
        <v>149</v>
      </c>
      <c r="C340" t="s">
        <v>31</v>
      </c>
      <c r="D340" s="5">
        <v>31051</v>
      </c>
      <c r="E340" s="5">
        <v>45629</v>
      </c>
      <c r="F340" t="s">
        <v>1226</v>
      </c>
      <c r="G340" t="s">
        <v>142</v>
      </c>
      <c r="H340" t="s">
        <v>68</v>
      </c>
      <c r="I340" t="s">
        <v>24</v>
      </c>
      <c r="J340">
        <v>6820000</v>
      </c>
      <c r="K340">
        <v>3</v>
      </c>
      <c r="L340">
        <v>2</v>
      </c>
      <c r="M340">
        <v>1</v>
      </c>
      <c r="N340" t="s">
        <v>88</v>
      </c>
      <c r="O340" t="s">
        <v>26</v>
      </c>
      <c r="P340" t="s">
        <v>36</v>
      </c>
      <c r="Q340" s="5"/>
      <c r="S340">
        <f>DATEDIF(D340,DATE(2026,9,30),"Y")</f>
        <v>41</v>
      </c>
      <c r="T340" s="6">
        <f>(IF(Q340="",DATE(2026,9,30),Q340)-E340)/365.25</f>
        <v>1.8234086242299794</v>
      </c>
      <c r="U340" t="str">
        <f>_xlfn.XLOOKUP(Table1_1[[#This Row],[Bo''lim]],Bolimlar!A:A,Bolimlar!B:B,"Topilmadi")</f>
        <v>Madina Abdullayeva</v>
      </c>
      <c r="V340">
        <f>IF(P340="Ha",1,0)</f>
        <v>0</v>
      </c>
      <c r="W340" t="str">
        <f>IF(T340&lt;1,"1 yildan kam",IF(T340&lt;3,"1-3 yil","3 yildan ko'p"))</f>
        <v>1-3 yil</v>
      </c>
    </row>
    <row r="341" spans="1:23" x14ac:dyDescent="0.3">
      <c r="A341" t="s">
        <v>402</v>
      </c>
      <c r="B341" t="s">
        <v>403</v>
      </c>
      <c r="C341" t="s">
        <v>20</v>
      </c>
      <c r="D341" s="5">
        <v>32895</v>
      </c>
      <c r="E341" s="5">
        <v>43803</v>
      </c>
      <c r="F341" t="s">
        <v>1035</v>
      </c>
      <c r="G341" t="s">
        <v>65</v>
      </c>
      <c r="H341" t="s">
        <v>68</v>
      </c>
      <c r="I341" t="s">
        <v>24</v>
      </c>
      <c r="J341">
        <v>6800000</v>
      </c>
      <c r="K341">
        <v>3</v>
      </c>
      <c r="L341">
        <v>3</v>
      </c>
      <c r="M341">
        <v>22</v>
      </c>
      <c r="N341" t="s">
        <v>25</v>
      </c>
      <c r="O341" t="s">
        <v>26</v>
      </c>
      <c r="P341" t="s">
        <v>27</v>
      </c>
      <c r="Q341" s="5">
        <v>45923</v>
      </c>
      <c r="R341" t="s">
        <v>28</v>
      </c>
      <c r="S341">
        <f>DATEDIF(D341,DATE(2026,9,30),"Y")</f>
        <v>36</v>
      </c>
      <c r="T341" s="6">
        <f>(IF(Q341="",DATE(2026,9,30),Q341)-E341)/365.25</f>
        <v>5.8042436687200549</v>
      </c>
      <c r="U341" t="str">
        <f>_xlfn.XLOOKUP(Table1_1[[#This Row],[Bo''lim]],Bolimlar!A:A,Bolimlar!B:B,"Topilmadi")</f>
        <v>Aziz Karimov</v>
      </c>
      <c r="V341">
        <f>IF(P341="Ha",1,0)</f>
        <v>1</v>
      </c>
      <c r="W341" t="str">
        <f>IF(T341&lt;1,"1 yildan kam",IF(T341&lt;3,"1-3 yil","3 yildan ko'p"))</f>
        <v>3 yildan ko'p</v>
      </c>
    </row>
    <row r="342" spans="1:23" x14ac:dyDescent="0.3">
      <c r="A342" t="s">
        <v>907</v>
      </c>
      <c r="B342" t="s">
        <v>834</v>
      </c>
      <c r="C342" t="s">
        <v>20</v>
      </c>
      <c r="D342" s="5">
        <v>35143</v>
      </c>
      <c r="E342" s="5">
        <v>46095</v>
      </c>
      <c r="F342" t="s">
        <v>21</v>
      </c>
      <c r="G342" t="s">
        <v>22</v>
      </c>
      <c r="H342" t="s">
        <v>33</v>
      </c>
      <c r="I342" t="s">
        <v>24</v>
      </c>
      <c r="J342">
        <v>6800000</v>
      </c>
      <c r="K342">
        <v>4</v>
      </c>
      <c r="L342">
        <v>5</v>
      </c>
      <c r="M342">
        <v>0</v>
      </c>
      <c r="N342" t="s">
        <v>41</v>
      </c>
      <c r="O342" t="s">
        <v>26</v>
      </c>
      <c r="P342" t="s">
        <v>36</v>
      </c>
      <c r="Q342" s="5"/>
      <c r="S342">
        <f>DATEDIF(D342,DATE(2026,9,30),"Y")</f>
        <v>30</v>
      </c>
      <c r="T342" s="6">
        <f>(IF(Q342="",DATE(2026,9,30),Q342)-E342)/365.25</f>
        <v>0.54757015742642023</v>
      </c>
      <c r="U342" t="str">
        <f>_xlfn.XLOOKUP(Table1_1[[#This Row],[Bo''lim]],Bolimlar!A:A,Bolimlar!B:B,"Topilmadi")</f>
        <v>Jasur Yusupov</v>
      </c>
      <c r="V342">
        <f>IF(P342="Ha",1,0)</f>
        <v>0</v>
      </c>
      <c r="W342" t="str">
        <f>IF(T342&lt;1,"1 yildan kam",IF(T342&lt;3,"1-3 yil","3 yildan ko'p"))</f>
        <v>1 yildan kam</v>
      </c>
    </row>
    <row r="343" spans="1:23" x14ac:dyDescent="0.3">
      <c r="A343" t="s">
        <v>504</v>
      </c>
      <c r="B343" t="s">
        <v>477</v>
      </c>
      <c r="C343" t="s">
        <v>31</v>
      </c>
      <c r="D343" s="5">
        <v>37937</v>
      </c>
      <c r="E343" s="5">
        <v>46174</v>
      </c>
      <c r="F343" t="s">
        <v>1035</v>
      </c>
      <c r="G343" t="s">
        <v>65</v>
      </c>
      <c r="H343" t="s">
        <v>68</v>
      </c>
      <c r="I343" t="s">
        <v>82</v>
      </c>
      <c r="J343">
        <v>6790000</v>
      </c>
      <c r="K343">
        <v>5</v>
      </c>
      <c r="L343">
        <v>2</v>
      </c>
      <c r="M343">
        <v>15</v>
      </c>
      <c r="N343" t="s">
        <v>41</v>
      </c>
      <c r="P343" t="s">
        <v>36</v>
      </c>
      <c r="Q343" s="5"/>
      <c r="S343">
        <f>DATEDIF(D343,DATE(2026,9,30),"Y")</f>
        <v>22</v>
      </c>
      <c r="T343" s="6">
        <f>(IF(Q343="",DATE(2026,9,30),Q343)-E343)/365.25</f>
        <v>0.33127994524298426</v>
      </c>
      <c r="U343" t="str">
        <f>_xlfn.XLOOKUP(Table1_1[[#This Row],[Bo''lim]],Bolimlar!A:A,Bolimlar!B:B,"Topilmadi")</f>
        <v>Aziz Karimov</v>
      </c>
      <c r="V343">
        <f>IF(P343="Ha",1,0)</f>
        <v>0</v>
      </c>
      <c r="W343" t="str">
        <f>IF(T343&lt;1,"1 yildan kam",IF(T343&lt;3,"1-3 yil","3 yildan ko'p"))</f>
        <v>1 yildan kam</v>
      </c>
    </row>
    <row r="344" spans="1:23" x14ac:dyDescent="0.3">
      <c r="A344" t="s">
        <v>785</v>
      </c>
      <c r="B344" t="s">
        <v>786</v>
      </c>
      <c r="C344" t="s">
        <v>20</v>
      </c>
      <c r="D344" s="5">
        <v>34478</v>
      </c>
      <c r="E344" s="5">
        <v>42942</v>
      </c>
      <c r="F344" t="s">
        <v>39</v>
      </c>
      <c r="G344" t="s">
        <v>170</v>
      </c>
      <c r="H344" t="s">
        <v>68</v>
      </c>
      <c r="I344" t="s">
        <v>96</v>
      </c>
      <c r="J344">
        <v>6790000</v>
      </c>
      <c r="K344">
        <v>4</v>
      </c>
      <c r="L344">
        <v>4</v>
      </c>
      <c r="M344">
        <v>13</v>
      </c>
      <c r="N344" t="s">
        <v>41</v>
      </c>
      <c r="O344" t="s">
        <v>26</v>
      </c>
      <c r="P344" t="s">
        <v>36</v>
      </c>
      <c r="Q344" s="5"/>
      <c r="S344">
        <f>DATEDIF(D344,DATE(2026,9,30),"Y")</f>
        <v>32</v>
      </c>
      <c r="T344" s="6">
        <f>(IF(Q344="",DATE(2026,9,30),Q344)-E344)/365.25</f>
        <v>9.1800136892539363</v>
      </c>
      <c r="U344" t="str">
        <f>_xlfn.XLOOKUP(Table1_1[[#This Row],[Bo''lim]],Bolimlar!A:A,Bolimlar!B:B,"Topilmadi")</f>
        <v>Nodira Tursunova</v>
      </c>
      <c r="V344">
        <f>IF(P344="Ha",1,0)</f>
        <v>0</v>
      </c>
      <c r="W344" t="str">
        <f>IF(T344&lt;1,"1 yildan kam",IF(T344&lt;3,"1-3 yil","3 yildan ko'p"))</f>
        <v>3 yildan ko'p</v>
      </c>
    </row>
    <row r="345" spans="1:23" x14ac:dyDescent="0.3">
      <c r="A345" t="s">
        <v>547</v>
      </c>
      <c r="B345" t="s">
        <v>548</v>
      </c>
      <c r="C345" t="s">
        <v>31</v>
      </c>
      <c r="D345" s="5">
        <v>35411</v>
      </c>
      <c r="E345" s="5">
        <v>43353</v>
      </c>
      <c r="F345" t="s">
        <v>1035</v>
      </c>
      <c r="G345" t="s">
        <v>79</v>
      </c>
      <c r="H345" t="s">
        <v>68</v>
      </c>
      <c r="I345" t="s">
        <v>96</v>
      </c>
      <c r="J345">
        <v>6780000</v>
      </c>
      <c r="K345">
        <v>5</v>
      </c>
      <c r="L345">
        <v>4</v>
      </c>
      <c r="M345">
        <v>25</v>
      </c>
      <c r="N345" t="s">
        <v>41</v>
      </c>
      <c r="O345" t="s">
        <v>35</v>
      </c>
      <c r="P345" t="s">
        <v>36</v>
      </c>
      <c r="Q345" s="5"/>
      <c r="S345">
        <f>DATEDIF(D345,DATE(2026,9,30),"Y")</f>
        <v>29</v>
      </c>
      <c r="T345" s="6">
        <f>(IF(Q345="",DATE(2026,9,30),Q345)-E345)/365.25</f>
        <v>8.0547570157426414</v>
      </c>
      <c r="U345" t="str">
        <f>_xlfn.XLOOKUP(Table1_1[[#This Row],[Bo''lim]],Bolimlar!A:A,Bolimlar!B:B,"Topilmadi")</f>
        <v>Aziz Karimov</v>
      </c>
      <c r="V345">
        <f>IF(P345="Ha",1,0)</f>
        <v>0</v>
      </c>
      <c r="W345" t="str">
        <f>IF(T345&lt;1,"1 yildan kam",IF(T345&lt;3,"1-3 yil","3 yildan ko'p"))</f>
        <v>3 yildan ko'p</v>
      </c>
    </row>
    <row r="346" spans="1:23" x14ac:dyDescent="0.3">
      <c r="A346" t="s">
        <v>657</v>
      </c>
      <c r="B346" t="s">
        <v>658</v>
      </c>
      <c r="C346" t="s">
        <v>31</v>
      </c>
      <c r="D346" s="5">
        <v>30982</v>
      </c>
      <c r="E346" s="5">
        <v>44029</v>
      </c>
      <c r="F346" t="s">
        <v>484</v>
      </c>
      <c r="G346" t="s">
        <v>150</v>
      </c>
      <c r="H346" t="s">
        <v>68</v>
      </c>
      <c r="I346" t="s">
        <v>104</v>
      </c>
      <c r="J346">
        <v>6760000</v>
      </c>
      <c r="K346">
        <v>1</v>
      </c>
      <c r="L346">
        <v>3</v>
      </c>
      <c r="M346">
        <v>23</v>
      </c>
      <c r="N346" t="s">
        <v>41</v>
      </c>
      <c r="O346" t="s">
        <v>35</v>
      </c>
      <c r="P346" t="s">
        <v>36</v>
      </c>
      <c r="Q346" s="5"/>
      <c r="S346">
        <f>DATEDIF(D346,DATE(2026,9,30),"Y")</f>
        <v>41</v>
      </c>
      <c r="T346" s="6">
        <f>(IF(Q346="",DATE(2026,9,30),Q346)-E346)/365.25</f>
        <v>6.2039698836413413</v>
      </c>
      <c r="U346" t="str">
        <f>_xlfn.XLOOKUP(Table1_1[[#This Row],[Bo''lim]],Bolimlar!A:A,Bolimlar!B:B,"Topilmadi")</f>
        <v>Sardor Nazarov</v>
      </c>
      <c r="V346">
        <f>IF(P346="Ha",1,0)</f>
        <v>0</v>
      </c>
      <c r="W346" t="str">
        <f>IF(T346&lt;1,"1 yildan kam",IF(T346&lt;3,"1-3 yil","3 yildan ko'p"))</f>
        <v>3 yildan ko'p</v>
      </c>
    </row>
    <row r="347" spans="1:23" x14ac:dyDescent="0.3">
      <c r="A347" t="s">
        <v>1183</v>
      </c>
      <c r="B347" t="s">
        <v>362</v>
      </c>
      <c r="C347" t="s">
        <v>20</v>
      </c>
      <c r="D347" s="5">
        <v>30374</v>
      </c>
      <c r="E347" s="5">
        <v>43002</v>
      </c>
      <c r="F347" t="s">
        <v>1035</v>
      </c>
      <c r="G347" t="s">
        <v>73</v>
      </c>
      <c r="H347" t="s">
        <v>68</v>
      </c>
      <c r="I347" t="s">
        <v>96</v>
      </c>
      <c r="J347">
        <v>6750000</v>
      </c>
      <c r="K347">
        <v>3</v>
      </c>
      <c r="L347">
        <v>4</v>
      </c>
      <c r="M347">
        <v>30</v>
      </c>
      <c r="N347" t="s">
        <v>25</v>
      </c>
      <c r="O347" t="s">
        <v>35</v>
      </c>
      <c r="P347" t="s">
        <v>36</v>
      </c>
      <c r="Q347" s="5"/>
      <c r="S347">
        <f>DATEDIF(D347,DATE(2026,9,30),"Y")</f>
        <v>43</v>
      </c>
      <c r="T347" s="6">
        <f>(IF(Q347="",DATE(2026,9,30),Q347)-E347)/365.25</f>
        <v>9.0157426420260087</v>
      </c>
      <c r="U347" t="str">
        <f>_xlfn.XLOOKUP(Table1_1[[#This Row],[Bo''lim]],Bolimlar!A:A,Bolimlar!B:B,"Topilmadi")</f>
        <v>Aziz Karimov</v>
      </c>
      <c r="V347">
        <f>IF(P347="Ha",1,0)</f>
        <v>0</v>
      </c>
      <c r="W347" t="str">
        <f>IF(T347&lt;1,"1 yildan kam",IF(T347&lt;3,"1-3 yil","3 yildan ko'p"))</f>
        <v>3 yildan ko'p</v>
      </c>
    </row>
    <row r="348" spans="1:23" x14ac:dyDescent="0.3">
      <c r="A348" t="s">
        <v>986</v>
      </c>
      <c r="B348" t="s">
        <v>725</v>
      </c>
      <c r="C348" t="s">
        <v>20</v>
      </c>
      <c r="D348" s="5">
        <v>34489</v>
      </c>
      <c r="E348" s="5">
        <v>43892</v>
      </c>
      <c r="F348" t="s">
        <v>1035</v>
      </c>
      <c r="G348" t="s">
        <v>73</v>
      </c>
      <c r="H348" t="s">
        <v>68</v>
      </c>
      <c r="I348" t="s">
        <v>24</v>
      </c>
      <c r="J348">
        <v>6740000</v>
      </c>
      <c r="K348">
        <v>3</v>
      </c>
      <c r="L348">
        <v>5</v>
      </c>
      <c r="M348">
        <v>1</v>
      </c>
      <c r="N348" t="s">
        <v>41</v>
      </c>
      <c r="O348" t="s">
        <v>26</v>
      </c>
      <c r="P348" t="s">
        <v>27</v>
      </c>
      <c r="Q348" s="5">
        <v>46024</v>
      </c>
      <c r="R348" t="s">
        <v>155</v>
      </c>
      <c r="S348">
        <f>DATEDIF(D348,DATE(2026,9,30),"Y")</f>
        <v>32</v>
      </c>
      <c r="T348" s="6">
        <f>(IF(Q348="",DATE(2026,9,30),Q348)-E348)/365.25</f>
        <v>5.8370978781656397</v>
      </c>
      <c r="U348" t="str">
        <f>_xlfn.XLOOKUP(Table1_1[[#This Row],[Bo''lim]],Bolimlar!A:A,Bolimlar!B:B,"Topilmadi")</f>
        <v>Aziz Karimov</v>
      </c>
      <c r="V348">
        <f>IF(P348="Ha",1,0)</f>
        <v>1</v>
      </c>
      <c r="W348" t="str">
        <f>IF(T348&lt;1,"1 yildan kam",IF(T348&lt;3,"1-3 yil","3 yildan ko'p"))</f>
        <v>3 yildan ko'p</v>
      </c>
    </row>
    <row r="349" spans="1:23" x14ac:dyDescent="0.3">
      <c r="A349" t="s">
        <v>992</v>
      </c>
      <c r="B349" t="s">
        <v>409</v>
      </c>
      <c r="C349" t="s">
        <v>31</v>
      </c>
      <c r="D349" s="5">
        <v>36710</v>
      </c>
      <c r="E349" s="5">
        <v>44950</v>
      </c>
      <c r="F349" t="s">
        <v>1300</v>
      </c>
      <c r="G349" t="s">
        <v>93</v>
      </c>
      <c r="H349" t="s">
        <v>68</v>
      </c>
      <c r="I349" t="s">
        <v>24</v>
      </c>
      <c r="J349">
        <v>6730000</v>
      </c>
      <c r="K349">
        <v>4</v>
      </c>
      <c r="L349">
        <v>3</v>
      </c>
      <c r="M349">
        <v>7</v>
      </c>
      <c r="N349" t="s">
        <v>25</v>
      </c>
      <c r="O349" t="s">
        <v>26</v>
      </c>
      <c r="P349" t="s">
        <v>36</v>
      </c>
      <c r="Q349" s="5"/>
      <c r="S349">
        <f>DATEDIF(D349,DATE(2026,9,30),"Y")</f>
        <v>26</v>
      </c>
      <c r="T349" s="6">
        <f>(IF(Q349="",DATE(2026,9,30),Q349)-E349)/365.25</f>
        <v>3.6824093086926761</v>
      </c>
      <c r="U349" t="str">
        <f>_xlfn.XLOOKUP(Table1_1[[#This Row],[Bo''lim]],Bolimlar!A:A,Bolimlar!B:B,"Topilmadi")</f>
        <v>Shahlo Ismoilova</v>
      </c>
      <c r="V349">
        <f>IF(P349="Ha",1,0)</f>
        <v>0</v>
      </c>
      <c r="W349" t="str">
        <f>IF(T349&lt;1,"1 yildan kam",IF(T349&lt;3,"1-3 yil","3 yildan ko'p"))</f>
        <v>3 yildan ko'p</v>
      </c>
    </row>
    <row r="350" spans="1:23" x14ac:dyDescent="0.3">
      <c r="A350" t="s">
        <v>204</v>
      </c>
      <c r="B350" t="s">
        <v>205</v>
      </c>
      <c r="C350" t="s">
        <v>31</v>
      </c>
      <c r="D350" s="5">
        <v>33549</v>
      </c>
      <c r="E350" s="5">
        <v>42423</v>
      </c>
      <c r="F350" t="s">
        <v>245</v>
      </c>
      <c r="G350" t="s">
        <v>127</v>
      </c>
      <c r="H350" t="s">
        <v>68</v>
      </c>
      <c r="I350" t="s">
        <v>206</v>
      </c>
      <c r="J350">
        <v>6720000</v>
      </c>
      <c r="K350">
        <v>3</v>
      </c>
      <c r="L350">
        <v>4</v>
      </c>
      <c r="M350">
        <v>14</v>
      </c>
      <c r="N350" t="s">
        <v>41</v>
      </c>
      <c r="O350" t="s">
        <v>26</v>
      </c>
      <c r="P350" t="s">
        <v>36</v>
      </c>
      <c r="Q350" s="5"/>
      <c r="S350">
        <f>DATEDIF(D350,DATE(2026,9,30),"Y")</f>
        <v>34</v>
      </c>
      <c r="T350" s="6">
        <f>(IF(Q350="",DATE(2026,9,30),Q350)-E350)/365.25</f>
        <v>10.600958247775496</v>
      </c>
      <c r="U350" t="str">
        <f>_xlfn.XLOOKUP(Table1_1[[#This Row],[Bo''lim]],Bolimlar!A:A,Bolimlar!B:B,"Topilmadi")</f>
        <v>Dilnoza Rahimova</v>
      </c>
      <c r="V350">
        <f>IF(P350="Ha",1,0)</f>
        <v>0</v>
      </c>
      <c r="W350" t="str">
        <f>IF(T350&lt;1,"1 yildan kam",IF(T350&lt;3,"1-3 yil","3 yildan ko'p"))</f>
        <v>3 yildan ko'p</v>
      </c>
    </row>
    <row r="351" spans="1:23" x14ac:dyDescent="0.3">
      <c r="A351" t="s">
        <v>985</v>
      </c>
      <c r="B351" t="s">
        <v>102</v>
      </c>
      <c r="C351" t="s">
        <v>20</v>
      </c>
      <c r="D351" s="5">
        <v>33520</v>
      </c>
      <c r="E351" s="5">
        <v>44029</v>
      </c>
      <c r="F351" t="s">
        <v>1226</v>
      </c>
      <c r="G351" t="s">
        <v>57</v>
      </c>
      <c r="H351" t="s">
        <v>68</v>
      </c>
      <c r="I351" t="s">
        <v>24</v>
      </c>
      <c r="J351">
        <v>6710000</v>
      </c>
      <c r="K351">
        <v>4</v>
      </c>
      <c r="L351">
        <v>4</v>
      </c>
      <c r="M351">
        <v>7</v>
      </c>
      <c r="N351" t="s">
        <v>41</v>
      </c>
      <c r="O351" t="s">
        <v>35</v>
      </c>
      <c r="P351" t="s">
        <v>36</v>
      </c>
      <c r="Q351" s="5"/>
      <c r="S351">
        <f>DATEDIF(D351,DATE(2026,9,30),"Y")</f>
        <v>34</v>
      </c>
      <c r="T351" s="6">
        <f>(IF(Q351="",DATE(2026,9,30),Q351)-E351)/365.25</f>
        <v>6.2039698836413413</v>
      </c>
      <c r="U351" t="str">
        <f>_xlfn.XLOOKUP(Table1_1[[#This Row],[Bo''lim]],Bolimlar!A:A,Bolimlar!B:B,"Topilmadi")</f>
        <v>Madina Abdullayeva</v>
      </c>
      <c r="V351">
        <f>IF(P351="Ha",1,0)</f>
        <v>0</v>
      </c>
      <c r="W351" t="str">
        <f>IF(T351&lt;1,"1 yildan kam",IF(T351&lt;3,"1-3 yil","3 yildan ko'p"))</f>
        <v>3 yildan ko'p</v>
      </c>
    </row>
    <row r="352" spans="1:23" x14ac:dyDescent="0.3">
      <c r="A352" t="s">
        <v>535</v>
      </c>
      <c r="B352" t="s">
        <v>536</v>
      </c>
      <c r="C352" t="s">
        <v>31</v>
      </c>
      <c r="D352" s="5">
        <v>33060</v>
      </c>
      <c r="E352" s="5">
        <v>44557</v>
      </c>
      <c r="F352" t="s">
        <v>1035</v>
      </c>
      <c r="G352" t="s">
        <v>65</v>
      </c>
      <c r="H352" t="s">
        <v>68</v>
      </c>
      <c r="I352" t="s">
        <v>206</v>
      </c>
      <c r="J352">
        <v>6680000</v>
      </c>
      <c r="K352">
        <v>2</v>
      </c>
      <c r="L352">
        <v>2</v>
      </c>
      <c r="M352">
        <v>8</v>
      </c>
      <c r="N352" t="s">
        <v>41</v>
      </c>
      <c r="O352" t="s">
        <v>26</v>
      </c>
      <c r="P352" t="s">
        <v>27</v>
      </c>
      <c r="Q352" s="5">
        <v>46053</v>
      </c>
      <c r="R352" t="s">
        <v>155</v>
      </c>
      <c r="S352">
        <f>DATEDIF(D352,DATE(2026,9,30),"Y")</f>
        <v>36</v>
      </c>
      <c r="T352" s="6">
        <f>(IF(Q352="",DATE(2026,9,30),Q352)-E352)/365.25</f>
        <v>4.0958247775496233</v>
      </c>
      <c r="U352" t="str">
        <f>_xlfn.XLOOKUP(Table1_1[[#This Row],[Bo''lim]],Bolimlar!A:A,Bolimlar!B:B,"Topilmadi")</f>
        <v>Aziz Karimov</v>
      </c>
      <c r="V352">
        <f>IF(P352="Ha",1,0)</f>
        <v>1</v>
      </c>
      <c r="W352" t="str">
        <f>IF(T352&lt;1,"1 yildan kam",IF(T352&lt;3,"1-3 yil","3 yildan ko'p"))</f>
        <v>3 yildan ko'p</v>
      </c>
    </row>
    <row r="353" spans="1:23" x14ac:dyDescent="0.3">
      <c r="A353" t="s">
        <v>491</v>
      </c>
      <c r="B353" t="s">
        <v>492</v>
      </c>
      <c r="C353" t="s">
        <v>20</v>
      </c>
      <c r="D353" s="5">
        <v>33737</v>
      </c>
      <c r="E353" s="5">
        <v>46237</v>
      </c>
      <c r="F353" t="s">
        <v>21</v>
      </c>
      <c r="G353" t="s">
        <v>32</v>
      </c>
      <c r="H353" t="s">
        <v>33</v>
      </c>
      <c r="I353" t="s">
        <v>24</v>
      </c>
      <c r="J353">
        <v>6660000</v>
      </c>
      <c r="K353">
        <v>5</v>
      </c>
      <c r="L353">
        <v>3</v>
      </c>
      <c r="M353">
        <v>16</v>
      </c>
      <c r="N353" t="s">
        <v>41</v>
      </c>
      <c r="O353" t="s">
        <v>26</v>
      </c>
      <c r="P353" t="s">
        <v>36</v>
      </c>
      <c r="Q353" s="5"/>
      <c r="S353">
        <f>DATEDIF(D353,DATE(2026,9,30),"Y")</f>
        <v>34</v>
      </c>
      <c r="T353" s="6">
        <f>(IF(Q353="",DATE(2026,9,30),Q353)-E353)/365.25</f>
        <v>0.15879534565366188</v>
      </c>
      <c r="U353" t="str">
        <f>_xlfn.XLOOKUP(Table1_1[[#This Row],[Bo''lim]],Bolimlar!A:A,Bolimlar!B:B,"Topilmadi")</f>
        <v>Jasur Yusupov</v>
      </c>
      <c r="V353">
        <f>IF(P353="Ha",1,0)</f>
        <v>0</v>
      </c>
      <c r="W353" t="str">
        <f>IF(T353&lt;1,"1 yildan kam",IF(T353&lt;3,"1-3 yil","3 yildan ko'p"))</f>
        <v>1 yildan kam</v>
      </c>
    </row>
    <row r="354" spans="1:23" x14ac:dyDescent="0.3">
      <c r="A354" t="s">
        <v>858</v>
      </c>
      <c r="B354" t="s">
        <v>59</v>
      </c>
      <c r="C354" t="s">
        <v>31</v>
      </c>
      <c r="D354" s="5">
        <v>35289</v>
      </c>
      <c r="E354" s="5">
        <v>45126</v>
      </c>
      <c r="F354" t="s">
        <v>21</v>
      </c>
      <c r="G354" t="s">
        <v>32</v>
      </c>
      <c r="H354" t="s">
        <v>33</v>
      </c>
      <c r="I354" t="s">
        <v>24</v>
      </c>
      <c r="J354">
        <v>6660000</v>
      </c>
      <c r="K354">
        <v>5</v>
      </c>
      <c r="L354">
        <v>2</v>
      </c>
      <c r="M354">
        <v>8</v>
      </c>
      <c r="N354" t="s">
        <v>25</v>
      </c>
      <c r="O354" t="s">
        <v>53</v>
      </c>
      <c r="P354" t="s">
        <v>36</v>
      </c>
      <c r="Q354" s="5"/>
      <c r="S354">
        <f>DATEDIF(D354,DATE(2026,9,30),"Y")</f>
        <v>30</v>
      </c>
      <c r="T354" s="6">
        <f>(IF(Q354="",DATE(2026,9,30),Q354)-E354)/365.25</f>
        <v>3.2005475701574264</v>
      </c>
      <c r="U354" t="str">
        <f>_xlfn.XLOOKUP(Table1_1[[#This Row],[Bo''lim]],Bolimlar!A:A,Bolimlar!B:B,"Topilmadi")</f>
        <v>Jasur Yusupov</v>
      </c>
      <c r="V354">
        <f>IF(P354="Ha",1,0)</f>
        <v>0</v>
      </c>
      <c r="W354" t="str">
        <f>IF(T354&lt;1,"1 yildan kam",IF(T354&lt;3,"1-3 yil","3 yildan ko'p"))</f>
        <v>3 yildan ko'p</v>
      </c>
    </row>
    <row r="355" spans="1:23" x14ac:dyDescent="0.3">
      <c r="A355" t="s">
        <v>1148</v>
      </c>
      <c r="B355" t="s">
        <v>59</v>
      </c>
      <c r="C355" t="s">
        <v>31</v>
      </c>
      <c r="D355" s="5">
        <v>33721</v>
      </c>
      <c r="E355" s="5">
        <v>45798</v>
      </c>
      <c r="F355" t="s">
        <v>1035</v>
      </c>
      <c r="G355" t="s">
        <v>73</v>
      </c>
      <c r="H355" t="s">
        <v>68</v>
      </c>
      <c r="I355" t="s">
        <v>96</v>
      </c>
      <c r="J355">
        <v>6650000</v>
      </c>
      <c r="K355">
        <v>4</v>
      </c>
      <c r="L355">
        <v>5</v>
      </c>
      <c r="M355">
        <v>4</v>
      </c>
      <c r="N355" t="s">
        <v>25</v>
      </c>
      <c r="O355" t="s">
        <v>35</v>
      </c>
      <c r="P355" t="s">
        <v>36</v>
      </c>
      <c r="Q355" s="5"/>
      <c r="S355">
        <f>DATEDIF(D355,DATE(2026,9,30),"Y")</f>
        <v>34</v>
      </c>
      <c r="T355" s="6">
        <f>(IF(Q355="",DATE(2026,9,30),Q355)-E355)/365.25</f>
        <v>1.3607118412046544</v>
      </c>
      <c r="U355" t="str">
        <f>_xlfn.XLOOKUP(Table1_1[[#This Row],[Bo''lim]],Bolimlar!A:A,Bolimlar!B:B,"Topilmadi")</f>
        <v>Aziz Karimov</v>
      </c>
      <c r="V355">
        <f>IF(P355="Ha",1,0)</f>
        <v>0</v>
      </c>
      <c r="W355" t="str">
        <f>IF(T355&lt;1,"1 yildan kam",IF(T355&lt;3,"1-3 yil","3 yildan ko'p"))</f>
        <v>1-3 yil</v>
      </c>
    </row>
    <row r="356" spans="1:23" x14ac:dyDescent="0.3">
      <c r="A356" t="s">
        <v>272</v>
      </c>
      <c r="B356" t="s">
        <v>273</v>
      </c>
      <c r="C356" t="s">
        <v>20</v>
      </c>
      <c r="D356" s="5">
        <v>36015</v>
      </c>
      <c r="E356" s="5">
        <v>46107</v>
      </c>
      <c r="F356" t="s">
        <v>1300</v>
      </c>
      <c r="G356" t="s">
        <v>93</v>
      </c>
      <c r="H356" t="s">
        <v>68</v>
      </c>
      <c r="I356" t="s">
        <v>96</v>
      </c>
      <c r="J356">
        <v>6640000</v>
      </c>
      <c r="K356">
        <v>2</v>
      </c>
      <c r="L356">
        <v>4</v>
      </c>
      <c r="M356">
        <v>19</v>
      </c>
      <c r="N356" t="s">
        <v>88</v>
      </c>
      <c r="O356" t="s">
        <v>35</v>
      </c>
      <c r="P356" t="s">
        <v>36</v>
      </c>
      <c r="Q356" s="5"/>
      <c r="S356">
        <f>DATEDIF(D356,DATE(2026,9,30),"Y")</f>
        <v>28</v>
      </c>
      <c r="T356" s="6">
        <f>(IF(Q356="",DATE(2026,9,30),Q356)-E356)/365.25</f>
        <v>0.51471594798083509</v>
      </c>
      <c r="U356" t="str">
        <f>_xlfn.XLOOKUP(Table1_1[[#This Row],[Bo''lim]],Bolimlar!A:A,Bolimlar!B:B,"Topilmadi")</f>
        <v>Shahlo Ismoilova</v>
      </c>
      <c r="V356">
        <f>IF(P356="Ha",1,0)</f>
        <v>0</v>
      </c>
      <c r="W356" t="str">
        <f>IF(T356&lt;1,"1 yildan kam",IF(T356&lt;3,"1-3 yil","3 yildan ko'p"))</f>
        <v>1 yildan kam</v>
      </c>
    </row>
    <row r="357" spans="1:23" x14ac:dyDescent="0.3">
      <c r="A357" t="s">
        <v>637</v>
      </c>
      <c r="B357" t="s">
        <v>515</v>
      </c>
      <c r="C357" t="s">
        <v>20</v>
      </c>
      <c r="D357" s="5">
        <v>32800</v>
      </c>
      <c r="E357" s="5">
        <v>42104</v>
      </c>
      <c r="F357" t="s">
        <v>1300</v>
      </c>
      <c r="G357" t="s">
        <v>52</v>
      </c>
      <c r="H357" t="s">
        <v>68</v>
      </c>
      <c r="I357" t="s">
        <v>96</v>
      </c>
      <c r="J357">
        <v>6640000</v>
      </c>
      <c r="K357">
        <v>3</v>
      </c>
      <c r="L357">
        <v>4</v>
      </c>
      <c r="M357">
        <v>25</v>
      </c>
      <c r="N357" t="s">
        <v>25</v>
      </c>
      <c r="O357" t="s">
        <v>26</v>
      </c>
      <c r="P357" t="s">
        <v>36</v>
      </c>
      <c r="Q357" s="5"/>
      <c r="S357">
        <f>DATEDIF(D357,DATE(2026,9,30),"Y")</f>
        <v>36</v>
      </c>
      <c r="T357" s="6">
        <f>(IF(Q357="",DATE(2026,9,30),Q357)-E357)/365.25</f>
        <v>11.474332648870636</v>
      </c>
      <c r="U357" t="str">
        <f>_xlfn.XLOOKUP(Table1_1[[#This Row],[Bo''lim]],Bolimlar!A:A,Bolimlar!B:B,"Topilmadi")</f>
        <v>Shahlo Ismoilova</v>
      </c>
      <c r="V357">
        <f>IF(P357="Ha",1,0)</f>
        <v>0</v>
      </c>
      <c r="W357" t="str">
        <f>IF(T357&lt;1,"1 yildan kam",IF(T357&lt;3,"1-3 yil","3 yildan ko'p"))</f>
        <v>3 yildan ko'p</v>
      </c>
    </row>
    <row r="358" spans="1:23" x14ac:dyDescent="0.3">
      <c r="A358" t="s">
        <v>1121</v>
      </c>
      <c r="B358" t="s">
        <v>30</v>
      </c>
      <c r="C358" t="s">
        <v>31</v>
      </c>
      <c r="D358" s="5">
        <v>33516</v>
      </c>
      <c r="E358" s="5">
        <v>44484</v>
      </c>
      <c r="F358" t="s">
        <v>1300</v>
      </c>
      <c r="G358" t="s">
        <v>93</v>
      </c>
      <c r="H358" t="s">
        <v>68</v>
      </c>
      <c r="I358" t="s">
        <v>96</v>
      </c>
      <c r="J358">
        <v>6630000</v>
      </c>
      <c r="K358">
        <v>4</v>
      </c>
      <c r="L358">
        <v>2</v>
      </c>
      <c r="M358">
        <v>28</v>
      </c>
      <c r="N358" t="s">
        <v>25</v>
      </c>
      <c r="O358" t="s">
        <v>26</v>
      </c>
      <c r="P358" t="s">
        <v>27</v>
      </c>
      <c r="Q358" s="5">
        <v>45848</v>
      </c>
      <c r="R358" t="s">
        <v>111</v>
      </c>
      <c r="S358">
        <f>DATEDIF(D358,DATE(2026,9,30),"Y")</f>
        <v>34</v>
      </c>
      <c r="T358" s="6">
        <f>(IF(Q358="",DATE(2026,9,30),Q358)-E358)/365.25</f>
        <v>3.7344284736481863</v>
      </c>
      <c r="U358" t="str">
        <f>_xlfn.XLOOKUP(Table1_1[[#This Row],[Bo''lim]],Bolimlar!A:A,Bolimlar!B:B,"Topilmadi")</f>
        <v>Shahlo Ismoilova</v>
      </c>
      <c r="V358">
        <f>IF(P358="Ha",1,0)</f>
        <v>1</v>
      </c>
      <c r="W358" t="str">
        <f>IF(T358&lt;1,"1 yildan kam",IF(T358&lt;3,"1-3 yil","3 yildan ko'p"))</f>
        <v>3 yildan ko'p</v>
      </c>
    </row>
    <row r="359" spans="1:23" x14ac:dyDescent="0.3">
      <c r="A359" t="s">
        <v>790</v>
      </c>
      <c r="B359" t="s">
        <v>38</v>
      </c>
      <c r="C359" t="s">
        <v>31</v>
      </c>
      <c r="D359" s="5">
        <v>35891</v>
      </c>
      <c r="E359" s="5">
        <v>45660</v>
      </c>
      <c r="F359" t="s">
        <v>1035</v>
      </c>
      <c r="G359" t="s">
        <v>73</v>
      </c>
      <c r="H359" t="s">
        <v>68</v>
      </c>
      <c r="I359" t="s">
        <v>24</v>
      </c>
      <c r="J359">
        <v>6620000</v>
      </c>
      <c r="K359">
        <v>4</v>
      </c>
      <c r="L359">
        <v>5</v>
      </c>
      <c r="M359">
        <v>11</v>
      </c>
      <c r="N359" t="s">
        <v>25</v>
      </c>
      <c r="O359" t="s">
        <v>35</v>
      </c>
      <c r="P359" t="s">
        <v>36</v>
      </c>
      <c r="Q359" s="5"/>
      <c r="S359">
        <f>DATEDIF(D359,DATE(2026,9,30),"Y")</f>
        <v>28</v>
      </c>
      <c r="T359" s="6">
        <f>(IF(Q359="",DATE(2026,9,30),Q359)-E359)/365.25</f>
        <v>1.7385352498288844</v>
      </c>
      <c r="U359" t="str">
        <f>_xlfn.XLOOKUP(Table1_1[[#This Row],[Bo''lim]],Bolimlar!A:A,Bolimlar!B:B,"Topilmadi")</f>
        <v>Aziz Karimov</v>
      </c>
      <c r="V359">
        <f>IF(P359="Ha",1,0)</f>
        <v>0</v>
      </c>
      <c r="W359" t="str">
        <f>IF(T359&lt;1,"1 yildan kam",IF(T359&lt;3,"1-3 yil","3 yildan ko'p"))</f>
        <v>1-3 yil</v>
      </c>
    </row>
    <row r="360" spans="1:23" x14ac:dyDescent="0.3">
      <c r="A360" t="s">
        <v>1257</v>
      </c>
      <c r="B360" t="s">
        <v>1131</v>
      </c>
      <c r="C360" t="s">
        <v>20</v>
      </c>
      <c r="D360" s="5">
        <v>32225</v>
      </c>
      <c r="E360" s="5">
        <v>46078</v>
      </c>
      <c r="F360" t="s">
        <v>21</v>
      </c>
      <c r="G360" t="s">
        <v>22</v>
      </c>
      <c r="H360" t="s">
        <v>33</v>
      </c>
      <c r="I360" t="s">
        <v>24</v>
      </c>
      <c r="J360">
        <v>6620000</v>
      </c>
      <c r="K360">
        <v>5</v>
      </c>
      <c r="L360">
        <v>4</v>
      </c>
      <c r="M360">
        <v>24</v>
      </c>
      <c r="N360" t="s">
        <v>41</v>
      </c>
      <c r="O360" t="s">
        <v>26</v>
      </c>
      <c r="P360" t="s">
        <v>36</v>
      </c>
      <c r="Q360" s="5"/>
      <c r="S360">
        <f>DATEDIF(D360,DATE(2026,9,30),"Y")</f>
        <v>38</v>
      </c>
      <c r="T360" s="6">
        <f>(IF(Q360="",DATE(2026,9,30),Q360)-E360)/365.25</f>
        <v>0.59411362080766594</v>
      </c>
      <c r="U360" t="str">
        <f>_xlfn.XLOOKUP(Table1_1[[#This Row],[Bo''lim]],Bolimlar!A:A,Bolimlar!B:B,"Topilmadi")</f>
        <v>Jasur Yusupov</v>
      </c>
      <c r="V360">
        <f>IF(P360="Ha",1,0)</f>
        <v>0</v>
      </c>
      <c r="W360" t="str">
        <f>IF(T360&lt;1,"1 yildan kam",IF(T360&lt;3,"1-3 yil","3 yildan ko'p"))</f>
        <v>1 yildan kam</v>
      </c>
    </row>
    <row r="361" spans="1:23" x14ac:dyDescent="0.3">
      <c r="A361" t="s">
        <v>937</v>
      </c>
      <c r="B361" t="s">
        <v>938</v>
      </c>
      <c r="C361" t="s">
        <v>20</v>
      </c>
      <c r="D361" s="5">
        <v>30399</v>
      </c>
      <c r="E361" s="5">
        <v>46200</v>
      </c>
      <c r="F361" t="s">
        <v>1300</v>
      </c>
      <c r="G361" t="s">
        <v>52</v>
      </c>
      <c r="H361" t="s">
        <v>68</v>
      </c>
      <c r="I361" t="s">
        <v>96</v>
      </c>
      <c r="J361">
        <v>6610000</v>
      </c>
      <c r="K361">
        <v>4</v>
      </c>
      <c r="L361">
        <v>3</v>
      </c>
      <c r="M361">
        <v>32</v>
      </c>
      <c r="N361" t="s">
        <v>25</v>
      </c>
      <c r="O361" t="s">
        <v>35</v>
      </c>
      <c r="P361" t="s">
        <v>36</v>
      </c>
      <c r="Q361" s="5"/>
      <c r="S361">
        <f>DATEDIF(D361,DATE(2026,9,30),"Y")</f>
        <v>43</v>
      </c>
      <c r="T361" s="6">
        <f>(IF(Q361="",DATE(2026,9,30),Q361)-E361)/365.25</f>
        <v>0.26009582477754961</v>
      </c>
      <c r="U361" t="str">
        <f>_xlfn.XLOOKUP(Table1_1[[#This Row],[Bo''lim]],Bolimlar!A:A,Bolimlar!B:B,"Topilmadi")</f>
        <v>Shahlo Ismoilova</v>
      </c>
      <c r="V361">
        <f>IF(P361="Ha",1,0)</f>
        <v>0</v>
      </c>
      <c r="W361" t="str">
        <f>IF(T361&lt;1,"1 yildan kam",IF(T361&lt;3,"1-3 yil","3 yildan ko'p"))</f>
        <v>1 yildan kam</v>
      </c>
    </row>
    <row r="362" spans="1:23" x14ac:dyDescent="0.3">
      <c r="A362" t="s">
        <v>1150</v>
      </c>
      <c r="B362" t="s">
        <v>886</v>
      </c>
      <c r="C362" t="s">
        <v>20</v>
      </c>
      <c r="D362" s="5">
        <v>34805</v>
      </c>
      <c r="E362" s="5">
        <v>45161</v>
      </c>
      <c r="F362" t="s">
        <v>1300</v>
      </c>
      <c r="G362" t="s">
        <v>52</v>
      </c>
      <c r="H362" t="s">
        <v>68</v>
      </c>
      <c r="I362" t="s">
        <v>24</v>
      </c>
      <c r="J362">
        <v>6610000</v>
      </c>
      <c r="K362">
        <v>4</v>
      </c>
      <c r="L362">
        <v>5</v>
      </c>
      <c r="M362">
        <v>14</v>
      </c>
      <c r="N362" t="s">
        <v>25</v>
      </c>
      <c r="O362" t="s">
        <v>26</v>
      </c>
      <c r="P362" t="s">
        <v>36</v>
      </c>
      <c r="Q362" s="5"/>
      <c r="S362">
        <f>DATEDIF(D362,DATE(2026,9,30),"Y")</f>
        <v>31</v>
      </c>
      <c r="T362" s="6">
        <f>(IF(Q362="",DATE(2026,9,30),Q362)-E362)/365.25</f>
        <v>3.1047227926078027</v>
      </c>
      <c r="U362" t="str">
        <f>_xlfn.XLOOKUP(Table1_1[[#This Row],[Bo''lim]],Bolimlar!A:A,Bolimlar!B:B,"Topilmadi")</f>
        <v>Shahlo Ismoilova</v>
      </c>
      <c r="V362">
        <f>IF(P362="Ha",1,0)</f>
        <v>0</v>
      </c>
      <c r="W362" t="str">
        <f>IF(T362&lt;1,"1 yildan kam",IF(T362&lt;3,"1-3 yil","3 yildan ko'p"))</f>
        <v>3 yildan ko'p</v>
      </c>
    </row>
    <row r="363" spans="1:23" x14ac:dyDescent="0.3">
      <c r="A363" t="s">
        <v>1023</v>
      </c>
      <c r="B363" t="s">
        <v>625</v>
      </c>
      <c r="C363" t="s">
        <v>31</v>
      </c>
      <c r="D363" s="5">
        <v>34412</v>
      </c>
      <c r="E363" s="5">
        <v>45653</v>
      </c>
      <c r="F363" t="s">
        <v>245</v>
      </c>
      <c r="G363" t="s">
        <v>127</v>
      </c>
      <c r="H363" t="s">
        <v>68</v>
      </c>
      <c r="I363" t="s">
        <v>104</v>
      </c>
      <c r="J363">
        <v>6600000</v>
      </c>
      <c r="K363">
        <v>5</v>
      </c>
      <c r="L363">
        <v>1</v>
      </c>
      <c r="M363">
        <v>5</v>
      </c>
      <c r="N363" t="s">
        <v>41</v>
      </c>
      <c r="O363" t="s">
        <v>26</v>
      </c>
      <c r="P363" t="s">
        <v>36</v>
      </c>
      <c r="Q363" s="5"/>
      <c r="S363">
        <f>DATEDIF(D363,DATE(2026,9,30),"Y")</f>
        <v>32</v>
      </c>
      <c r="T363" s="6">
        <f>(IF(Q363="",DATE(2026,9,30),Q363)-E363)/365.25</f>
        <v>1.7577002053388091</v>
      </c>
      <c r="U363" t="str">
        <f>_xlfn.XLOOKUP(Table1_1[[#This Row],[Bo''lim]],Bolimlar!A:A,Bolimlar!B:B,"Topilmadi")</f>
        <v>Dilnoza Rahimova</v>
      </c>
      <c r="V363">
        <f>IF(P363="Ha",1,0)</f>
        <v>0</v>
      </c>
      <c r="W363" t="str">
        <f>IF(T363&lt;1,"1 yildan kam",IF(T363&lt;3,"1-3 yil","3 yildan ko'p"))</f>
        <v>1-3 yil</v>
      </c>
    </row>
    <row r="364" spans="1:23" x14ac:dyDescent="0.3">
      <c r="A364" t="s">
        <v>228</v>
      </c>
      <c r="B364" t="s">
        <v>147</v>
      </c>
      <c r="C364" t="s">
        <v>20</v>
      </c>
      <c r="D364" s="5">
        <v>31973</v>
      </c>
      <c r="E364" s="5">
        <v>44711</v>
      </c>
      <c r="F364" t="s">
        <v>1300</v>
      </c>
      <c r="G364" t="s">
        <v>93</v>
      </c>
      <c r="H364" t="s">
        <v>68</v>
      </c>
      <c r="I364" t="s">
        <v>24</v>
      </c>
      <c r="J364">
        <v>6590000</v>
      </c>
      <c r="K364">
        <v>3</v>
      </c>
      <c r="L364">
        <v>4</v>
      </c>
      <c r="M364">
        <v>10</v>
      </c>
      <c r="N364" t="s">
        <v>41</v>
      </c>
      <c r="O364" t="s">
        <v>35</v>
      </c>
      <c r="P364" t="s">
        <v>36</v>
      </c>
      <c r="Q364" s="5"/>
      <c r="S364">
        <f>DATEDIF(D364,DATE(2026,9,30),"Y")</f>
        <v>39</v>
      </c>
      <c r="T364" s="6">
        <f>(IF(Q364="",DATE(2026,9,30),Q364)-E364)/365.25</f>
        <v>4.3367556468172488</v>
      </c>
      <c r="U364" t="str">
        <f>_xlfn.XLOOKUP(Table1_1[[#This Row],[Bo''lim]],Bolimlar!A:A,Bolimlar!B:B,"Topilmadi")</f>
        <v>Shahlo Ismoilova</v>
      </c>
      <c r="V364">
        <f>IF(P364="Ha",1,0)</f>
        <v>0</v>
      </c>
      <c r="W364" t="str">
        <f>IF(T364&lt;1,"1 yildan kam",IF(T364&lt;3,"1-3 yil","3 yildan ko'p"))</f>
        <v>3 yildan ko'p</v>
      </c>
    </row>
    <row r="365" spans="1:23" x14ac:dyDescent="0.3">
      <c r="A365" t="s">
        <v>656</v>
      </c>
      <c r="B365" t="s">
        <v>354</v>
      </c>
      <c r="C365" t="s">
        <v>31</v>
      </c>
      <c r="D365" s="5">
        <v>33119</v>
      </c>
      <c r="E365" s="5">
        <v>45096</v>
      </c>
      <c r="F365" t="s">
        <v>1035</v>
      </c>
      <c r="G365" t="s">
        <v>65</v>
      </c>
      <c r="H365" t="s">
        <v>68</v>
      </c>
      <c r="I365" t="s">
        <v>24</v>
      </c>
      <c r="J365">
        <v>6590000</v>
      </c>
      <c r="K365">
        <v>5</v>
      </c>
      <c r="L365">
        <v>4</v>
      </c>
      <c r="M365">
        <v>16</v>
      </c>
      <c r="N365" t="s">
        <v>41</v>
      </c>
      <c r="O365" t="s">
        <v>35</v>
      </c>
      <c r="P365" t="s">
        <v>36</v>
      </c>
      <c r="Q365" s="5"/>
      <c r="S365">
        <f>DATEDIF(D365,DATE(2026,9,30),"Y")</f>
        <v>36</v>
      </c>
      <c r="T365" s="6">
        <f>(IF(Q365="",DATE(2026,9,30),Q365)-E365)/365.25</f>
        <v>3.2826830937713893</v>
      </c>
      <c r="U365" t="str">
        <f>_xlfn.XLOOKUP(Table1_1[[#This Row],[Bo''lim]],Bolimlar!A:A,Bolimlar!B:B,"Topilmadi")</f>
        <v>Aziz Karimov</v>
      </c>
      <c r="V365">
        <f>IF(P365="Ha",1,0)</f>
        <v>0</v>
      </c>
      <c r="W365" t="str">
        <f>IF(T365&lt;1,"1 yildan kam",IF(T365&lt;3,"1-3 yil","3 yildan ko'p"))</f>
        <v>3 yildan ko'p</v>
      </c>
    </row>
    <row r="366" spans="1:23" x14ac:dyDescent="0.3">
      <c r="A366" t="s">
        <v>712</v>
      </c>
      <c r="B366" t="s">
        <v>713</v>
      </c>
      <c r="C366" t="s">
        <v>20</v>
      </c>
      <c r="D366" s="5">
        <v>33453</v>
      </c>
      <c r="E366" s="5">
        <v>43661</v>
      </c>
      <c r="F366" t="s">
        <v>1300</v>
      </c>
      <c r="G366" t="s">
        <v>52</v>
      </c>
      <c r="H366" t="s">
        <v>68</v>
      </c>
      <c r="I366" t="s">
        <v>96</v>
      </c>
      <c r="J366">
        <v>6570000</v>
      </c>
      <c r="K366">
        <v>1</v>
      </c>
      <c r="L366">
        <v>3</v>
      </c>
      <c r="M366">
        <v>35</v>
      </c>
      <c r="N366" t="s">
        <v>41</v>
      </c>
      <c r="O366" t="s">
        <v>35</v>
      </c>
      <c r="P366" t="s">
        <v>36</v>
      </c>
      <c r="Q366" s="5"/>
      <c r="S366">
        <f>DATEDIF(D366,DATE(2026,9,30),"Y")</f>
        <v>35</v>
      </c>
      <c r="T366" s="6">
        <f>(IF(Q366="",DATE(2026,9,30),Q366)-E366)/365.25</f>
        <v>7.2114989733059547</v>
      </c>
      <c r="U366" t="str">
        <f>_xlfn.XLOOKUP(Table1_1[[#This Row],[Bo''lim]],Bolimlar!A:A,Bolimlar!B:B,"Topilmadi")</f>
        <v>Shahlo Ismoilova</v>
      </c>
      <c r="V366">
        <f>IF(P366="Ha",1,0)</f>
        <v>0</v>
      </c>
      <c r="W366" t="str">
        <f>IF(T366&lt;1,"1 yildan kam",IF(T366&lt;3,"1-3 yil","3 yildan ko'p"))</f>
        <v>3 yildan ko'p</v>
      </c>
    </row>
    <row r="367" spans="1:23" x14ac:dyDescent="0.3">
      <c r="A367" t="s">
        <v>894</v>
      </c>
      <c r="B367" t="s">
        <v>822</v>
      </c>
      <c r="C367" t="s">
        <v>20</v>
      </c>
      <c r="D367" s="5">
        <v>30989</v>
      </c>
      <c r="E367" s="5">
        <v>43541</v>
      </c>
      <c r="F367" t="s">
        <v>21</v>
      </c>
      <c r="G367" t="s">
        <v>22</v>
      </c>
      <c r="H367" t="s">
        <v>33</v>
      </c>
      <c r="I367" t="s">
        <v>34</v>
      </c>
      <c r="J367">
        <v>6570000</v>
      </c>
      <c r="K367">
        <v>3</v>
      </c>
      <c r="L367">
        <v>2</v>
      </c>
      <c r="M367">
        <v>8</v>
      </c>
      <c r="N367" t="s">
        <v>25</v>
      </c>
      <c r="O367" t="s">
        <v>26</v>
      </c>
      <c r="P367" t="s">
        <v>36</v>
      </c>
      <c r="Q367" s="5"/>
      <c r="S367">
        <f>DATEDIF(D367,DATE(2026,9,30),"Y")</f>
        <v>41</v>
      </c>
      <c r="T367" s="6">
        <f>(IF(Q367="",DATE(2026,9,30),Q367)-E367)/365.25</f>
        <v>7.5400410677618073</v>
      </c>
      <c r="U367" t="str">
        <f>_xlfn.XLOOKUP(Table1_1[[#This Row],[Bo''lim]],Bolimlar!A:A,Bolimlar!B:B,"Topilmadi")</f>
        <v>Jasur Yusupov</v>
      </c>
      <c r="V367">
        <f>IF(P367="Ha",1,0)</f>
        <v>0</v>
      </c>
      <c r="W367" t="str">
        <f>IF(T367&lt;1,"1 yildan kam",IF(T367&lt;3,"1-3 yil","3 yildan ko'p"))</f>
        <v>3 yildan ko'p</v>
      </c>
    </row>
    <row r="368" spans="1:23" x14ac:dyDescent="0.3">
      <c r="A368" t="s">
        <v>355</v>
      </c>
      <c r="B368" t="s">
        <v>356</v>
      </c>
      <c r="C368" t="s">
        <v>31</v>
      </c>
      <c r="D368" s="5">
        <v>36172</v>
      </c>
      <c r="E368" s="5">
        <v>44576</v>
      </c>
      <c r="F368" t="s">
        <v>1035</v>
      </c>
      <c r="G368" t="s">
        <v>79</v>
      </c>
      <c r="H368" t="s">
        <v>68</v>
      </c>
      <c r="I368" t="s">
        <v>34</v>
      </c>
      <c r="J368">
        <v>6550000</v>
      </c>
      <c r="K368">
        <v>4</v>
      </c>
      <c r="L368">
        <v>3</v>
      </c>
      <c r="M368">
        <v>6</v>
      </c>
      <c r="N368" t="s">
        <v>25</v>
      </c>
      <c r="O368" t="s">
        <v>53</v>
      </c>
      <c r="P368" t="s">
        <v>36</v>
      </c>
      <c r="Q368" s="5"/>
      <c r="S368">
        <f>DATEDIF(D368,DATE(2026,9,30),"Y")</f>
        <v>27</v>
      </c>
      <c r="T368" s="6">
        <f>(IF(Q368="",DATE(2026,9,30),Q368)-E368)/365.25</f>
        <v>4.7063655030800824</v>
      </c>
      <c r="U368" t="str">
        <f>_xlfn.XLOOKUP(Table1_1[[#This Row],[Bo''lim]],Bolimlar!A:A,Bolimlar!B:B,"Topilmadi")</f>
        <v>Aziz Karimov</v>
      </c>
      <c r="V368">
        <f>IF(P368="Ha",1,0)</f>
        <v>0</v>
      </c>
      <c r="W368" t="str">
        <f>IF(T368&lt;1,"1 yildan kam",IF(T368&lt;3,"1-3 yil","3 yildan ko'p"))</f>
        <v>3 yildan ko'p</v>
      </c>
    </row>
    <row r="369" spans="1:23" x14ac:dyDescent="0.3">
      <c r="A369" t="s">
        <v>140</v>
      </c>
      <c r="B369" t="s">
        <v>141</v>
      </c>
      <c r="C369" t="s">
        <v>20</v>
      </c>
      <c r="D369" s="5">
        <v>34036</v>
      </c>
      <c r="E369" s="5">
        <v>44089</v>
      </c>
      <c r="F369" t="s">
        <v>1226</v>
      </c>
      <c r="G369" t="s">
        <v>142</v>
      </c>
      <c r="H369" t="s">
        <v>68</v>
      </c>
      <c r="I369" t="s">
        <v>24</v>
      </c>
      <c r="J369">
        <v>6540000</v>
      </c>
      <c r="K369">
        <v>3</v>
      </c>
      <c r="L369">
        <v>4</v>
      </c>
      <c r="M369">
        <v>11</v>
      </c>
      <c r="N369" t="s">
        <v>25</v>
      </c>
      <c r="O369" t="s">
        <v>26</v>
      </c>
      <c r="P369" t="s">
        <v>36</v>
      </c>
      <c r="Q369" s="5"/>
      <c r="S369">
        <f>DATEDIF(D369,DATE(2026,9,30),"Y")</f>
        <v>33</v>
      </c>
      <c r="T369" s="6">
        <f>(IF(Q369="",DATE(2026,9,30),Q369)-E369)/365.25</f>
        <v>6.0396988364134154</v>
      </c>
      <c r="U369" t="str">
        <f>_xlfn.XLOOKUP(Table1_1[[#This Row],[Bo''lim]],Bolimlar!A:A,Bolimlar!B:B,"Topilmadi")</f>
        <v>Madina Abdullayeva</v>
      </c>
      <c r="V369">
        <f>IF(P369="Ha",1,0)</f>
        <v>0</v>
      </c>
      <c r="W369" t="str">
        <f>IF(T369&lt;1,"1 yildan kam",IF(T369&lt;3,"1-3 yil","3 yildan ko'p"))</f>
        <v>3 yildan ko'p</v>
      </c>
    </row>
    <row r="370" spans="1:23" x14ac:dyDescent="0.3">
      <c r="A370" t="s">
        <v>1100</v>
      </c>
      <c r="B370" t="s">
        <v>501</v>
      </c>
      <c r="C370" t="s">
        <v>31</v>
      </c>
      <c r="D370" s="5">
        <v>32282</v>
      </c>
      <c r="E370" s="5">
        <v>45989</v>
      </c>
      <c r="F370" t="s">
        <v>21</v>
      </c>
      <c r="G370" t="s">
        <v>103</v>
      </c>
      <c r="H370" t="s">
        <v>33</v>
      </c>
      <c r="I370" t="s">
        <v>104</v>
      </c>
      <c r="J370">
        <v>6540000</v>
      </c>
      <c r="K370">
        <v>3</v>
      </c>
      <c r="L370">
        <v>4</v>
      </c>
      <c r="M370">
        <v>18</v>
      </c>
      <c r="N370" t="s">
        <v>41</v>
      </c>
      <c r="O370" t="s">
        <v>26</v>
      </c>
      <c r="P370" t="s">
        <v>27</v>
      </c>
      <c r="Q370" s="5">
        <v>46105</v>
      </c>
      <c r="R370" t="s">
        <v>111</v>
      </c>
      <c r="S370">
        <f>DATEDIF(D370,DATE(2026,9,30),"Y")</f>
        <v>38</v>
      </c>
      <c r="T370" s="6">
        <f>(IF(Q370="",DATE(2026,9,30),Q370)-E370)/365.25</f>
        <v>0.31759069130732376</v>
      </c>
      <c r="U370" t="str">
        <f>_xlfn.XLOOKUP(Table1_1[[#This Row],[Bo''lim]],Bolimlar!A:A,Bolimlar!B:B,"Topilmadi")</f>
        <v>Jasur Yusupov</v>
      </c>
      <c r="V370">
        <f>IF(P370="Ha",1,0)</f>
        <v>1</v>
      </c>
      <c r="W370" t="str">
        <f>IF(T370&lt;1,"1 yildan kam",IF(T370&lt;3,"1-3 yil","3 yildan ko'p"))</f>
        <v>1 yildan kam</v>
      </c>
    </row>
    <row r="371" spans="1:23" x14ac:dyDescent="0.3">
      <c r="A371" t="s">
        <v>620</v>
      </c>
      <c r="B371" t="s">
        <v>67</v>
      </c>
      <c r="C371" t="s">
        <v>20</v>
      </c>
      <c r="D371" s="5">
        <v>34003</v>
      </c>
      <c r="E371" s="5">
        <v>44841</v>
      </c>
      <c r="F371" t="s">
        <v>1035</v>
      </c>
      <c r="G371" t="s">
        <v>73</v>
      </c>
      <c r="H371" t="s">
        <v>68</v>
      </c>
      <c r="I371" t="s">
        <v>24</v>
      </c>
      <c r="J371">
        <v>6510000</v>
      </c>
      <c r="K371">
        <v>4</v>
      </c>
      <c r="L371">
        <v>3</v>
      </c>
      <c r="M371">
        <v>14</v>
      </c>
      <c r="N371" t="s">
        <v>41</v>
      </c>
      <c r="O371" t="s">
        <v>26</v>
      </c>
      <c r="P371" t="s">
        <v>36</v>
      </c>
      <c r="Q371" s="5"/>
      <c r="S371">
        <f>DATEDIF(D371,DATE(2026,9,30),"Y")</f>
        <v>33</v>
      </c>
      <c r="T371" s="6">
        <f>(IF(Q371="",DATE(2026,9,30),Q371)-E371)/365.25</f>
        <v>3.9808350444900751</v>
      </c>
      <c r="U371" t="str">
        <f>_xlfn.XLOOKUP(Table1_1[[#This Row],[Bo''lim]],Bolimlar!A:A,Bolimlar!B:B,"Topilmadi")</f>
        <v>Aziz Karimov</v>
      </c>
      <c r="V371">
        <f>IF(P371="Ha",1,0)</f>
        <v>0</v>
      </c>
      <c r="W371" t="str">
        <f>IF(T371&lt;1,"1 yildan kam",IF(T371&lt;3,"1-3 yil","3 yildan ko'p"))</f>
        <v>3 yildan ko'p</v>
      </c>
    </row>
    <row r="372" spans="1:23" x14ac:dyDescent="0.3">
      <c r="A372" t="s">
        <v>690</v>
      </c>
      <c r="B372" t="s">
        <v>126</v>
      </c>
      <c r="C372" t="s">
        <v>31</v>
      </c>
      <c r="D372" s="5">
        <v>36125</v>
      </c>
      <c r="E372" s="5">
        <v>44092</v>
      </c>
      <c r="F372" t="s">
        <v>1226</v>
      </c>
      <c r="G372" t="s">
        <v>60</v>
      </c>
      <c r="H372" t="s">
        <v>68</v>
      </c>
      <c r="I372" t="s">
        <v>24</v>
      </c>
      <c r="J372">
        <v>6510000</v>
      </c>
      <c r="K372">
        <v>2</v>
      </c>
      <c r="L372">
        <v>3</v>
      </c>
      <c r="M372">
        <v>14</v>
      </c>
      <c r="N372" t="s">
        <v>41</v>
      </c>
      <c r="O372" t="s">
        <v>35</v>
      </c>
      <c r="P372" t="s">
        <v>36</v>
      </c>
      <c r="Q372" s="5"/>
      <c r="S372">
        <f>DATEDIF(D372,DATE(2026,9,30),"Y")</f>
        <v>27</v>
      </c>
      <c r="T372" s="6">
        <f>(IF(Q372="",DATE(2026,9,30),Q372)-E372)/365.25</f>
        <v>6.0314852840520192</v>
      </c>
      <c r="U372" t="str">
        <f>_xlfn.XLOOKUP(Table1_1[[#This Row],[Bo''lim]],Bolimlar!A:A,Bolimlar!B:B,"Topilmadi")</f>
        <v>Madina Abdullayeva</v>
      </c>
      <c r="V372">
        <f>IF(P372="Ha",1,0)</f>
        <v>0</v>
      </c>
      <c r="W372" t="str">
        <f>IF(T372&lt;1,"1 yildan kam",IF(T372&lt;3,"1-3 yil","3 yildan ko'p"))</f>
        <v>3 yildan ko'p</v>
      </c>
    </row>
    <row r="373" spans="1:23" x14ac:dyDescent="0.3">
      <c r="A373" t="s">
        <v>852</v>
      </c>
      <c r="B373" t="s">
        <v>853</v>
      </c>
      <c r="C373" t="s">
        <v>20</v>
      </c>
      <c r="D373" s="5">
        <v>37539</v>
      </c>
      <c r="E373" s="5">
        <v>46172</v>
      </c>
      <c r="F373" t="s">
        <v>21</v>
      </c>
      <c r="G373" t="s">
        <v>22</v>
      </c>
      <c r="H373" t="s">
        <v>33</v>
      </c>
      <c r="I373" t="s">
        <v>206</v>
      </c>
      <c r="J373">
        <v>6510000</v>
      </c>
      <c r="K373">
        <v>4</v>
      </c>
      <c r="L373">
        <v>4</v>
      </c>
      <c r="M373">
        <v>1</v>
      </c>
      <c r="N373" t="s">
        <v>41</v>
      </c>
      <c r="O373" t="s">
        <v>53</v>
      </c>
      <c r="P373" t="s">
        <v>36</v>
      </c>
      <c r="Q373" s="5"/>
      <c r="S373">
        <f>DATEDIF(D373,DATE(2026,9,30),"Y")</f>
        <v>23</v>
      </c>
      <c r="T373" s="6">
        <f>(IF(Q373="",DATE(2026,9,30),Q373)-E373)/365.25</f>
        <v>0.33675564681724846</v>
      </c>
      <c r="U373" t="str">
        <f>_xlfn.XLOOKUP(Table1_1[[#This Row],[Bo''lim]],Bolimlar!A:A,Bolimlar!B:B,"Topilmadi")</f>
        <v>Jasur Yusupov</v>
      </c>
      <c r="V373">
        <f>IF(P373="Ha",1,0)</f>
        <v>0</v>
      </c>
      <c r="W373" t="str">
        <f>IF(T373&lt;1,"1 yildan kam",IF(T373&lt;3,"1-3 yil","3 yildan ko'p"))</f>
        <v>1 yildan kam</v>
      </c>
    </row>
    <row r="374" spans="1:23" x14ac:dyDescent="0.3">
      <c r="A374" t="s">
        <v>29</v>
      </c>
      <c r="B374" t="s">
        <v>30</v>
      </c>
      <c r="C374" t="s">
        <v>31</v>
      </c>
      <c r="D374" s="5">
        <v>33307</v>
      </c>
      <c r="E374" s="5">
        <v>44108</v>
      </c>
      <c r="F374" t="s">
        <v>21</v>
      </c>
      <c r="G374" t="s">
        <v>32</v>
      </c>
      <c r="H374" t="s">
        <v>33</v>
      </c>
      <c r="I374" t="s">
        <v>34</v>
      </c>
      <c r="J374">
        <v>6490000</v>
      </c>
      <c r="K374">
        <v>3</v>
      </c>
      <c r="L374">
        <v>4</v>
      </c>
      <c r="M374">
        <v>11</v>
      </c>
      <c r="N374" t="s">
        <v>25</v>
      </c>
      <c r="O374" t="s">
        <v>35</v>
      </c>
      <c r="P374" t="s">
        <v>36</v>
      </c>
      <c r="Q374" s="5"/>
      <c r="S374">
        <f>DATEDIF(D374,DATE(2026,9,30),"Y")</f>
        <v>35</v>
      </c>
      <c r="T374" s="6">
        <f>(IF(Q374="",DATE(2026,9,30),Q374)-E374)/365.25</f>
        <v>5.9876796714579053</v>
      </c>
      <c r="U374" t="str">
        <f>_xlfn.XLOOKUP(Table1_1[[#This Row],[Bo''lim]],Bolimlar!A:A,Bolimlar!B:B,"Topilmadi")</f>
        <v>Jasur Yusupov</v>
      </c>
      <c r="V374">
        <f>IF(P374="Ha",1,0)</f>
        <v>0</v>
      </c>
      <c r="W374" t="str">
        <f>IF(T374&lt;1,"1 yildan kam",IF(T374&lt;3,"1-3 yil","3 yildan ko'p"))</f>
        <v>3 yildan ko'p</v>
      </c>
    </row>
    <row r="375" spans="1:23" x14ac:dyDescent="0.3">
      <c r="A375" t="s">
        <v>798</v>
      </c>
      <c r="B375" t="s">
        <v>225</v>
      </c>
      <c r="C375" t="s">
        <v>20</v>
      </c>
      <c r="D375" s="5">
        <v>33336</v>
      </c>
      <c r="E375" s="5">
        <v>46215</v>
      </c>
      <c r="F375" t="s">
        <v>1226</v>
      </c>
      <c r="G375" t="s">
        <v>142</v>
      </c>
      <c r="H375" t="s">
        <v>68</v>
      </c>
      <c r="I375" t="s">
        <v>44</v>
      </c>
      <c r="J375">
        <v>6490000</v>
      </c>
      <c r="K375">
        <v>3</v>
      </c>
      <c r="L375">
        <v>4</v>
      </c>
      <c r="M375">
        <v>23</v>
      </c>
      <c r="N375" t="s">
        <v>41</v>
      </c>
      <c r="O375" t="s">
        <v>26</v>
      </c>
      <c r="P375" t="s">
        <v>36</v>
      </c>
      <c r="Q375" s="5"/>
      <c r="S375">
        <f>DATEDIF(D375,DATE(2026,9,30),"Y")</f>
        <v>35</v>
      </c>
      <c r="T375" s="6">
        <f>(IF(Q375="",DATE(2026,9,30),Q375)-E375)/365.25</f>
        <v>0.21902806297056809</v>
      </c>
      <c r="U375" t="str">
        <f>_xlfn.XLOOKUP(Table1_1[[#This Row],[Bo''lim]],Bolimlar!A:A,Bolimlar!B:B,"Topilmadi")</f>
        <v>Madina Abdullayeva</v>
      </c>
      <c r="V375">
        <f>IF(P375="Ha",1,0)</f>
        <v>0</v>
      </c>
      <c r="W375" t="str">
        <f>IF(T375&lt;1,"1 yildan kam",IF(T375&lt;3,"1-3 yil","3 yildan ko'p"))</f>
        <v>1 yildan kam</v>
      </c>
    </row>
    <row r="376" spans="1:23" x14ac:dyDescent="0.3">
      <c r="A376" t="s">
        <v>900</v>
      </c>
      <c r="B376" t="s">
        <v>901</v>
      </c>
      <c r="C376" t="s">
        <v>20</v>
      </c>
      <c r="D376" s="5">
        <v>35083</v>
      </c>
      <c r="E376" s="5">
        <v>43390</v>
      </c>
      <c r="F376" t="s">
        <v>21</v>
      </c>
      <c r="G376" t="s">
        <v>103</v>
      </c>
      <c r="H376" t="s">
        <v>33</v>
      </c>
      <c r="I376" t="s">
        <v>24</v>
      </c>
      <c r="J376">
        <v>6490000</v>
      </c>
      <c r="K376">
        <v>4</v>
      </c>
      <c r="L376">
        <v>3</v>
      </c>
      <c r="M376">
        <v>24</v>
      </c>
      <c r="N376" t="s">
        <v>41</v>
      </c>
      <c r="O376" t="s">
        <v>26</v>
      </c>
      <c r="P376" t="s">
        <v>27</v>
      </c>
      <c r="Q376" s="5">
        <v>45717</v>
      </c>
      <c r="R376" t="s">
        <v>145</v>
      </c>
      <c r="S376">
        <f>DATEDIF(D376,DATE(2026,9,30),"Y")</f>
        <v>30</v>
      </c>
      <c r="T376" s="6">
        <f>(IF(Q376="",DATE(2026,9,30),Q376)-E376)/365.25</f>
        <v>6.3709787816564001</v>
      </c>
      <c r="U376" t="str">
        <f>_xlfn.XLOOKUP(Table1_1[[#This Row],[Bo''lim]],Bolimlar!A:A,Bolimlar!B:B,"Topilmadi")</f>
        <v>Jasur Yusupov</v>
      </c>
      <c r="V376">
        <f>IF(P376="Ha",1,0)</f>
        <v>1</v>
      </c>
      <c r="W376" t="str">
        <f>IF(T376&lt;1,"1 yildan kam",IF(T376&lt;3,"1-3 yil","3 yildan ko'p"))</f>
        <v>3 yildan ko'p</v>
      </c>
    </row>
    <row r="377" spans="1:23" x14ac:dyDescent="0.3">
      <c r="A377" t="s">
        <v>1135</v>
      </c>
      <c r="B377" t="s">
        <v>708</v>
      </c>
      <c r="C377" t="s">
        <v>31</v>
      </c>
      <c r="D377" s="5">
        <v>38736</v>
      </c>
      <c r="E377" s="5">
        <v>46093</v>
      </c>
      <c r="F377" t="s">
        <v>21</v>
      </c>
      <c r="G377" t="s">
        <v>22</v>
      </c>
      <c r="H377" t="s">
        <v>33</v>
      </c>
      <c r="I377" t="s">
        <v>206</v>
      </c>
      <c r="J377">
        <v>6490000</v>
      </c>
      <c r="K377">
        <v>5</v>
      </c>
      <c r="L377">
        <v>3</v>
      </c>
      <c r="M377">
        <v>10</v>
      </c>
      <c r="N377" t="s">
        <v>41</v>
      </c>
      <c r="O377" t="s">
        <v>53</v>
      </c>
      <c r="P377" t="s">
        <v>36</v>
      </c>
      <c r="Q377" s="5"/>
      <c r="S377">
        <f>DATEDIF(D377,DATE(2026,9,30),"Y")</f>
        <v>20</v>
      </c>
      <c r="T377" s="6">
        <f>(IF(Q377="",DATE(2026,9,30),Q377)-E377)/365.25</f>
        <v>0.55304585900068448</v>
      </c>
      <c r="U377" t="str">
        <f>_xlfn.XLOOKUP(Table1_1[[#This Row],[Bo''lim]],Bolimlar!A:A,Bolimlar!B:B,"Topilmadi")</f>
        <v>Jasur Yusupov</v>
      </c>
      <c r="V377">
        <f>IF(P377="Ha",1,0)</f>
        <v>0</v>
      </c>
      <c r="W377" t="str">
        <f>IF(T377&lt;1,"1 yildan kam",IF(T377&lt;3,"1-3 yil","3 yildan ko'p"))</f>
        <v>1 yildan kam</v>
      </c>
    </row>
    <row r="378" spans="1:23" x14ac:dyDescent="0.3">
      <c r="A378" t="s">
        <v>1037</v>
      </c>
      <c r="B378" t="s">
        <v>819</v>
      </c>
      <c r="C378" t="s">
        <v>31</v>
      </c>
      <c r="D378" s="5">
        <v>34256</v>
      </c>
      <c r="E378" s="5">
        <v>45512</v>
      </c>
      <c r="F378" t="s">
        <v>21</v>
      </c>
      <c r="G378" t="s">
        <v>22</v>
      </c>
      <c r="H378" t="s">
        <v>33</v>
      </c>
      <c r="I378" t="s">
        <v>24</v>
      </c>
      <c r="J378">
        <v>6480000</v>
      </c>
      <c r="K378">
        <v>4</v>
      </c>
      <c r="L378">
        <v>4</v>
      </c>
      <c r="M378">
        <v>21</v>
      </c>
      <c r="N378" t="s">
        <v>25</v>
      </c>
      <c r="O378" t="s">
        <v>35</v>
      </c>
      <c r="P378" t="s">
        <v>36</v>
      </c>
      <c r="Q378" s="5"/>
      <c r="S378">
        <f>DATEDIF(D378,DATE(2026,9,30),"Y")</f>
        <v>32</v>
      </c>
      <c r="T378" s="6">
        <f>(IF(Q378="",DATE(2026,9,30),Q378)-E378)/365.25</f>
        <v>2.1437371663244353</v>
      </c>
      <c r="U378" t="str">
        <f>_xlfn.XLOOKUP(Table1_1[[#This Row],[Bo''lim]],Bolimlar!A:A,Bolimlar!B:B,"Topilmadi")</f>
        <v>Jasur Yusupov</v>
      </c>
      <c r="V378">
        <f>IF(P378="Ha",1,0)</f>
        <v>0</v>
      </c>
      <c r="W378" t="str">
        <f>IF(T378&lt;1,"1 yildan kam",IF(T378&lt;3,"1-3 yil","3 yildan ko'p"))</f>
        <v>1-3 yil</v>
      </c>
    </row>
    <row r="379" spans="1:23" x14ac:dyDescent="0.3">
      <c r="A379" t="s">
        <v>1062</v>
      </c>
      <c r="B379" t="s">
        <v>86</v>
      </c>
      <c r="C379" t="s">
        <v>20</v>
      </c>
      <c r="D379" s="5">
        <v>32509</v>
      </c>
      <c r="E379" s="5">
        <v>45372</v>
      </c>
      <c r="F379" t="s">
        <v>21</v>
      </c>
      <c r="G379" t="s">
        <v>32</v>
      </c>
      <c r="H379" t="s">
        <v>33</v>
      </c>
      <c r="I379" t="s">
        <v>34</v>
      </c>
      <c r="J379">
        <v>6470000</v>
      </c>
      <c r="L379">
        <v>1</v>
      </c>
      <c r="M379">
        <v>0</v>
      </c>
      <c r="N379" t="s">
        <v>41</v>
      </c>
      <c r="O379" t="s">
        <v>53</v>
      </c>
      <c r="P379" t="s">
        <v>36</v>
      </c>
      <c r="Q379" s="5"/>
      <c r="S379">
        <f>DATEDIF(D379,DATE(2026,9,30),"Y")</f>
        <v>37</v>
      </c>
      <c r="T379" s="6">
        <f>(IF(Q379="",DATE(2026,9,30),Q379)-E379)/365.25</f>
        <v>2.5270362765229293</v>
      </c>
      <c r="U379" t="str">
        <f>_xlfn.XLOOKUP(Table1_1[[#This Row],[Bo''lim]],Bolimlar!A:A,Bolimlar!B:B,"Topilmadi")</f>
        <v>Jasur Yusupov</v>
      </c>
      <c r="V379">
        <f>IF(P379="Ha",1,0)</f>
        <v>0</v>
      </c>
      <c r="W379" t="str">
        <f>IF(T379&lt;1,"1 yildan kam",IF(T379&lt;3,"1-3 yil","3 yildan ko'p"))</f>
        <v>1-3 yil</v>
      </c>
    </row>
    <row r="380" spans="1:23" x14ac:dyDescent="0.3">
      <c r="A380" t="s">
        <v>444</v>
      </c>
      <c r="B380" t="s">
        <v>445</v>
      </c>
      <c r="C380" t="s">
        <v>31</v>
      </c>
      <c r="D380" s="5">
        <v>34397</v>
      </c>
      <c r="E380" s="5">
        <v>45316</v>
      </c>
      <c r="F380" t="s">
        <v>1300</v>
      </c>
      <c r="G380" t="s">
        <v>52</v>
      </c>
      <c r="H380" t="s">
        <v>68</v>
      </c>
      <c r="I380" t="s">
        <v>82</v>
      </c>
      <c r="J380">
        <v>6460000</v>
      </c>
      <c r="K380">
        <v>4</v>
      </c>
      <c r="L380">
        <v>5</v>
      </c>
      <c r="M380">
        <v>19</v>
      </c>
      <c r="N380" t="s">
        <v>25</v>
      </c>
      <c r="O380" t="s">
        <v>26</v>
      </c>
      <c r="P380" t="s">
        <v>36</v>
      </c>
      <c r="Q380" s="5"/>
      <c r="S380">
        <f>DATEDIF(D380,DATE(2026,9,30),"Y")</f>
        <v>32</v>
      </c>
      <c r="T380" s="6">
        <f>(IF(Q380="",DATE(2026,9,30),Q380)-E380)/365.25</f>
        <v>2.6803559206023273</v>
      </c>
      <c r="U380" t="str">
        <f>_xlfn.XLOOKUP(Table1_1[[#This Row],[Bo''lim]],Bolimlar!A:A,Bolimlar!B:B,"Topilmadi")</f>
        <v>Shahlo Ismoilova</v>
      </c>
      <c r="V380">
        <f>IF(P380="Ha",1,0)</f>
        <v>0</v>
      </c>
      <c r="W380" t="str">
        <f>IF(T380&lt;1,"1 yildan kam",IF(T380&lt;3,"1-3 yil","3 yildan ko'p"))</f>
        <v>1-3 yil</v>
      </c>
    </row>
    <row r="381" spans="1:23" x14ac:dyDescent="0.3">
      <c r="A381" t="s">
        <v>1236</v>
      </c>
      <c r="B381" t="s">
        <v>746</v>
      </c>
      <c r="C381" t="s">
        <v>20</v>
      </c>
      <c r="D381" s="5">
        <v>33736</v>
      </c>
      <c r="E381" s="5">
        <v>44233</v>
      </c>
      <c r="F381" t="s">
        <v>484</v>
      </c>
      <c r="G381" t="s">
        <v>115</v>
      </c>
      <c r="H381" t="s">
        <v>68</v>
      </c>
      <c r="I381" t="s">
        <v>24</v>
      </c>
      <c r="J381">
        <v>6450000</v>
      </c>
      <c r="K381">
        <v>2</v>
      </c>
      <c r="L381">
        <v>2</v>
      </c>
      <c r="M381">
        <v>15</v>
      </c>
      <c r="N381" t="s">
        <v>41</v>
      </c>
      <c r="O381" t="s">
        <v>26</v>
      </c>
      <c r="P381" t="s">
        <v>36</v>
      </c>
      <c r="Q381" s="5"/>
      <c r="S381">
        <f>DATEDIF(D381,DATE(2026,9,30),"Y")</f>
        <v>34</v>
      </c>
      <c r="T381" s="6">
        <f>(IF(Q381="",DATE(2026,9,30),Q381)-E381)/365.25</f>
        <v>5.6454483230663932</v>
      </c>
      <c r="U381" t="str">
        <f>_xlfn.XLOOKUP(Table1_1[[#This Row],[Bo''lim]],Bolimlar!A:A,Bolimlar!B:B,"Topilmadi")</f>
        <v>Sardor Nazarov</v>
      </c>
      <c r="V381">
        <f>IF(P381="Ha",1,0)</f>
        <v>0</v>
      </c>
      <c r="W381" t="str">
        <f>IF(T381&lt;1,"1 yildan kam",IF(T381&lt;3,"1-3 yil","3 yildan ko'p"))</f>
        <v>3 yildan ko'p</v>
      </c>
    </row>
    <row r="382" spans="1:23" x14ac:dyDescent="0.3">
      <c r="A382" t="s">
        <v>579</v>
      </c>
      <c r="B382" t="s">
        <v>580</v>
      </c>
      <c r="C382" t="s">
        <v>20</v>
      </c>
      <c r="D382" s="5">
        <v>35565</v>
      </c>
      <c r="E382" s="5">
        <v>46161</v>
      </c>
      <c r="F382" t="s">
        <v>484</v>
      </c>
      <c r="G382" t="s">
        <v>150</v>
      </c>
      <c r="H382" t="s">
        <v>68</v>
      </c>
      <c r="I382" t="s">
        <v>34</v>
      </c>
      <c r="J382">
        <v>6440000</v>
      </c>
      <c r="K382">
        <v>2</v>
      </c>
      <c r="L382">
        <v>4</v>
      </c>
      <c r="M382">
        <v>2</v>
      </c>
      <c r="N382" t="s">
        <v>25</v>
      </c>
      <c r="O382" t="s">
        <v>53</v>
      </c>
      <c r="P382" t="s">
        <v>36</v>
      </c>
      <c r="Q382" s="5"/>
      <c r="S382">
        <f>DATEDIF(D382,DATE(2026,9,30),"Y")</f>
        <v>29</v>
      </c>
      <c r="T382" s="6">
        <f>(IF(Q382="",DATE(2026,9,30),Q382)-E382)/365.25</f>
        <v>0.36687200547570159</v>
      </c>
      <c r="U382" t="str">
        <f>_xlfn.XLOOKUP(Table1_1[[#This Row],[Bo''lim]],Bolimlar!A:A,Bolimlar!B:B,"Topilmadi")</f>
        <v>Sardor Nazarov</v>
      </c>
      <c r="V382">
        <f>IF(P382="Ha",1,0)</f>
        <v>0</v>
      </c>
      <c r="W382" t="str">
        <f>IF(T382&lt;1,"1 yildan kam",IF(T382&lt;3,"1-3 yil","3 yildan ko'p"))</f>
        <v>1 yildan kam</v>
      </c>
    </row>
    <row r="383" spans="1:23" x14ac:dyDescent="0.3">
      <c r="A383" t="s">
        <v>1189</v>
      </c>
      <c r="B383" t="s">
        <v>453</v>
      </c>
      <c r="C383" t="s">
        <v>20</v>
      </c>
      <c r="D383" s="5">
        <v>32277</v>
      </c>
      <c r="E383" s="5">
        <v>43433</v>
      </c>
      <c r="F383" t="s">
        <v>1035</v>
      </c>
      <c r="G383" t="s">
        <v>79</v>
      </c>
      <c r="H383" t="s">
        <v>68</v>
      </c>
      <c r="I383" t="s">
        <v>24</v>
      </c>
      <c r="J383">
        <v>6440000</v>
      </c>
      <c r="K383">
        <v>4</v>
      </c>
      <c r="L383">
        <v>4</v>
      </c>
      <c r="M383">
        <v>23</v>
      </c>
      <c r="N383" t="s">
        <v>41</v>
      </c>
      <c r="O383" t="s">
        <v>26</v>
      </c>
      <c r="P383" t="s">
        <v>36</v>
      </c>
      <c r="Q383" s="5"/>
      <c r="S383">
        <f>DATEDIF(D383,DATE(2026,9,30),"Y")</f>
        <v>38</v>
      </c>
      <c r="T383" s="6">
        <f>(IF(Q383="",DATE(2026,9,30),Q383)-E383)/365.25</f>
        <v>7.8357289527720742</v>
      </c>
      <c r="U383" t="str">
        <f>_xlfn.XLOOKUP(Table1_1[[#This Row],[Bo''lim]],Bolimlar!A:A,Bolimlar!B:B,"Topilmadi")</f>
        <v>Aziz Karimov</v>
      </c>
      <c r="V383">
        <f>IF(P383="Ha",1,0)</f>
        <v>0</v>
      </c>
      <c r="W383" t="str">
        <f>IF(T383&lt;1,"1 yildan kam",IF(T383&lt;3,"1-3 yil","3 yildan ko'p"))</f>
        <v>3 yildan ko'p</v>
      </c>
    </row>
    <row r="384" spans="1:23" x14ac:dyDescent="0.3">
      <c r="A384" t="s">
        <v>474</v>
      </c>
      <c r="B384" t="s">
        <v>165</v>
      </c>
      <c r="C384" t="s">
        <v>20</v>
      </c>
      <c r="D384" s="5">
        <v>37605</v>
      </c>
      <c r="E384" s="5">
        <v>45140</v>
      </c>
      <c r="F384" t="s">
        <v>484</v>
      </c>
      <c r="G384" t="s">
        <v>196</v>
      </c>
      <c r="H384" t="s">
        <v>68</v>
      </c>
      <c r="I384" t="s">
        <v>96</v>
      </c>
      <c r="J384">
        <v>6430000</v>
      </c>
      <c r="K384">
        <v>3</v>
      </c>
      <c r="L384">
        <v>4</v>
      </c>
      <c r="M384">
        <v>7</v>
      </c>
      <c r="N384" t="s">
        <v>25</v>
      </c>
      <c r="O384" t="s">
        <v>26</v>
      </c>
      <c r="P384" t="s">
        <v>36</v>
      </c>
      <c r="Q384" s="5"/>
      <c r="S384">
        <f>DATEDIF(D384,DATE(2026,9,30),"Y")</f>
        <v>23</v>
      </c>
      <c r="T384" s="6">
        <f>(IF(Q384="",DATE(2026,9,30),Q384)-E384)/365.25</f>
        <v>3.162217659137577</v>
      </c>
      <c r="U384" t="str">
        <f>_xlfn.XLOOKUP(Table1_1[[#This Row],[Bo''lim]],Bolimlar!A:A,Bolimlar!B:B,"Topilmadi")</f>
        <v>Sardor Nazarov</v>
      </c>
      <c r="V384">
        <f>IF(P384="Ha",1,0)</f>
        <v>0</v>
      </c>
      <c r="W384" t="str">
        <f>IF(T384&lt;1,"1 yildan kam",IF(T384&lt;3,"1-3 yil","3 yildan ko'p"))</f>
        <v>3 yildan ko'p</v>
      </c>
    </row>
    <row r="385" spans="1:23" x14ac:dyDescent="0.3">
      <c r="A385" t="s">
        <v>639</v>
      </c>
      <c r="B385" t="s">
        <v>640</v>
      </c>
      <c r="C385" t="s">
        <v>31</v>
      </c>
      <c r="D385" s="5">
        <v>36026</v>
      </c>
      <c r="E385" s="5">
        <v>45232</v>
      </c>
      <c r="F385" t="s">
        <v>1226</v>
      </c>
      <c r="G385" t="s">
        <v>60</v>
      </c>
      <c r="H385" t="s">
        <v>68</v>
      </c>
      <c r="I385" t="s">
        <v>104</v>
      </c>
      <c r="J385">
        <v>6430000</v>
      </c>
      <c r="K385">
        <v>5</v>
      </c>
      <c r="L385">
        <v>5</v>
      </c>
      <c r="M385">
        <v>8</v>
      </c>
      <c r="N385" t="s">
        <v>41</v>
      </c>
      <c r="O385" t="s">
        <v>35</v>
      </c>
      <c r="P385" t="s">
        <v>36</v>
      </c>
      <c r="Q385" s="5"/>
      <c r="S385">
        <f>DATEDIF(D385,DATE(2026,9,30),"Y")</f>
        <v>28</v>
      </c>
      <c r="T385" s="6">
        <f>(IF(Q385="",DATE(2026,9,30),Q385)-E385)/365.25</f>
        <v>2.9103353867214237</v>
      </c>
      <c r="U385" t="str">
        <f>_xlfn.XLOOKUP(Table1_1[[#This Row],[Bo''lim]],Bolimlar!A:A,Bolimlar!B:B,"Topilmadi")</f>
        <v>Madina Abdullayeva</v>
      </c>
      <c r="V385">
        <f>IF(P385="Ha",1,0)</f>
        <v>0</v>
      </c>
      <c r="W385" t="str">
        <f>IF(T385&lt;1,"1 yildan kam",IF(T385&lt;3,"1-3 yil","3 yildan ko'p"))</f>
        <v>1-3 yil</v>
      </c>
    </row>
    <row r="386" spans="1:23" x14ac:dyDescent="0.3">
      <c r="A386" t="s">
        <v>42</v>
      </c>
      <c r="B386" t="s">
        <v>43</v>
      </c>
      <c r="C386" t="s">
        <v>31</v>
      </c>
      <c r="D386" s="5">
        <v>38062</v>
      </c>
      <c r="E386" s="5">
        <v>45998</v>
      </c>
      <c r="F386" t="s">
        <v>21</v>
      </c>
      <c r="G386" t="s">
        <v>32</v>
      </c>
      <c r="H386" t="s">
        <v>33</v>
      </c>
      <c r="I386" t="s">
        <v>44</v>
      </c>
      <c r="J386">
        <v>6410000</v>
      </c>
      <c r="K386">
        <v>4</v>
      </c>
      <c r="L386">
        <v>3</v>
      </c>
      <c r="M386">
        <v>20</v>
      </c>
      <c r="N386" t="s">
        <v>41</v>
      </c>
      <c r="O386" t="s">
        <v>35</v>
      </c>
      <c r="P386" t="s">
        <v>36</v>
      </c>
      <c r="Q386" s="5"/>
      <c r="S386">
        <f>DATEDIF(D386,DATE(2026,9,30),"Y")</f>
        <v>22</v>
      </c>
      <c r="T386" s="6">
        <f>(IF(Q386="",DATE(2026,9,30),Q386)-E386)/365.25</f>
        <v>0.81314168377823404</v>
      </c>
      <c r="U386" t="str">
        <f>_xlfn.XLOOKUP(Table1_1[[#This Row],[Bo''lim]],Bolimlar!A:A,Bolimlar!B:B,"Topilmadi")</f>
        <v>Jasur Yusupov</v>
      </c>
      <c r="V386">
        <f>IF(P386="Ha",1,0)</f>
        <v>0</v>
      </c>
      <c r="W386" t="str">
        <f>IF(T386&lt;1,"1 yildan kam",IF(T386&lt;3,"1-3 yil","3 yildan ko'p"))</f>
        <v>1 yildan kam</v>
      </c>
    </row>
    <row r="387" spans="1:23" x14ac:dyDescent="0.3">
      <c r="A387" t="s">
        <v>146</v>
      </c>
      <c r="B387" t="s">
        <v>147</v>
      </c>
      <c r="C387" t="s">
        <v>20</v>
      </c>
      <c r="D387" s="5">
        <v>36113</v>
      </c>
      <c r="E387" s="5">
        <v>45707</v>
      </c>
      <c r="F387" t="s">
        <v>1300</v>
      </c>
      <c r="G387" t="s">
        <v>93</v>
      </c>
      <c r="H387" t="s">
        <v>68</v>
      </c>
      <c r="I387" t="s">
        <v>34</v>
      </c>
      <c r="J387">
        <v>6410000</v>
      </c>
      <c r="K387">
        <v>3</v>
      </c>
      <c r="L387">
        <v>3</v>
      </c>
      <c r="M387">
        <v>15</v>
      </c>
      <c r="N387" t="s">
        <v>25</v>
      </c>
      <c r="O387" t="s">
        <v>35</v>
      </c>
      <c r="P387" t="s">
        <v>36</v>
      </c>
      <c r="Q387" s="5"/>
      <c r="S387">
        <f>DATEDIF(D387,DATE(2026,9,30),"Y")</f>
        <v>27</v>
      </c>
      <c r="T387" s="6">
        <f>(IF(Q387="",DATE(2026,9,30),Q387)-E387)/365.25</f>
        <v>1.6098562628336757</v>
      </c>
      <c r="U387" t="str">
        <f>_xlfn.XLOOKUP(Table1_1[[#This Row],[Bo''lim]],Bolimlar!A:A,Bolimlar!B:B,"Topilmadi")</f>
        <v>Shahlo Ismoilova</v>
      </c>
      <c r="V387">
        <f>IF(P387="Ha",1,0)</f>
        <v>0</v>
      </c>
      <c r="W387" t="str">
        <f>IF(T387&lt;1,"1 yildan kam",IF(T387&lt;3,"1-3 yil","3 yildan ko'p"))</f>
        <v>1-3 yil</v>
      </c>
    </row>
    <row r="388" spans="1:23" x14ac:dyDescent="0.3">
      <c r="A388" t="s">
        <v>726</v>
      </c>
      <c r="B388" t="s">
        <v>727</v>
      </c>
      <c r="C388" t="s">
        <v>31</v>
      </c>
      <c r="D388" s="5">
        <v>34561</v>
      </c>
      <c r="E388" s="5">
        <v>45753</v>
      </c>
      <c r="F388" t="s">
        <v>21</v>
      </c>
      <c r="G388" t="s">
        <v>22</v>
      </c>
      <c r="H388" t="s">
        <v>33</v>
      </c>
      <c r="I388" t="s">
        <v>44</v>
      </c>
      <c r="J388">
        <v>6410000</v>
      </c>
      <c r="K388">
        <v>3</v>
      </c>
      <c r="L388">
        <v>3</v>
      </c>
      <c r="M388">
        <v>27</v>
      </c>
      <c r="N388" t="s">
        <v>25</v>
      </c>
      <c r="O388" t="s">
        <v>53</v>
      </c>
      <c r="P388" t="s">
        <v>36</v>
      </c>
      <c r="Q388" s="5"/>
      <c r="S388">
        <f>DATEDIF(D388,DATE(2026,9,30),"Y")</f>
        <v>32</v>
      </c>
      <c r="T388" s="6">
        <f>(IF(Q388="",DATE(2026,9,30),Q388)-E388)/365.25</f>
        <v>1.483915126625599</v>
      </c>
      <c r="U388" t="str">
        <f>_xlfn.XLOOKUP(Table1_1[[#This Row],[Bo''lim]],Bolimlar!A:A,Bolimlar!B:B,"Topilmadi")</f>
        <v>Jasur Yusupov</v>
      </c>
      <c r="V388">
        <f>IF(P388="Ha",1,0)</f>
        <v>0</v>
      </c>
      <c r="W388" t="str">
        <f>IF(T388&lt;1,"1 yildan kam",IF(T388&lt;3,"1-3 yil","3 yildan ko'p"))</f>
        <v>1-3 yil</v>
      </c>
    </row>
    <row r="389" spans="1:23" x14ac:dyDescent="0.3">
      <c r="A389" t="s">
        <v>792</v>
      </c>
      <c r="B389" t="s">
        <v>149</v>
      </c>
      <c r="C389" t="s">
        <v>31</v>
      </c>
      <c r="D389" s="5">
        <v>33800</v>
      </c>
      <c r="E389" s="5">
        <v>43727</v>
      </c>
      <c r="F389" t="s">
        <v>1300</v>
      </c>
      <c r="G389" t="s">
        <v>52</v>
      </c>
      <c r="H389" t="s">
        <v>68</v>
      </c>
      <c r="I389" t="s">
        <v>206</v>
      </c>
      <c r="J389">
        <v>6390000</v>
      </c>
      <c r="K389">
        <v>3</v>
      </c>
      <c r="L389">
        <v>3</v>
      </c>
      <c r="M389">
        <v>21</v>
      </c>
      <c r="N389" t="s">
        <v>25</v>
      </c>
      <c r="O389" t="s">
        <v>26</v>
      </c>
      <c r="P389" t="s">
        <v>36</v>
      </c>
      <c r="Q389" s="5"/>
      <c r="S389">
        <f>DATEDIF(D389,DATE(2026,9,30),"Y")</f>
        <v>34</v>
      </c>
      <c r="T389" s="6">
        <f>(IF(Q389="",DATE(2026,9,30),Q389)-E389)/365.25</f>
        <v>7.0308008213552364</v>
      </c>
      <c r="U389" t="str">
        <f>_xlfn.XLOOKUP(Table1_1[[#This Row],[Bo''lim]],Bolimlar!A:A,Bolimlar!B:B,"Topilmadi")</f>
        <v>Shahlo Ismoilova</v>
      </c>
      <c r="V389">
        <f>IF(P389="Ha",1,0)</f>
        <v>0</v>
      </c>
      <c r="W389" t="str">
        <f>IF(T389&lt;1,"1 yildan kam",IF(T389&lt;3,"1-3 yil","3 yildan ko'p"))</f>
        <v>3 yildan ko'p</v>
      </c>
    </row>
    <row r="390" spans="1:23" x14ac:dyDescent="0.3">
      <c r="A390" t="s">
        <v>1063</v>
      </c>
      <c r="B390" t="s">
        <v>784</v>
      </c>
      <c r="C390" t="s">
        <v>31</v>
      </c>
      <c r="D390" s="5">
        <v>36943</v>
      </c>
      <c r="E390" s="5">
        <v>45113</v>
      </c>
      <c r="F390" t="s">
        <v>21</v>
      </c>
      <c r="G390" t="s">
        <v>103</v>
      </c>
      <c r="H390" t="s">
        <v>33</v>
      </c>
      <c r="I390" t="s">
        <v>24</v>
      </c>
      <c r="J390">
        <v>6360000</v>
      </c>
      <c r="K390">
        <v>3</v>
      </c>
      <c r="L390">
        <v>1</v>
      </c>
      <c r="M390">
        <v>12</v>
      </c>
      <c r="N390" t="s">
        <v>41</v>
      </c>
      <c r="O390" t="s">
        <v>26</v>
      </c>
      <c r="P390" t="s">
        <v>36</v>
      </c>
      <c r="Q390" s="5"/>
      <c r="S390">
        <f>DATEDIF(D390,DATE(2026,9,30),"Y")</f>
        <v>25</v>
      </c>
      <c r="T390" s="6">
        <f>(IF(Q390="",DATE(2026,9,30),Q390)-E390)/365.25</f>
        <v>3.2361396303901437</v>
      </c>
      <c r="U390" t="str">
        <f>_xlfn.XLOOKUP(Table1_1[[#This Row],[Bo''lim]],Bolimlar!A:A,Bolimlar!B:B,"Topilmadi")</f>
        <v>Jasur Yusupov</v>
      </c>
      <c r="V390">
        <f>IF(P390="Ha",1,0)</f>
        <v>0</v>
      </c>
      <c r="W390" t="str">
        <f>IF(T390&lt;1,"1 yildan kam",IF(T390&lt;3,"1-3 yil","3 yildan ko'p"))</f>
        <v>3 yildan ko'p</v>
      </c>
    </row>
    <row r="391" spans="1:23" x14ac:dyDescent="0.3">
      <c r="A391" t="s">
        <v>1118</v>
      </c>
      <c r="B391" t="s">
        <v>1119</v>
      </c>
      <c r="C391" t="s">
        <v>20</v>
      </c>
      <c r="D391" s="5">
        <v>33839</v>
      </c>
      <c r="E391" s="5">
        <v>45675</v>
      </c>
      <c r="F391" t="s">
        <v>484</v>
      </c>
      <c r="G391" t="s">
        <v>196</v>
      </c>
      <c r="H391" t="s">
        <v>68</v>
      </c>
      <c r="I391" t="s">
        <v>24</v>
      </c>
      <c r="J391">
        <v>6360000</v>
      </c>
      <c r="K391">
        <v>3</v>
      </c>
      <c r="L391">
        <v>1</v>
      </c>
      <c r="M391">
        <v>20</v>
      </c>
      <c r="N391" t="s">
        <v>41</v>
      </c>
      <c r="O391" t="s">
        <v>35</v>
      </c>
      <c r="P391" t="s">
        <v>36</v>
      </c>
      <c r="Q391" s="5"/>
      <c r="S391">
        <f>DATEDIF(D391,DATE(2026,9,30),"Y")</f>
        <v>34</v>
      </c>
      <c r="T391" s="6">
        <f>(IF(Q391="",DATE(2026,9,30),Q391)-E391)/365.25</f>
        <v>1.6974674880219027</v>
      </c>
      <c r="U391" t="str">
        <f>_xlfn.XLOOKUP(Table1_1[[#This Row],[Bo''lim]],Bolimlar!A:A,Bolimlar!B:B,"Topilmadi")</f>
        <v>Sardor Nazarov</v>
      </c>
      <c r="V391">
        <f>IF(P391="Ha",1,0)</f>
        <v>0</v>
      </c>
      <c r="W391" t="str">
        <f>IF(T391&lt;1,"1 yildan kam",IF(T391&lt;3,"1-3 yil","3 yildan ko'p"))</f>
        <v>1-3 yil</v>
      </c>
    </row>
    <row r="392" spans="1:23" x14ac:dyDescent="0.3">
      <c r="A392" t="s">
        <v>1253</v>
      </c>
      <c r="B392" t="s">
        <v>352</v>
      </c>
      <c r="C392" t="s">
        <v>20</v>
      </c>
      <c r="D392" s="5">
        <v>34458</v>
      </c>
      <c r="E392" s="5">
        <v>42754</v>
      </c>
      <c r="F392" t="s">
        <v>1035</v>
      </c>
      <c r="G392" t="s">
        <v>73</v>
      </c>
      <c r="H392" t="s">
        <v>68</v>
      </c>
      <c r="I392" t="s">
        <v>104</v>
      </c>
      <c r="J392">
        <v>6360000</v>
      </c>
      <c r="K392">
        <v>5</v>
      </c>
      <c r="L392">
        <v>1</v>
      </c>
      <c r="M392">
        <v>8</v>
      </c>
      <c r="N392" t="s">
        <v>41</v>
      </c>
      <c r="O392" t="s">
        <v>26</v>
      </c>
      <c r="P392" t="s">
        <v>36</v>
      </c>
      <c r="Q392" s="5"/>
      <c r="S392">
        <f>DATEDIF(D392,DATE(2026,9,30),"Y")</f>
        <v>32</v>
      </c>
      <c r="T392" s="6">
        <f>(IF(Q392="",DATE(2026,9,30),Q392)-E392)/365.25</f>
        <v>9.6947296372347704</v>
      </c>
      <c r="U392" t="str">
        <f>_xlfn.XLOOKUP(Table1_1[[#This Row],[Bo''lim]],Bolimlar!A:A,Bolimlar!B:B,"Topilmadi")</f>
        <v>Aziz Karimov</v>
      </c>
      <c r="V392">
        <f>IF(P392="Ha",1,0)</f>
        <v>0</v>
      </c>
      <c r="W392" t="str">
        <f>IF(T392&lt;1,"1 yildan kam",IF(T392&lt;3,"1-3 yil","3 yildan ko'p"))</f>
        <v>3 yildan ko'p</v>
      </c>
    </row>
    <row r="393" spans="1:23" x14ac:dyDescent="0.3">
      <c r="A393" t="s">
        <v>496</v>
      </c>
      <c r="B393" t="s">
        <v>149</v>
      </c>
      <c r="C393" t="s">
        <v>31</v>
      </c>
      <c r="D393" s="5">
        <v>37367</v>
      </c>
      <c r="E393" s="5">
        <v>46119</v>
      </c>
      <c r="F393" t="s">
        <v>1035</v>
      </c>
      <c r="G393" t="s">
        <v>73</v>
      </c>
      <c r="H393" t="s">
        <v>68</v>
      </c>
      <c r="I393" t="s">
        <v>44</v>
      </c>
      <c r="J393">
        <v>6340000</v>
      </c>
      <c r="K393">
        <v>5</v>
      </c>
      <c r="L393">
        <v>3</v>
      </c>
      <c r="M393">
        <v>23</v>
      </c>
      <c r="N393" t="s">
        <v>41</v>
      </c>
      <c r="O393" t="s">
        <v>35</v>
      </c>
      <c r="P393" t="s">
        <v>36</v>
      </c>
      <c r="Q393" s="5"/>
      <c r="S393">
        <f>DATEDIF(D393,DATE(2026,9,30),"Y")</f>
        <v>24</v>
      </c>
      <c r="T393" s="6">
        <f>(IF(Q393="",DATE(2026,9,30),Q393)-E393)/365.25</f>
        <v>0.48186173853524983</v>
      </c>
      <c r="U393" t="str">
        <f>_xlfn.XLOOKUP(Table1_1[[#This Row],[Bo''lim]],Bolimlar!A:A,Bolimlar!B:B,"Topilmadi")</f>
        <v>Aziz Karimov</v>
      </c>
      <c r="V393">
        <f>IF(P393="Ha",1,0)</f>
        <v>0</v>
      </c>
      <c r="W393" t="str">
        <f>IF(T393&lt;1,"1 yildan kam",IF(T393&lt;3,"1-3 yil","3 yildan ko'p"))</f>
        <v>1 yildan kam</v>
      </c>
    </row>
    <row r="394" spans="1:23" x14ac:dyDescent="0.3">
      <c r="A394" t="s">
        <v>976</v>
      </c>
      <c r="B394" t="s">
        <v>826</v>
      </c>
      <c r="C394" t="s">
        <v>31</v>
      </c>
      <c r="D394" s="5">
        <v>35078</v>
      </c>
      <c r="E394" s="5">
        <v>45558</v>
      </c>
      <c r="F394" t="s">
        <v>484</v>
      </c>
      <c r="G394" t="s">
        <v>196</v>
      </c>
      <c r="H394" t="s">
        <v>68</v>
      </c>
      <c r="I394" t="s">
        <v>24</v>
      </c>
      <c r="J394">
        <v>6340000</v>
      </c>
      <c r="K394">
        <v>4</v>
      </c>
      <c r="L394">
        <v>5</v>
      </c>
      <c r="M394">
        <v>10</v>
      </c>
      <c r="N394" t="s">
        <v>88</v>
      </c>
      <c r="O394" t="s">
        <v>35</v>
      </c>
      <c r="P394" t="s">
        <v>36</v>
      </c>
      <c r="Q394" s="5"/>
      <c r="S394">
        <f>DATEDIF(D394,DATE(2026,9,30),"Y")</f>
        <v>30</v>
      </c>
      <c r="T394" s="6">
        <f>(IF(Q394="",DATE(2026,9,30),Q394)-E394)/365.25</f>
        <v>2.0177960301163584</v>
      </c>
      <c r="U394" t="str">
        <f>_xlfn.XLOOKUP(Table1_1[[#This Row],[Bo''lim]],Bolimlar!A:A,Bolimlar!B:B,"Topilmadi")</f>
        <v>Sardor Nazarov</v>
      </c>
      <c r="V394">
        <f>IF(P394="Ha",1,0)</f>
        <v>0</v>
      </c>
      <c r="W394" t="str">
        <f>IF(T394&lt;1,"1 yildan kam",IF(T394&lt;3,"1-3 yil","3 yildan ko'p"))</f>
        <v>1-3 yil</v>
      </c>
    </row>
    <row r="395" spans="1:23" x14ac:dyDescent="0.3">
      <c r="A395" t="s">
        <v>193</v>
      </c>
      <c r="B395" t="s">
        <v>63</v>
      </c>
      <c r="C395" t="s">
        <v>31</v>
      </c>
      <c r="D395" s="5">
        <v>33629</v>
      </c>
      <c r="E395" s="5">
        <v>42821</v>
      </c>
      <c r="F395" t="s">
        <v>245</v>
      </c>
      <c r="G395" t="s">
        <v>90</v>
      </c>
      <c r="H395" t="s">
        <v>68</v>
      </c>
      <c r="I395" t="s">
        <v>24</v>
      </c>
      <c r="J395">
        <v>6310000</v>
      </c>
      <c r="K395">
        <v>4</v>
      </c>
      <c r="L395">
        <v>3</v>
      </c>
      <c r="M395">
        <v>6</v>
      </c>
      <c r="N395" t="s">
        <v>25</v>
      </c>
      <c r="P395" t="s">
        <v>36</v>
      </c>
      <c r="Q395" s="5"/>
      <c r="S395">
        <f>DATEDIF(D395,DATE(2026,9,30),"Y")</f>
        <v>34</v>
      </c>
      <c r="T395" s="6">
        <f>(IF(Q395="",DATE(2026,9,30),Q395)-E395)/365.25</f>
        <v>9.5112936344969192</v>
      </c>
      <c r="U395" t="str">
        <f>_xlfn.XLOOKUP(Table1_1[[#This Row],[Bo''lim]],Bolimlar!A:A,Bolimlar!B:B,"Topilmadi")</f>
        <v>Dilnoza Rahimova</v>
      </c>
      <c r="V395">
        <f>IF(P395="Ha",1,0)</f>
        <v>0</v>
      </c>
      <c r="W395" t="str">
        <f>IF(T395&lt;1,"1 yildan kam",IF(T395&lt;3,"1-3 yil","3 yildan ko'p"))</f>
        <v>3 yildan ko'p</v>
      </c>
    </row>
    <row r="396" spans="1:23" x14ac:dyDescent="0.3">
      <c r="A396" t="s">
        <v>555</v>
      </c>
      <c r="B396" t="s">
        <v>556</v>
      </c>
      <c r="C396" t="s">
        <v>31</v>
      </c>
      <c r="D396" s="5">
        <v>33160</v>
      </c>
      <c r="E396" s="5">
        <v>44627</v>
      </c>
      <c r="F396" t="s">
        <v>245</v>
      </c>
      <c r="G396" t="s">
        <v>90</v>
      </c>
      <c r="H396" t="s">
        <v>68</v>
      </c>
      <c r="I396" t="s">
        <v>44</v>
      </c>
      <c r="J396">
        <v>6300000</v>
      </c>
      <c r="K396">
        <v>4</v>
      </c>
      <c r="L396">
        <v>2</v>
      </c>
      <c r="M396">
        <v>20</v>
      </c>
      <c r="N396" t="s">
        <v>41</v>
      </c>
      <c r="O396" t="s">
        <v>26</v>
      </c>
      <c r="P396" t="s">
        <v>36</v>
      </c>
      <c r="Q396" s="5"/>
      <c r="S396">
        <f>DATEDIF(D396,DATE(2026,9,30),"Y")</f>
        <v>35</v>
      </c>
      <c r="T396" s="6">
        <f>(IF(Q396="",DATE(2026,9,30),Q396)-E396)/365.25</f>
        <v>4.5667351129363452</v>
      </c>
      <c r="U396" t="str">
        <f>_xlfn.XLOOKUP(Table1_1[[#This Row],[Bo''lim]],Bolimlar!A:A,Bolimlar!B:B,"Topilmadi")</f>
        <v>Dilnoza Rahimova</v>
      </c>
      <c r="V396">
        <f>IF(P396="Ha",1,0)</f>
        <v>0</v>
      </c>
      <c r="W396" t="str">
        <f>IF(T396&lt;1,"1 yildan kam",IF(T396&lt;3,"1-3 yil","3 yildan ko'p"))</f>
        <v>3 yildan ko'p</v>
      </c>
    </row>
    <row r="397" spans="1:23" x14ac:dyDescent="0.3">
      <c r="A397" t="s">
        <v>1179</v>
      </c>
      <c r="B397" t="s">
        <v>1180</v>
      </c>
      <c r="C397" t="s">
        <v>31</v>
      </c>
      <c r="D397" s="5">
        <v>31422</v>
      </c>
      <c r="E397" s="5">
        <v>44578</v>
      </c>
      <c r="F397" t="s">
        <v>1300</v>
      </c>
      <c r="G397" t="s">
        <v>93</v>
      </c>
      <c r="H397" t="s">
        <v>68</v>
      </c>
      <c r="I397" t="s">
        <v>24</v>
      </c>
      <c r="J397">
        <v>6290000</v>
      </c>
      <c r="K397">
        <v>3</v>
      </c>
      <c r="L397">
        <v>5</v>
      </c>
      <c r="M397">
        <v>28</v>
      </c>
      <c r="N397" t="s">
        <v>41</v>
      </c>
      <c r="O397" t="s">
        <v>35</v>
      </c>
      <c r="P397" t="s">
        <v>36</v>
      </c>
      <c r="Q397" s="5"/>
      <c r="S397">
        <f>DATEDIF(D397,DATE(2026,9,30),"Y")</f>
        <v>40</v>
      </c>
      <c r="T397" s="6">
        <f>(IF(Q397="",DATE(2026,9,30),Q397)-E397)/365.25</f>
        <v>4.7008898015058183</v>
      </c>
      <c r="U397" t="str">
        <f>_xlfn.XLOOKUP(Table1_1[[#This Row],[Bo''lim]],Bolimlar!A:A,Bolimlar!B:B,"Topilmadi")</f>
        <v>Shahlo Ismoilova</v>
      </c>
      <c r="V397">
        <f>IF(P397="Ha",1,0)</f>
        <v>0</v>
      </c>
      <c r="W397" t="str">
        <f>IF(T397&lt;1,"1 yildan kam",IF(T397&lt;3,"1-3 yil","3 yildan ko'p"))</f>
        <v>3 yildan ko'p</v>
      </c>
    </row>
    <row r="398" spans="1:23" x14ac:dyDescent="0.3">
      <c r="A398" t="s">
        <v>838</v>
      </c>
      <c r="B398" t="s">
        <v>839</v>
      </c>
      <c r="C398" t="s">
        <v>20</v>
      </c>
      <c r="D398" s="5">
        <v>38082</v>
      </c>
      <c r="E398" s="5">
        <v>45915</v>
      </c>
      <c r="F398" t="s">
        <v>1226</v>
      </c>
      <c r="G398" t="s">
        <v>142</v>
      </c>
      <c r="H398" t="s">
        <v>68</v>
      </c>
      <c r="I398" t="s">
        <v>24</v>
      </c>
      <c r="J398">
        <v>6280000</v>
      </c>
      <c r="K398">
        <v>5</v>
      </c>
      <c r="L398">
        <v>2</v>
      </c>
      <c r="M398">
        <v>0</v>
      </c>
      <c r="N398" t="s">
        <v>88</v>
      </c>
      <c r="O398" t="s">
        <v>26</v>
      </c>
      <c r="P398" t="s">
        <v>27</v>
      </c>
      <c r="Q398" s="5">
        <v>46256</v>
      </c>
      <c r="R398" t="s">
        <v>28</v>
      </c>
      <c r="S398">
        <f>DATEDIF(D398,DATE(2026,9,30),"Y")</f>
        <v>22</v>
      </c>
      <c r="T398" s="6">
        <f>(IF(Q398="",DATE(2026,9,30),Q398)-E398)/365.25</f>
        <v>0.93360711841204658</v>
      </c>
      <c r="U398" t="str">
        <f>_xlfn.XLOOKUP(Table1_1[[#This Row],[Bo''lim]],Bolimlar!A:A,Bolimlar!B:B,"Topilmadi")</f>
        <v>Madina Abdullayeva</v>
      </c>
      <c r="V398">
        <f>IF(P398="Ha",1,0)</f>
        <v>1</v>
      </c>
      <c r="W398" t="str">
        <f>IF(T398&lt;1,"1 yildan kam",IF(T398&lt;3,"1-3 yil","3 yildan ko'p"))</f>
        <v>1 yildan kam</v>
      </c>
    </row>
    <row r="399" spans="1:23" x14ac:dyDescent="0.3">
      <c r="A399" t="s">
        <v>1220</v>
      </c>
      <c r="B399" t="s">
        <v>248</v>
      </c>
      <c r="C399" t="s">
        <v>31</v>
      </c>
      <c r="D399" s="5">
        <v>35782</v>
      </c>
      <c r="E399" s="5">
        <v>45539</v>
      </c>
      <c r="F399" t="s">
        <v>1226</v>
      </c>
      <c r="G399" t="s">
        <v>142</v>
      </c>
      <c r="H399" t="s">
        <v>68</v>
      </c>
      <c r="I399" t="s">
        <v>24</v>
      </c>
      <c r="J399">
        <v>6260000</v>
      </c>
      <c r="K399">
        <v>3</v>
      </c>
      <c r="L399">
        <v>3</v>
      </c>
      <c r="M399">
        <v>0</v>
      </c>
      <c r="N399" t="s">
        <v>41</v>
      </c>
      <c r="O399" t="s">
        <v>26</v>
      </c>
      <c r="P399" t="s">
        <v>36</v>
      </c>
      <c r="Q399" s="5"/>
      <c r="S399">
        <f>DATEDIF(D399,DATE(2026,9,30),"Y")</f>
        <v>28</v>
      </c>
      <c r="T399" s="6">
        <f>(IF(Q399="",DATE(2026,9,30),Q399)-E399)/365.25</f>
        <v>2.0698151950718686</v>
      </c>
      <c r="U399" t="str">
        <f>_xlfn.XLOOKUP(Table1_1[[#This Row],[Bo''lim]],Bolimlar!A:A,Bolimlar!B:B,"Topilmadi")</f>
        <v>Madina Abdullayeva</v>
      </c>
      <c r="V399">
        <f>IF(P399="Ha",1,0)</f>
        <v>0</v>
      </c>
      <c r="W399" t="str">
        <f>IF(T399&lt;1,"1 yildan kam",IF(T399&lt;3,"1-3 yil","3 yildan ko'p"))</f>
        <v>1-3 yil</v>
      </c>
    </row>
    <row r="400" spans="1:23" x14ac:dyDescent="0.3">
      <c r="A400" t="s">
        <v>454</v>
      </c>
      <c r="B400" t="s">
        <v>313</v>
      </c>
      <c r="C400" t="s">
        <v>20</v>
      </c>
      <c r="D400" s="5">
        <v>33672</v>
      </c>
      <c r="E400" s="5">
        <v>45864</v>
      </c>
      <c r="F400" t="s">
        <v>484</v>
      </c>
      <c r="G400" t="s">
        <v>150</v>
      </c>
      <c r="H400" t="s">
        <v>68</v>
      </c>
      <c r="I400" t="s">
        <v>104</v>
      </c>
      <c r="J400">
        <v>6250000</v>
      </c>
      <c r="K400">
        <v>2</v>
      </c>
      <c r="L400">
        <v>3</v>
      </c>
      <c r="M400">
        <v>9</v>
      </c>
      <c r="N400" t="s">
        <v>41</v>
      </c>
      <c r="O400" t="s">
        <v>26</v>
      </c>
      <c r="P400" t="s">
        <v>36</v>
      </c>
      <c r="Q400" s="5"/>
      <c r="S400">
        <f>DATEDIF(D400,DATE(2026,9,30),"Y")</f>
        <v>34</v>
      </c>
      <c r="T400" s="6">
        <f>(IF(Q400="",DATE(2026,9,30),Q400)-E400)/365.25</f>
        <v>1.1800136892539357</v>
      </c>
      <c r="U400" t="str">
        <f>_xlfn.XLOOKUP(Table1_1[[#This Row],[Bo''lim]],Bolimlar!A:A,Bolimlar!B:B,"Topilmadi")</f>
        <v>Sardor Nazarov</v>
      </c>
      <c r="V400">
        <f>IF(P400="Ha",1,0)</f>
        <v>0</v>
      </c>
      <c r="W400" t="str">
        <f>IF(T400&lt;1,"1 yildan kam",IF(T400&lt;3,"1-3 yil","3 yildan ko'p"))</f>
        <v>1-3 yil</v>
      </c>
    </row>
    <row r="401" spans="1:23" x14ac:dyDescent="0.3">
      <c r="A401" t="s">
        <v>417</v>
      </c>
      <c r="B401" t="s">
        <v>418</v>
      </c>
      <c r="C401" t="s">
        <v>31</v>
      </c>
      <c r="D401" s="5">
        <v>35140</v>
      </c>
      <c r="E401" s="5">
        <v>44278</v>
      </c>
      <c r="F401" t="s">
        <v>1035</v>
      </c>
      <c r="G401" t="s">
        <v>79</v>
      </c>
      <c r="H401" t="s">
        <v>68</v>
      </c>
      <c r="I401" t="s">
        <v>24</v>
      </c>
      <c r="J401">
        <v>6240000</v>
      </c>
      <c r="K401">
        <v>4</v>
      </c>
      <c r="L401">
        <v>2</v>
      </c>
      <c r="M401">
        <v>3</v>
      </c>
      <c r="N401" t="s">
        <v>41</v>
      </c>
      <c r="O401" t="s">
        <v>35</v>
      </c>
      <c r="P401" t="s">
        <v>36</v>
      </c>
      <c r="Q401" s="5"/>
      <c r="S401">
        <f>DATEDIF(D401,DATE(2026,9,30),"Y")</f>
        <v>30</v>
      </c>
      <c r="T401" s="6">
        <f>(IF(Q401="",DATE(2026,9,30),Q401)-E401)/365.25</f>
        <v>5.5222450376454484</v>
      </c>
      <c r="U401" t="str">
        <f>_xlfn.XLOOKUP(Table1_1[[#This Row],[Bo''lim]],Bolimlar!A:A,Bolimlar!B:B,"Topilmadi")</f>
        <v>Aziz Karimov</v>
      </c>
      <c r="V401">
        <f>IF(P401="Ha",1,0)</f>
        <v>0</v>
      </c>
      <c r="W401" t="str">
        <f>IF(T401&lt;1,"1 yildan kam",IF(T401&lt;3,"1-3 yil","3 yildan ko'p"))</f>
        <v>3 yildan ko'p</v>
      </c>
    </row>
    <row r="402" spans="1:23" x14ac:dyDescent="0.3">
      <c r="A402" t="s">
        <v>342</v>
      </c>
      <c r="B402" t="s">
        <v>343</v>
      </c>
      <c r="C402" t="s">
        <v>20</v>
      </c>
      <c r="D402" s="5">
        <v>32885</v>
      </c>
      <c r="E402" s="5">
        <v>46097</v>
      </c>
      <c r="F402" t="s">
        <v>1300</v>
      </c>
      <c r="G402" t="s">
        <v>52</v>
      </c>
      <c r="H402" t="s">
        <v>68</v>
      </c>
      <c r="I402" t="s">
        <v>24</v>
      </c>
      <c r="J402">
        <v>6230000</v>
      </c>
      <c r="K402">
        <v>3</v>
      </c>
      <c r="L402">
        <v>2</v>
      </c>
      <c r="M402">
        <v>25</v>
      </c>
      <c r="N402" t="s">
        <v>25</v>
      </c>
      <c r="O402" t="s">
        <v>35</v>
      </c>
      <c r="P402" t="s">
        <v>27</v>
      </c>
      <c r="Q402" s="5">
        <v>46258</v>
      </c>
      <c r="R402" t="s">
        <v>145</v>
      </c>
      <c r="S402">
        <f>DATEDIF(D402,DATE(2026,9,30),"Y")</f>
        <v>36</v>
      </c>
      <c r="T402" s="6">
        <f>(IF(Q402="",DATE(2026,9,30),Q402)-E402)/365.25</f>
        <v>0.44079397672826831</v>
      </c>
      <c r="U402" t="str">
        <f>_xlfn.XLOOKUP(Table1_1[[#This Row],[Bo''lim]],Bolimlar!A:A,Bolimlar!B:B,"Topilmadi")</f>
        <v>Shahlo Ismoilova</v>
      </c>
      <c r="V402">
        <f>IF(P402="Ha",1,0)</f>
        <v>1</v>
      </c>
      <c r="W402" t="str">
        <f>IF(T402&lt;1,"1 yildan kam",IF(T402&lt;3,"1-3 yil","3 yildan ko'p"))</f>
        <v>1 yildan kam</v>
      </c>
    </row>
    <row r="403" spans="1:23" x14ac:dyDescent="0.3">
      <c r="A403" t="s">
        <v>577</v>
      </c>
      <c r="B403" t="s">
        <v>578</v>
      </c>
      <c r="C403" t="s">
        <v>31</v>
      </c>
      <c r="D403" s="5">
        <v>30736</v>
      </c>
      <c r="E403" s="5">
        <v>44794</v>
      </c>
      <c r="F403" t="s">
        <v>21</v>
      </c>
      <c r="G403" t="s">
        <v>103</v>
      </c>
      <c r="H403" t="s">
        <v>33</v>
      </c>
      <c r="I403" t="s">
        <v>96</v>
      </c>
      <c r="J403">
        <v>6220000</v>
      </c>
      <c r="K403">
        <v>3</v>
      </c>
      <c r="L403">
        <v>4</v>
      </c>
      <c r="M403">
        <v>0</v>
      </c>
      <c r="N403" t="s">
        <v>41</v>
      </c>
      <c r="O403" t="s">
        <v>53</v>
      </c>
      <c r="P403" t="s">
        <v>36</v>
      </c>
      <c r="Q403" s="5"/>
      <c r="S403">
        <f>DATEDIF(D403,DATE(2026,9,30),"Y")</f>
        <v>42</v>
      </c>
      <c r="T403" s="6">
        <f>(IF(Q403="",DATE(2026,9,30),Q403)-E403)/365.25</f>
        <v>4.1095140314852845</v>
      </c>
      <c r="U403" t="str">
        <f>_xlfn.XLOOKUP(Table1_1[[#This Row],[Bo''lim]],Bolimlar!A:A,Bolimlar!B:B,"Topilmadi")</f>
        <v>Jasur Yusupov</v>
      </c>
      <c r="V403">
        <f>IF(P403="Ha",1,0)</f>
        <v>0</v>
      </c>
      <c r="W403" t="str">
        <f>IF(T403&lt;1,"1 yildan kam",IF(T403&lt;3,"1-3 yil","3 yildan ko'p"))</f>
        <v>3 yildan ko'p</v>
      </c>
    </row>
    <row r="404" spans="1:23" x14ac:dyDescent="0.3">
      <c r="A404" t="s">
        <v>1015</v>
      </c>
      <c r="B404" t="s">
        <v>1016</v>
      </c>
      <c r="C404" t="s">
        <v>20</v>
      </c>
      <c r="D404" s="5">
        <v>35395</v>
      </c>
      <c r="E404" s="5">
        <v>44916</v>
      </c>
      <c r="F404" t="s">
        <v>1035</v>
      </c>
      <c r="G404" t="s">
        <v>79</v>
      </c>
      <c r="H404" t="s">
        <v>68</v>
      </c>
      <c r="I404" t="s">
        <v>24</v>
      </c>
      <c r="J404">
        <v>6220000</v>
      </c>
      <c r="K404">
        <v>2</v>
      </c>
      <c r="L404">
        <v>4</v>
      </c>
      <c r="M404">
        <v>12</v>
      </c>
      <c r="N404" t="s">
        <v>41</v>
      </c>
      <c r="O404" t="s">
        <v>26</v>
      </c>
      <c r="P404" t="s">
        <v>27</v>
      </c>
      <c r="Q404" s="5">
        <v>45930</v>
      </c>
      <c r="R404" t="s">
        <v>28</v>
      </c>
      <c r="S404">
        <f>DATEDIF(D404,DATE(2026,9,30),"Y")</f>
        <v>29</v>
      </c>
      <c r="T404" s="6">
        <f>(IF(Q404="",DATE(2026,9,30),Q404)-E404)/365.25</f>
        <v>2.7761806981519506</v>
      </c>
      <c r="U404" t="str">
        <f>_xlfn.XLOOKUP(Table1_1[[#This Row],[Bo''lim]],Bolimlar!A:A,Bolimlar!B:B,"Topilmadi")</f>
        <v>Aziz Karimov</v>
      </c>
      <c r="V404">
        <f>IF(P404="Ha",1,0)</f>
        <v>1</v>
      </c>
      <c r="W404" t="str">
        <f>IF(T404&lt;1,"1 yildan kam",IF(T404&lt;3,"1-3 yil","3 yildan ko'p"))</f>
        <v>1-3 yil</v>
      </c>
    </row>
    <row r="405" spans="1:23" x14ac:dyDescent="0.3">
      <c r="A405" t="s">
        <v>1043</v>
      </c>
      <c r="B405" t="s">
        <v>922</v>
      </c>
      <c r="C405" t="s">
        <v>20</v>
      </c>
      <c r="D405" s="5">
        <v>31906</v>
      </c>
      <c r="E405" s="5">
        <v>43209</v>
      </c>
      <c r="F405" t="s">
        <v>21</v>
      </c>
      <c r="G405" t="s">
        <v>22</v>
      </c>
      <c r="H405" t="s">
        <v>33</v>
      </c>
      <c r="I405" t="s">
        <v>24</v>
      </c>
      <c r="J405">
        <v>6220000</v>
      </c>
      <c r="K405">
        <v>4</v>
      </c>
      <c r="L405">
        <v>2</v>
      </c>
      <c r="M405">
        <v>0</v>
      </c>
      <c r="N405" t="s">
        <v>41</v>
      </c>
      <c r="O405" t="s">
        <v>26</v>
      </c>
      <c r="P405" t="s">
        <v>36</v>
      </c>
      <c r="Q405" s="5"/>
      <c r="S405">
        <f>DATEDIF(D405,DATE(2026,9,30),"Y")</f>
        <v>39</v>
      </c>
      <c r="T405" s="6">
        <f>(IF(Q405="",DATE(2026,9,30),Q405)-E405)/365.25</f>
        <v>8.4490075290896645</v>
      </c>
      <c r="U405" t="str">
        <f>_xlfn.XLOOKUP(Table1_1[[#This Row],[Bo''lim]],Bolimlar!A:A,Bolimlar!B:B,"Topilmadi")</f>
        <v>Jasur Yusupov</v>
      </c>
      <c r="V405">
        <f>IF(P405="Ha",1,0)</f>
        <v>0</v>
      </c>
      <c r="W405" t="str">
        <f>IF(T405&lt;1,"1 yildan kam",IF(T405&lt;3,"1-3 yil","3 yildan ko'p"))</f>
        <v>3 yildan ko'p</v>
      </c>
    </row>
    <row r="406" spans="1:23" x14ac:dyDescent="0.3">
      <c r="A406" t="s">
        <v>721</v>
      </c>
      <c r="B406" t="s">
        <v>492</v>
      </c>
      <c r="C406" t="s">
        <v>20</v>
      </c>
      <c r="D406" s="5">
        <v>32989</v>
      </c>
      <c r="E406" s="5">
        <v>44611</v>
      </c>
      <c r="F406" t="s">
        <v>245</v>
      </c>
      <c r="G406" t="s">
        <v>90</v>
      </c>
      <c r="H406" t="s">
        <v>68</v>
      </c>
      <c r="I406" t="s">
        <v>34</v>
      </c>
      <c r="J406">
        <v>6210000</v>
      </c>
      <c r="K406">
        <v>4</v>
      </c>
      <c r="L406">
        <v>3</v>
      </c>
      <c r="M406">
        <v>19</v>
      </c>
      <c r="N406" t="s">
        <v>41</v>
      </c>
      <c r="O406" t="s">
        <v>35</v>
      </c>
      <c r="P406" t="s">
        <v>36</v>
      </c>
      <c r="Q406" s="5"/>
      <c r="S406">
        <f>DATEDIF(D406,DATE(2026,9,30),"Y")</f>
        <v>36</v>
      </c>
      <c r="T406" s="6">
        <f>(IF(Q406="",DATE(2026,9,30),Q406)-E406)/365.25</f>
        <v>4.6105407255304582</v>
      </c>
      <c r="U406" t="str">
        <f>_xlfn.XLOOKUP(Table1_1[[#This Row],[Bo''lim]],Bolimlar!A:A,Bolimlar!B:B,"Topilmadi")</f>
        <v>Dilnoza Rahimova</v>
      </c>
      <c r="V406">
        <f>IF(P406="Ha",1,0)</f>
        <v>0</v>
      </c>
      <c r="W406" t="str">
        <f>IF(T406&lt;1,"1 yildan kam",IF(T406&lt;3,"1-3 yil","3 yildan ko'p"))</f>
        <v>3 yildan ko'p</v>
      </c>
    </row>
    <row r="407" spans="1:23" x14ac:dyDescent="0.3">
      <c r="A407" t="s">
        <v>1123</v>
      </c>
      <c r="B407" t="s">
        <v>157</v>
      </c>
      <c r="C407" t="s">
        <v>20</v>
      </c>
      <c r="D407" s="5">
        <v>35772</v>
      </c>
      <c r="E407" s="5">
        <v>45871</v>
      </c>
      <c r="F407" t="s">
        <v>21</v>
      </c>
      <c r="G407" t="s">
        <v>103</v>
      </c>
      <c r="H407" t="s">
        <v>33</v>
      </c>
      <c r="I407" t="s">
        <v>82</v>
      </c>
      <c r="J407">
        <v>6190000</v>
      </c>
      <c r="K407">
        <v>1</v>
      </c>
      <c r="L407">
        <v>2</v>
      </c>
      <c r="M407">
        <v>0</v>
      </c>
      <c r="N407" t="s">
        <v>41</v>
      </c>
      <c r="O407" t="s">
        <v>26</v>
      </c>
      <c r="P407" t="s">
        <v>36</v>
      </c>
      <c r="Q407" s="5"/>
      <c r="S407">
        <f>DATEDIF(D407,DATE(2026,9,30),"Y")</f>
        <v>28</v>
      </c>
      <c r="T407" s="6">
        <f>(IF(Q407="",DATE(2026,9,30),Q407)-E407)/365.25</f>
        <v>1.160848733744011</v>
      </c>
      <c r="U407" t="str">
        <f>_xlfn.XLOOKUP(Table1_1[[#This Row],[Bo''lim]],Bolimlar!A:A,Bolimlar!B:B,"Topilmadi")</f>
        <v>Jasur Yusupov</v>
      </c>
      <c r="V407">
        <f>IF(P407="Ha",1,0)</f>
        <v>0</v>
      </c>
      <c r="W407" t="str">
        <f>IF(T407&lt;1,"1 yildan kam",IF(T407&lt;3,"1-3 yil","3 yildan ko'p"))</f>
        <v>1-3 yil</v>
      </c>
    </row>
    <row r="408" spans="1:23" x14ac:dyDescent="0.3">
      <c r="A408" t="s">
        <v>426</v>
      </c>
      <c r="B408" t="s">
        <v>149</v>
      </c>
      <c r="C408" t="s">
        <v>31</v>
      </c>
      <c r="D408" s="5">
        <v>31102</v>
      </c>
      <c r="E408" s="5">
        <v>44683</v>
      </c>
      <c r="F408" t="s">
        <v>1226</v>
      </c>
      <c r="G408" t="s">
        <v>142</v>
      </c>
      <c r="H408" t="s">
        <v>68</v>
      </c>
      <c r="I408" t="s">
        <v>24</v>
      </c>
      <c r="J408">
        <v>6180000</v>
      </c>
      <c r="K408">
        <v>3</v>
      </c>
      <c r="L408">
        <v>2</v>
      </c>
      <c r="M408">
        <v>17</v>
      </c>
      <c r="N408" t="s">
        <v>25</v>
      </c>
      <c r="O408" t="s">
        <v>26</v>
      </c>
      <c r="P408" t="s">
        <v>27</v>
      </c>
      <c r="Q408" s="5">
        <v>46249</v>
      </c>
      <c r="R408" t="s">
        <v>401</v>
      </c>
      <c r="S408">
        <f>DATEDIF(D408,DATE(2026,9,30),"Y")</f>
        <v>41</v>
      </c>
      <c r="T408" s="6">
        <f>(IF(Q408="",DATE(2026,9,30),Q408)-E408)/365.25</f>
        <v>4.2874743326488707</v>
      </c>
      <c r="U408" t="str">
        <f>_xlfn.XLOOKUP(Table1_1[[#This Row],[Bo''lim]],Bolimlar!A:A,Bolimlar!B:B,"Topilmadi")</f>
        <v>Madina Abdullayeva</v>
      </c>
      <c r="V408">
        <f>IF(P408="Ha",1,0)</f>
        <v>1</v>
      </c>
      <c r="W408" t="str">
        <f>IF(T408&lt;1,"1 yildan kam",IF(T408&lt;3,"1-3 yil","3 yildan ko'p"))</f>
        <v>3 yildan ko'p</v>
      </c>
    </row>
    <row r="409" spans="1:23" x14ac:dyDescent="0.3">
      <c r="A409" t="s">
        <v>703</v>
      </c>
      <c r="B409" t="s">
        <v>398</v>
      </c>
      <c r="C409" t="s">
        <v>20</v>
      </c>
      <c r="D409" s="5">
        <v>31796</v>
      </c>
      <c r="E409" s="5">
        <v>45422</v>
      </c>
      <c r="F409" t="s">
        <v>1300</v>
      </c>
      <c r="G409" t="s">
        <v>93</v>
      </c>
      <c r="H409" t="s">
        <v>68</v>
      </c>
      <c r="I409" t="s">
        <v>82</v>
      </c>
      <c r="J409">
        <v>6170000</v>
      </c>
      <c r="K409">
        <v>4</v>
      </c>
      <c r="L409">
        <v>3</v>
      </c>
      <c r="M409">
        <v>17</v>
      </c>
      <c r="N409" t="s">
        <v>25</v>
      </c>
      <c r="O409" t="s">
        <v>26</v>
      </c>
      <c r="P409" t="s">
        <v>36</v>
      </c>
      <c r="Q409" s="5"/>
      <c r="S409">
        <f>DATEDIF(D409,DATE(2026,9,30),"Y")</f>
        <v>39</v>
      </c>
      <c r="T409" s="6">
        <f>(IF(Q409="",DATE(2026,9,30),Q409)-E409)/365.25</f>
        <v>2.3901437371663246</v>
      </c>
      <c r="U409" t="str">
        <f>_xlfn.XLOOKUP(Table1_1[[#This Row],[Bo''lim]],Bolimlar!A:A,Bolimlar!B:B,"Topilmadi")</f>
        <v>Shahlo Ismoilova</v>
      </c>
      <c r="V409">
        <f>IF(P409="Ha",1,0)</f>
        <v>0</v>
      </c>
      <c r="W409" t="str">
        <f>IF(T409&lt;1,"1 yildan kam",IF(T409&lt;3,"1-3 yil","3 yildan ko'p"))</f>
        <v>1-3 yil</v>
      </c>
    </row>
    <row r="410" spans="1:23" x14ac:dyDescent="0.3">
      <c r="A410" t="s">
        <v>1055</v>
      </c>
      <c r="B410" t="s">
        <v>318</v>
      </c>
      <c r="C410" t="s">
        <v>31</v>
      </c>
      <c r="D410" s="5">
        <v>32180</v>
      </c>
      <c r="E410" s="5">
        <v>46262</v>
      </c>
      <c r="F410" t="s">
        <v>1300</v>
      </c>
      <c r="G410" t="s">
        <v>52</v>
      </c>
      <c r="H410" t="s">
        <v>68</v>
      </c>
      <c r="I410" t="s">
        <v>24</v>
      </c>
      <c r="J410">
        <v>6170000</v>
      </c>
      <c r="K410">
        <v>5</v>
      </c>
      <c r="L410">
        <v>4</v>
      </c>
      <c r="M410">
        <v>25</v>
      </c>
      <c r="N410" t="s">
        <v>25</v>
      </c>
      <c r="O410" t="s">
        <v>35</v>
      </c>
      <c r="P410" t="s">
        <v>36</v>
      </c>
      <c r="Q410" s="5"/>
      <c r="S410">
        <f>DATEDIF(D410,DATE(2026,9,30),"Y")</f>
        <v>38</v>
      </c>
      <c r="T410" s="6">
        <f>(IF(Q410="",DATE(2026,9,30),Q410)-E410)/365.25</f>
        <v>9.034907597535935E-2</v>
      </c>
      <c r="U410" t="str">
        <f>_xlfn.XLOOKUP(Table1_1[[#This Row],[Bo''lim]],Bolimlar!A:A,Bolimlar!B:B,"Topilmadi")</f>
        <v>Shahlo Ismoilova</v>
      </c>
      <c r="V410">
        <f>IF(P410="Ha",1,0)</f>
        <v>0</v>
      </c>
      <c r="W410" t="str">
        <f>IF(T410&lt;1,"1 yildan kam",IF(T410&lt;3,"1-3 yil","3 yildan ko'p"))</f>
        <v>1 yildan kam</v>
      </c>
    </row>
    <row r="411" spans="1:23" x14ac:dyDescent="0.3">
      <c r="A411" t="s">
        <v>387</v>
      </c>
      <c r="B411" t="s">
        <v>388</v>
      </c>
      <c r="C411" t="s">
        <v>20</v>
      </c>
      <c r="D411" s="5">
        <v>37603</v>
      </c>
      <c r="E411" s="5">
        <v>45423</v>
      </c>
      <c r="F411" t="s">
        <v>1300</v>
      </c>
      <c r="G411" t="s">
        <v>93</v>
      </c>
      <c r="H411" t="s">
        <v>68</v>
      </c>
      <c r="I411" t="s">
        <v>24</v>
      </c>
      <c r="J411">
        <v>6160000</v>
      </c>
      <c r="K411">
        <v>1</v>
      </c>
      <c r="L411">
        <v>2</v>
      </c>
      <c r="M411">
        <v>39</v>
      </c>
      <c r="N411" t="s">
        <v>41</v>
      </c>
      <c r="O411" t="s">
        <v>53</v>
      </c>
      <c r="P411" t="s">
        <v>27</v>
      </c>
      <c r="Q411" s="5">
        <v>45765</v>
      </c>
      <c r="R411" t="s">
        <v>111</v>
      </c>
      <c r="S411">
        <f>DATEDIF(D411,DATE(2026,9,30),"Y")</f>
        <v>23</v>
      </c>
      <c r="T411" s="6">
        <f>(IF(Q411="",DATE(2026,9,30),Q411)-E411)/365.25</f>
        <v>0.93634496919917864</v>
      </c>
      <c r="U411" t="str">
        <f>_xlfn.XLOOKUP(Table1_1[[#This Row],[Bo''lim]],Bolimlar!A:A,Bolimlar!B:B,"Topilmadi")</f>
        <v>Shahlo Ismoilova</v>
      </c>
      <c r="V411">
        <f>IF(P411="Ha",1,0)</f>
        <v>1</v>
      </c>
      <c r="W411" t="str">
        <f>IF(T411&lt;1,"1 yildan kam",IF(T411&lt;3,"1-3 yil","3 yildan ko'p"))</f>
        <v>1 yildan kam</v>
      </c>
    </row>
    <row r="412" spans="1:23" x14ac:dyDescent="0.3">
      <c r="A412" t="s">
        <v>993</v>
      </c>
      <c r="B412" t="s">
        <v>655</v>
      </c>
      <c r="C412" t="s">
        <v>20</v>
      </c>
      <c r="D412" s="5">
        <v>36209</v>
      </c>
      <c r="E412" s="5">
        <v>45264</v>
      </c>
      <c r="F412" t="s">
        <v>1035</v>
      </c>
      <c r="G412" t="s">
        <v>65</v>
      </c>
      <c r="H412" t="s">
        <v>68</v>
      </c>
      <c r="I412" t="s">
        <v>24</v>
      </c>
      <c r="J412">
        <v>6160000</v>
      </c>
      <c r="K412">
        <v>4</v>
      </c>
      <c r="L412">
        <v>4</v>
      </c>
      <c r="M412">
        <v>15</v>
      </c>
      <c r="N412" t="s">
        <v>41</v>
      </c>
      <c r="P412" t="s">
        <v>36</v>
      </c>
      <c r="Q412" s="5"/>
      <c r="S412">
        <f>DATEDIF(D412,DATE(2026,9,30),"Y")</f>
        <v>27</v>
      </c>
      <c r="T412" s="6">
        <f>(IF(Q412="",DATE(2026,9,30),Q412)-E412)/365.25</f>
        <v>2.8227241615331966</v>
      </c>
      <c r="U412" t="str">
        <f>_xlfn.XLOOKUP(Table1_1[[#This Row],[Bo''lim]],Bolimlar!A:A,Bolimlar!B:B,"Topilmadi")</f>
        <v>Aziz Karimov</v>
      </c>
      <c r="V412">
        <f>IF(P412="Ha",1,0)</f>
        <v>0</v>
      </c>
      <c r="W412" t="str">
        <f>IF(T412&lt;1,"1 yildan kam",IF(T412&lt;3,"1-3 yil","3 yildan ko'p"))</f>
        <v>1-3 yil</v>
      </c>
    </row>
    <row r="413" spans="1:23" x14ac:dyDescent="0.3">
      <c r="A413" t="s">
        <v>1048</v>
      </c>
      <c r="B413" t="s">
        <v>556</v>
      </c>
      <c r="C413" t="s">
        <v>31</v>
      </c>
      <c r="D413" s="5">
        <v>38756</v>
      </c>
      <c r="E413" s="5">
        <v>46177</v>
      </c>
      <c r="F413" t="s">
        <v>1300</v>
      </c>
      <c r="G413" t="s">
        <v>93</v>
      </c>
      <c r="H413" t="s">
        <v>68</v>
      </c>
      <c r="I413" t="s">
        <v>24</v>
      </c>
      <c r="J413">
        <v>6160000</v>
      </c>
      <c r="K413">
        <v>4</v>
      </c>
      <c r="L413">
        <v>3</v>
      </c>
      <c r="M413">
        <v>15</v>
      </c>
      <c r="N413" t="s">
        <v>41</v>
      </c>
      <c r="O413" t="s">
        <v>26</v>
      </c>
      <c r="P413" t="s">
        <v>36</v>
      </c>
      <c r="Q413" s="5"/>
      <c r="S413">
        <f>DATEDIF(D413,DATE(2026,9,30),"Y")</f>
        <v>20</v>
      </c>
      <c r="T413" s="6">
        <f>(IF(Q413="",DATE(2026,9,30),Q413)-E413)/365.25</f>
        <v>0.32306639288158795</v>
      </c>
      <c r="U413" t="str">
        <f>_xlfn.XLOOKUP(Table1_1[[#This Row],[Bo''lim]],Bolimlar!A:A,Bolimlar!B:B,"Topilmadi")</f>
        <v>Shahlo Ismoilova</v>
      </c>
      <c r="V413">
        <f>IF(P413="Ha",1,0)</f>
        <v>0</v>
      </c>
      <c r="W413" t="str">
        <f>IF(T413&lt;1,"1 yildan kam",IF(T413&lt;3,"1-3 yil","3 yildan ko'p"))</f>
        <v>1 yildan kam</v>
      </c>
    </row>
    <row r="414" spans="1:23" x14ac:dyDescent="0.3">
      <c r="A414" t="s">
        <v>379</v>
      </c>
      <c r="B414" t="s">
        <v>75</v>
      </c>
      <c r="C414" t="s">
        <v>31</v>
      </c>
      <c r="D414" s="5">
        <v>28403</v>
      </c>
      <c r="E414" s="5">
        <v>44997</v>
      </c>
      <c r="F414" t="s">
        <v>1035</v>
      </c>
      <c r="G414" t="s">
        <v>79</v>
      </c>
      <c r="H414" t="s">
        <v>68</v>
      </c>
      <c r="I414" t="s">
        <v>44</v>
      </c>
      <c r="J414">
        <v>6140000</v>
      </c>
      <c r="K414">
        <v>5</v>
      </c>
      <c r="L414">
        <v>3</v>
      </c>
      <c r="M414">
        <v>10</v>
      </c>
      <c r="N414" t="s">
        <v>88</v>
      </c>
      <c r="O414" t="s">
        <v>26</v>
      </c>
      <c r="P414" t="s">
        <v>36</v>
      </c>
      <c r="Q414" s="5"/>
      <c r="S414">
        <f>DATEDIF(D414,DATE(2026,9,30),"Y")</f>
        <v>48</v>
      </c>
      <c r="T414" s="6">
        <f>(IF(Q414="",DATE(2026,9,30),Q414)-E414)/365.25</f>
        <v>3.5537303216974676</v>
      </c>
      <c r="U414" t="str">
        <f>_xlfn.XLOOKUP(Table1_1[[#This Row],[Bo''lim]],Bolimlar!A:A,Bolimlar!B:B,"Topilmadi")</f>
        <v>Aziz Karimov</v>
      </c>
      <c r="V414">
        <f>IF(P414="Ha",1,0)</f>
        <v>0</v>
      </c>
      <c r="W414" t="str">
        <f>IF(T414&lt;1,"1 yildan kam",IF(T414&lt;3,"1-3 yil","3 yildan ko'p"))</f>
        <v>3 yildan ko'p</v>
      </c>
    </row>
    <row r="415" spans="1:23" x14ac:dyDescent="0.3">
      <c r="A415" t="s">
        <v>561</v>
      </c>
      <c r="B415" t="s">
        <v>413</v>
      </c>
      <c r="C415" t="s">
        <v>20</v>
      </c>
      <c r="D415" s="5">
        <v>36455</v>
      </c>
      <c r="E415" s="5">
        <v>45208</v>
      </c>
      <c r="F415" t="s">
        <v>1035</v>
      </c>
      <c r="G415" t="s">
        <v>73</v>
      </c>
      <c r="H415" t="s">
        <v>68</v>
      </c>
      <c r="I415" t="s">
        <v>24</v>
      </c>
      <c r="J415">
        <v>6140000</v>
      </c>
      <c r="K415">
        <v>2</v>
      </c>
      <c r="L415">
        <v>5</v>
      </c>
      <c r="M415">
        <v>17</v>
      </c>
      <c r="N415" t="s">
        <v>25</v>
      </c>
      <c r="O415" t="s">
        <v>26</v>
      </c>
      <c r="P415" t="s">
        <v>36</v>
      </c>
      <c r="Q415" s="5"/>
      <c r="S415">
        <f>DATEDIF(D415,DATE(2026,9,30),"Y")</f>
        <v>26</v>
      </c>
      <c r="T415" s="6">
        <f>(IF(Q415="",DATE(2026,9,30),Q415)-E415)/365.25</f>
        <v>2.9760438056125942</v>
      </c>
      <c r="U415" t="str">
        <f>_xlfn.XLOOKUP(Table1_1[[#This Row],[Bo''lim]],Bolimlar!A:A,Bolimlar!B:B,"Topilmadi")</f>
        <v>Aziz Karimov</v>
      </c>
      <c r="V415">
        <f>IF(P415="Ha",1,0)</f>
        <v>0</v>
      </c>
      <c r="W415" t="str">
        <f>IF(T415&lt;1,"1 yildan kam",IF(T415&lt;3,"1-3 yil","3 yildan ko'p"))</f>
        <v>1-3 yil</v>
      </c>
    </row>
    <row r="416" spans="1:23" x14ac:dyDescent="0.3">
      <c r="A416" t="s">
        <v>764</v>
      </c>
      <c r="B416" t="s">
        <v>674</v>
      </c>
      <c r="C416" t="s">
        <v>31</v>
      </c>
      <c r="D416" s="5">
        <v>31850</v>
      </c>
      <c r="E416" s="5">
        <v>43590</v>
      </c>
      <c r="F416" t="s">
        <v>21</v>
      </c>
      <c r="G416" t="s">
        <v>32</v>
      </c>
      <c r="H416" t="s">
        <v>33</v>
      </c>
      <c r="I416" t="s">
        <v>34</v>
      </c>
      <c r="J416">
        <v>6110000</v>
      </c>
      <c r="K416">
        <v>4</v>
      </c>
      <c r="L416">
        <v>3</v>
      </c>
      <c r="M416">
        <v>6</v>
      </c>
      <c r="N416" t="s">
        <v>41</v>
      </c>
      <c r="O416" t="s">
        <v>26</v>
      </c>
      <c r="P416" t="s">
        <v>36</v>
      </c>
      <c r="Q416" s="5"/>
      <c r="S416">
        <f>DATEDIF(D416,DATE(2026,9,30),"Y")</f>
        <v>39</v>
      </c>
      <c r="T416" s="6">
        <f>(IF(Q416="",DATE(2026,9,30),Q416)-E416)/365.25</f>
        <v>7.4058863791923342</v>
      </c>
      <c r="U416" t="str">
        <f>_xlfn.XLOOKUP(Table1_1[[#This Row],[Bo''lim]],Bolimlar!A:A,Bolimlar!B:B,"Topilmadi")</f>
        <v>Jasur Yusupov</v>
      </c>
      <c r="V416">
        <f>IF(P416="Ha",1,0)</f>
        <v>0</v>
      </c>
      <c r="W416" t="str">
        <f>IF(T416&lt;1,"1 yildan kam",IF(T416&lt;3,"1-3 yil","3 yildan ko'p"))</f>
        <v>3 yildan ko'p</v>
      </c>
    </row>
    <row r="417" spans="1:23" x14ac:dyDescent="0.3">
      <c r="A417" t="s">
        <v>452</v>
      </c>
      <c r="B417" t="s">
        <v>453</v>
      </c>
      <c r="C417" t="s">
        <v>20</v>
      </c>
      <c r="D417" s="5">
        <v>35284</v>
      </c>
      <c r="E417" s="5">
        <v>45508</v>
      </c>
      <c r="F417" t="s">
        <v>484</v>
      </c>
      <c r="G417" t="s">
        <v>150</v>
      </c>
      <c r="H417" t="s">
        <v>68</v>
      </c>
      <c r="I417" t="s">
        <v>96</v>
      </c>
      <c r="J417">
        <v>6090000</v>
      </c>
      <c r="K417">
        <v>3</v>
      </c>
      <c r="L417">
        <v>4</v>
      </c>
      <c r="M417">
        <v>39</v>
      </c>
      <c r="N417" t="s">
        <v>41</v>
      </c>
      <c r="O417" t="s">
        <v>26</v>
      </c>
      <c r="P417" t="s">
        <v>36</v>
      </c>
      <c r="Q417" s="5"/>
      <c r="S417">
        <f>DATEDIF(D417,DATE(2026,9,30),"Y")</f>
        <v>30</v>
      </c>
      <c r="T417" s="6">
        <f>(IF(Q417="",DATE(2026,9,30),Q417)-E417)/365.25</f>
        <v>2.1546885694729636</v>
      </c>
      <c r="U417" t="str">
        <f>_xlfn.XLOOKUP(Table1_1[[#This Row],[Bo''lim]],Bolimlar!A:A,Bolimlar!B:B,"Topilmadi")</f>
        <v>Sardor Nazarov</v>
      </c>
      <c r="V417">
        <f>IF(P417="Ha",1,0)</f>
        <v>0</v>
      </c>
      <c r="W417" t="str">
        <f>IF(T417&lt;1,"1 yildan kam",IF(T417&lt;3,"1-3 yil","3 yildan ko'p"))</f>
        <v>1-3 yil</v>
      </c>
    </row>
    <row r="418" spans="1:23" x14ac:dyDescent="0.3">
      <c r="A418" t="s">
        <v>829</v>
      </c>
      <c r="B418" t="s">
        <v>830</v>
      </c>
      <c r="C418" t="s">
        <v>20</v>
      </c>
      <c r="D418" s="5">
        <v>38750</v>
      </c>
      <c r="E418" s="5">
        <v>46090</v>
      </c>
      <c r="F418" t="s">
        <v>21</v>
      </c>
      <c r="G418" t="s">
        <v>32</v>
      </c>
      <c r="H418" t="s">
        <v>33</v>
      </c>
      <c r="I418" t="s">
        <v>34</v>
      </c>
      <c r="J418">
        <v>6080000</v>
      </c>
      <c r="K418">
        <v>4</v>
      </c>
      <c r="L418">
        <v>4</v>
      </c>
      <c r="M418">
        <v>6</v>
      </c>
      <c r="N418" t="s">
        <v>41</v>
      </c>
      <c r="O418" t="s">
        <v>35</v>
      </c>
      <c r="P418" t="s">
        <v>27</v>
      </c>
      <c r="Q418" s="5">
        <v>46236</v>
      </c>
      <c r="R418" t="s">
        <v>155</v>
      </c>
      <c r="S418">
        <f>DATEDIF(D418,DATE(2026,9,30),"Y")</f>
        <v>20</v>
      </c>
      <c r="T418" s="6">
        <f>(IF(Q418="",DATE(2026,9,30),Q418)-E418)/365.25</f>
        <v>0.39972621492128679</v>
      </c>
      <c r="U418" t="str">
        <f>_xlfn.XLOOKUP(Table1_1[[#This Row],[Bo''lim]],Bolimlar!A:A,Bolimlar!B:B,"Topilmadi")</f>
        <v>Jasur Yusupov</v>
      </c>
      <c r="V418">
        <f>IF(P418="Ha",1,0)</f>
        <v>1</v>
      </c>
      <c r="W418" t="str">
        <f>IF(T418&lt;1,"1 yildan kam",IF(T418&lt;3,"1-3 yil","3 yildan ko'p"))</f>
        <v>1 yildan kam</v>
      </c>
    </row>
    <row r="419" spans="1:23" x14ac:dyDescent="0.3">
      <c r="A419" t="s">
        <v>261</v>
      </c>
      <c r="B419" t="s">
        <v>262</v>
      </c>
      <c r="C419" t="s">
        <v>20</v>
      </c>
      <c r="D419" s="5">
        <v>32973</v>
      </c>
      <c r="E419" s="5">
        <v>43658</v>
      </c>
      <c r="F419" t="s">
        <v>39</v>
      </c>
      <c r="G419" t="s">
        <v>40</v>
      </c>
      <c r="H419" t="s">
        <v>68</v>
      </c>
      <c r="I419" t="s">
        <v>24</v>
      </c>
      <c r="J419">
        <v>6070000</v>
      </c>
      <c r="K419">
        <v>4</v>
      </c>
      <c r="L419">
        <v>4</v>
      </c>
      <c r="M419">
        <v>27</v>
      </c>
      <c r="N419" t="s">
        <v>41</v>
      </c>
      <c r="O419" t="s">
        <v>26</v>
      </c>
      <c r="P419" t="s">
        <v>27</v>
      </c>
      <c r="Q419" s="5">
        <v>46021</v>
      </c>
      <c r="R419" t="s">
        <v>111</v>
      </c>
      <c r="S419">
        <f>DATEDIF(D419,DATE(2026,9,30),"Y")</f>
        <v>36</v>
      </c>
      <c r="T419" s="6">
        <f>(IF(Q419="",DATE(2026,9,30),Q419)-E419)/365.25</f>
        <v>6.4695414099931554</v>
      </c>
      <c r="U419" t="str">
        <f>_xlfn.XLOOKUP(Table1_1[[#This Row],[Bo''lim]],Bolimlar!A:A,Bolimlar!B:B,"Topilmadi")</f>
        <v>Nodira Tursunova</v>
      </c>
      <c r="V419">
        <f>IF(P419="Ha",1,0)</f>
        <v>1</v>
      </c>
      <c r="W419" t="str">
        <f>IF(T419&lt;1,"1 yildan kam",IF(T419&lt;3,"1-3 yil","3 yildan ko'p"))</f>
        <v>3 yildan ko'p</v>
      </c>
    </row>
    <row r="420" spans="1:23" x14ac:dyDescent="0.3">
      <c r="A420" t="s">
        <v>191</v>
      </c>
      <c r="B420" t="s">
        <v>192</v>
      </c>
      <c r="C420" t="s">
        <v>20</v>
      </c>
      <c r="D420" s="5">
        <v>36896</v>
      </c>
      <c r="E420" s="5">
        <v>44407</v>
      </c>
      <c r="F420" t="s">
        <v>1226</v>
      </c>
      <c r="G420" t="s">
        <v>57</v>
      </c>
      <c r="H420" t="s">
        <v>68</v>
      </c>
      <c r="I420" t="s">
        <v>34</v>
      </c>
      <c r="J420">
        <v>6060000</v>
      </c>
      <c r="K420">
        <v>3</v>
      </c>
      <c r="L420">
        <v>2</v>
      </c>
      <c r="M420">
        <v>16</v>
      </c>
      <c r="N420" t="s">
        <v>41</v>
      </c>
      <c r="O420" t="s">
        <v>26</v>
      </c>
      <c r="P420" t="s">
        <v>36</v>
      </c>
      <c r="Q420" s="5"/>
      <c r="S420">
        <f>DATEDIF(D420,DATE(2026,9,30),"Y")</f>
        <v>25</v>
      </c>
      <c r="T420" s="6">
        <f>(IF(Q420="",DATE(2026,9,30),Q420)-E420)/365.25</f>
        <v>5.1690622861054072</v>
      </c>
      <c r="U420" t="str">
        <f>_xlfn.XLOOKUP(Table1_1[[#This Row],[Bo''lim]],Bolimlar!A:A,Bolimlar!B:B,"Topilmadi")</f>
        <v>Madina Abdullayeva</v>
      </c>
      <c r="V420">
        <f>IF(P420="Ha",1,0)</f>
        <v>0</v>
      </c>
      <c r="W420" t="str">
        <f>IF(T420&lt;1,"1 yildan kam",IF(T420&lt;3,"1-3 yil","3 yildan ko'p"))</f>
        <v>3 yildan ko'p</v>
      </c>
    </row>
    <row r="421" spans="1:23" x14ac:dyDescent="0.3">
      <c r="A421" t="s">
        <v>458</v>
      </c>
      <c r="B421" t="s">
        <v>70</v>
      </c>
      <c r="C421" t="s">
        <v>31</v>
      </c>
      <c r="D421" s="5">
        <v>32021</v>
      </c>
      <c r="E421" s="5">
        <v>44476</v>
      </c>
      <c r="F421" t="s">
        <v>1300</v>
      </c>
      <c r="G421" t="s">
        <v>93</v>
      </c>
      <c r="H421" t="s">
        <v>68</v>
      </c>
      <c r="I421" t="s">
        <v>82</v>
      </c>
      <c r="J421">
        <v>6010000</v>
      </c>
      <c r="K421">
        <v>3</v>
      </c>
      <c r="L421">
        <v>4</v>
      </c>
      <c r="M421">
        <v>18</v>
      </c>
      <c r="N421" t="s">
        <v>41</v>
      </c>
      <c r="O421" t="s">
        <v>26</v>
      </c>
      <c r="P421" t="s">
        <v>36</v>
      </c>
      <c r="Q421" s="5"/>
      <c r="S421">
        <f>DATEDIF(D421,DATE(2026,9,30),"Y")</f>
        <v>39</v>
      </c>
      <c r="T421" s="6">
        <f>(IF(Q421="",DATE(2026,9,30),Q421)-E421)/365.25</f>
        <v>4.9801505817932918</v>
      </c>
      <c r="U421" t="str">
        <f>_xlfn.XLOOKUP(Table1_1[[#This Row],[Bo''lim]],Bolimlar!A:A,Bolimlar!B:B,"Topilmadi")</f>
        <v>Shahlo Ismoilova</v>
      </c>
      <c r="V421">
        <f>IF(P421="Ha",1,0)</f>
        <v>0</v>
      </c>
      <c r="W421" t="str">
        <f>IF(T421&lt;1,"1 yildan kam",IF(T421&lt;3,"1-3 yil","3 yildan ko'p"))</f>
        <v>3 yildan ko'p</v>
      </c>
    </row>
    <row r="422" spans="1:23" x14ac:dyDescent="0.3">
      <c r="A422" t="s">
        <v>207</v>
      </c>
      <c r="B422" t="s">
        <v>208</v>
      </c>
      <c r="C422" t="s">
        <v>20</v>
      </c>
      <c r="D422" s="5">
        <v>31610</v>
      </c>
      <c r="E422" s="5">
        <v>42694</v>
      </c>
      <c r="F422" t="s">
        <v>1300</v>
      </c>
      <c r="G422" t="s">
        <v>52</v>
      </c>
      <c r="H422" t="s">
        <v>68</v>
      </c>
      <c r="I422" t="s">
        <v>24</v>
      </c>
      <c r="J422">
        <v>5990000</v>
      </c>
      <c r="K422">
        <v>4</v>
      </c>
      <c r="L422">
        <v>4</v>
      </c>
      <c r="M422">
        <v>22</v>
      </c>
      <c r="N422" t="s">
        <v>25</v>
      </c>
      <c r="O422" t="s">
        <v>35</v>
      </c>
      <c r="P422" t="s">
        <v>36</v>
      </c>
      <c r="Q422" s="5"/>
      <c r="S422">
        <f>DATEDIF(D422,DATE(2026,9,30),"Y")</f>
        <v>40</v>
      </c>
      <c r="T422" s="6">
        <f>(IF(Q422="",DATE(2026,9,30),Q422)-E422)/365.25</f>
        <v>9.8590006844626963</v>
      </c>
      <c r="U422" t="str">
        <f>_xlfn.XLOOKUP(Table1_1[[#This Row],[Bo''lim]],Bolimlar!A:A,Bolimlar!B:B,"Topilmadi")</f>
        <v>Shahlo Ismoilova</v>
      </c>
      <c r="V422">
        <f>IF(P422="Ha",1,0)</f>
        <v>0</v>
      </c>
      <c r="W422" t="str">
        <f>IF(T422&lt;1,"1 yildan kam",IF(T422&lt;3,"1-3 yil","3 yildan ko'p"))</f>
        <v>3 yildan ko'p</v>
      </c>
    </row>
    <row r="423" spans="1:23" x14ac:dyDescent="0.3">
      <c r="A423" t="s">
        <v>252</v>
      </c>
      <c r="B423" t="s">
        <v>102</v>
      </c>
      <c r="C423" t="s">
        <v>20</v>
      </c>
      <c r="D423" s="5">
        <v>34737</v>
      </c>
      <c r="E423" s="5">
        <v>43987</v>
      </c>
      <c r="F423" t="s">
        <v>1300</v>
      </c>
      <c r="G423" t="s">
        <v>93</v>
      </c>
      <c r="H423" t="s">
        <v>68</v>
      </c>
      <c r="I423" t="s">
        <v>82</v>
      </c>
      <c r="J423">
        <v>5990000</v>
      </c>
      <c r="K423">
        <v>3</v>
      </c>
      <c r="L423">
        <v>4</v>
      </c>
      <c r="M423">
        <v>7</v>
      </c>
      <c r="N423" t="s">
        <v>41</v>
      </c>
      <c r="O423" t="s">
        <v>35</v>
      </c>
      <c r="P423" t="s">
        <v>36</v>
      </c>
      <c r="Q423" s="5"/>
      <c r="S423">
        <f>DATEDIF(D423,DATE(2026,9,30),"Y")</f>
        <v>31</v>
      </c>
      <c r="T423" s="6">
        <f>(IF(Q423="",DATE(2026,9,30),Q423)-E423)/365.25</f>
        <v>6.3189596167008899</v>
      </c>
      <c r="U423" t="str">
        <f>_xlfn.XLOOKUP(Table1_1[[#This Row],[Bo''lim]],Bolimlar!A:A,Bolimlar!B:B,"Topilmadi")</f>
        <v>Shahlo Ismoilova</v>
      </c>
      <c r="V423">
        <f>IF(P423="Ha",1,0)</f>
        <v>0</v>
      </c>
      <c r="W423" t="str">
        <f>IF(T423&lt;1,"1 yildan kam",IF(T423&lt;3,"1-3 yil","3 yildan ko'p"))</f>
        <v>3 yildan ko'p</v>
      </c>
    </row>
    <row r="424" spans="1:23" x14ac:dyDescent="0.3">
      <c r="A424" t="s">
        <v>584</v>
      </c>
      <c r="B424" t="s">
        <v>239</v>
      </c>
      <c r="C424" t="s">
        <v>20</v>
      </c>
      <c r="D424" s="5">
        <v>35617</v>
      </c>
      <c r="E424" s="5">
        <v>46129</v>
      </c>
      <c r="F424" t="s">
        <v>1300</v>
      </c>
      <c r="G424" t="s">
        <v>52</v>
      </c>
      <c r="H424" t="s">
        <v>68</v>
      </c>
      <c r="I424" t="s">
        <v>206</v>
      </c>
      <c r="J424">
        <v>5980000</v>
      </c>
      <c r="K424">
        <v>2</v>
      </c>
      <c r="L424">
        <v>3</v>
      </c>
      <c r="M424">
        <v>9</v>
      </c>
      <c r="N424" t="s">
        <v>41</v>
      </c>
      <c r="O424" t="s">
        <v>53</v>
      </c>
      <c r="P424" t="s">
        <v>27</v>
      </c>
      <c r="Q424" s="5">
        <v>46201</v>
      </c>
      <c r="R424" t="s">
        <v>61</v>
      </c>
      <c r="S424">
        <f>DATEDIF(D424,DATE(2026,9,30),"Y")</f>
        <v>29</v>
      </c>
      <c r="T424" s="6">
        <f>(IF(Q424="",DATE(2026,9,30),Q424)-E424)/365.25</f>
        <v>0.1971252566735113</v>
      </c>
      <c r="U424" t="str">
        <f>_xlfn.XLOOKUP(Table1_1[[#This Row],[Bo''lim]],Bolimlar!A:A,Bolimlar!B:B,"Topilmadi")</f>
        <v>Shahlo Ismoilova</v>
      </c>
      <c r="V424">
        <f>IF(P424="Ha",1,0)</f>
        <v>1</v>
      </c>
      <c r="W424" t="str">
        <f>IF(T424&lt;1,"1 yildan kam",IF(T424&lt;3,"1-3 yil","3 yildan ko'p"))</f>
        <v>1 yildan kam</v>
      </c>
    </row>
    <row r="425" spans="1:23" x14ac:dyDescent="0.3">
      <c r="A425" t="s">
        <v>361</v>
      </c>
      <c r="B425" t="s">
        <v>362</v>
      </c>
      <c r="C425" t="s">
        <v>20</v>
      </c>
      <c r="D425" s="5">
        <v>33163</v>
      </c>
      <c r="E425" s="5">
        <v>44119</v>
      </c>
      <c r="F425" t="s">
        <v>1035</v>
      </c>
      <c r="G425" t="s">
        <v>65</v>
      </c>
      <c r="H425" t="s">
        <v>68</v>
      </c>
      <c r="I425" t="s">
        <v>24</v>
      </c>
      <c r="J425">
        <v>5960000</v>
      </c>
      <c r="K425">
        <v>4</v>
      </c>
      <c r="L425">
        <v>2</v>
      </c>
      <c r="M425">
        <v>8</v>
      </c>
      <c r="N425" t="s">
        <v>25</v>
      </c>
      <c r="O425" t="s">
        <v>35</v>
      </c>
      <c r="P425" t="s">
        <v>27</v>
      </c>
      <c r="Q425" s="5">
        <v>46137</v>
      </c>
      <c r="R425" t="s">
        <v>155</v>
      </c>
      <c r="S425">
        <f>DATEDIF(D425,DATE(2026,9,30),"Y")</f>
        <v>35</v>
      </c>
      <c r="T425" s="6">
        <f>(IF(Q425="",DATE(2026,9,30),Q425)-E425)/365.25</f>
        <v>5.5249828884325805</v>
      </c>
      <c r="U425" t="str">
        <f>_xlfn.XLOOKUP(Table1_1[[#This Row],[Bo''lim]],Bolimlar!A:A,Bolimlar!B:B,"Topilmadi")</f>
        <v>Aziz Karimov</v>
      </c>
      <c r="V425">
        <f>IF(P425="Ha",1,0)</f>
        <v>1</v>
      </c>
      <c r="W425" t="str">
        <f>IF(T425&lt;1,"1 yildan kam",IF(T425&lt;3,"1-3 yil","3 yildan ko'p"))</f>
        <v>3 yildan ko'p</v>
      </c>
    </row>
    <row r="426" spans="1:23" x14ac:dyDescent="0.3">
      <c r="A426" t="s">
        <v>391</v>
      </c>
      <c r="B426" t="s">
        <v>392</v>
      </c>
      <c r="C426" t="s">
        <v>31</v>
      </c>
      <c r="D426" s="5">
        <v>34457</v>
      </c>
      <c r="E426" s="5">
        <v>44493</v>
      </c>
      <c r="F426" t="s">
        <v>1300</v>
      </c>
      <c r="G426" t="s">
        <v>93</v>
      </c>
      <c r="H426" t="s">
        <v>68</v>
      </c>
      <c r="I426" t="s">
        <v>34</v>
      </c>
      <c r="J426">
        <v>5960000</v>
      </c>
      <c r="K426">
        <v>3</v>
      </c>
      <c r="L426">
        <v>1</v>
      </c>
      <c r="M426">
        <v>10</v>
      </c>
      <c r="N426" t="s">
        <v>25</v>
      </c>
      <c r="O426" t="s">
        <v>26</v>
      </c>
      <c r="P426" t="s">
        <v>36</v>
      </c>
      <c r="Q426" s="5"/>
      <c r="S426">
        <f>DATEDIF(D426,DATE(2026,9,30),"Y")</f>
        <v>32</v>
      </c>
      <c r="T426" s="6">
        <f>(IF(Q426="",DATE(2026,9,30),Q426)-E426)/365.25</f>
        <v>4.9336071184120467</v>
      </c>
      <c r="U426" t="str">
        <f>_xlfn.XLOOKUP(Table1_1[[#This Row],[Bo''lim]],Bolimlar!A:A,Bolimlar!B:B,"Topilmadi")</f>
        <v>Shahlo Ismoilova</v>
      </c>
      <c r="V426">
        <f>IF(P426="Ha",1,0)</f>
        <v>0</v>
      </c>
      <c r="W426" t="str">
        <f>IF(T426&lt;1,"1 yildan kam",IF(T426&lt;3,"1-3 yil","3 yildan ko'p"))</f>
        <v>3 yildan ko'p</v>
      </c>
    </row>
    <row r="427" spans="1:23" x14ac:dyDescent="0.3">
      <c r="A427" t="s">
        <v>1200</v>
      </c>
      <c r="B427" t="s">
        <v>863</v>
      </c>
      <c r="C427" t="s">
        <v>20</v>
      </c>
      <c r="D427" s="5">
        <v>30963</v>
      </c>
      <c r="E427" s="5">
        <v>43529</v>
      </c>
      <c r="F427" t="s">
        <v>21</v>
      </c>
      <c r="G427" t="s">
        <v>32</v>
      </c>
      <c r="H427" t="s">
        <v>33</v>
      </c>
      <c r="I427" t="s">
        <v>34</v>
      </c>
      <c r="J427">
        <v>5960000</v>
      </c>
      <c r="K427">
        <v>4</v>
      </c>
      <c r="L427">
        <v>3</v>
      </c>
      <c r="M427">
        <v>15</v>
      </c>
      <c r="N427" t="s">
        <v>25</v>
      </c>
      <c r="O427" t="s">
        <v>35</v>
      </c>
      <c r="P427" t="s">
        <v>36</v>
      </c>
      <c r="Q427" s="5"/>
      <c r="S427">
        <f>DATEDIF(D427,DATE(2026,9,30),"Y")</f>
        <v>41</v>
      </c>
      <c r="T427" s="6">
        <f>(IF(Q427="",DATE(2026,9,30),Q427)-E427)/365.25</f>
        <v>7.5728952772073921</v>
      </c>
      <c r="U427" t="str">
        <f>_xlfn.XLOOKUP(Table1_1[[#This Row],[Bo''lim]],Bolimlar!A:A,Bolimlar!B:B,"Topilmadi")</f>
        <v>Jasur Yusupov</v>
      </c>
      <c r="V427">
        <f>IF(P427="Ha",1,0)</f>
        <v>0</v>
      </c>
      <c r="W427" t="str">
        <f>IF(T427&lt;1,"1 yildan kam",IF(T427&lt;3,"1-3 yil","3 yildan ko'p"))</f>
        <v>3 yildan ko'p</v>
      </c>
    </row>
    <row r="428" spans="1:23" x14ac:dyDescent="0.3">
      <c r="A428" t="s">
        <v>745</v>
      </c>
      <c r="B428" t="s">
        <v>746</v>
      </c>
      <c r="C428" t="s">
        <v>20</v>
      </c>
      <c r="D428" s="5">
        <v>36928</v>
      </c>
      <c r="E428" s="5">
        <v>46115</v>
      </c>
      <c r="F428" t="s">
        <v>484</v>
      </c>
      <c r="G428" t="s">
        <v>150</v>
      </c>
      <c r="H428" t="s">
        <v>68</v>
      </c>
      <c r="I428" t="s">
        <v>24</v>
      </c>
      <c r="J428">
        <v>5950000</v>
      </c>
      <c r="K428">
        <v>2</v>
      </c>
      <c r="L428">
        <v>4</v>
      </c>
      <c r="M428">
        <v>19</v>
      </c>
      <c r="N428" t="s">
        <v>41</v>
      </c>
      <c r="O428" t="s">
        <v>26</v>
      </c>
      <c r="P428" t="s">
        <v>36</v>
      </c>
      <c r="Q428" s="5"/>
      <c r="S428">
        <f>DATEDIF(D428,DATE(2026,9,30),"Y")</f>
        <v>25</v>
      </c>
      <c r="T428" s="6">
        <f>(IF(Q428="",DATE(2026,9,30),Q428)-E428)/365.25</f>
        <v>0.49281314168377821</v>
      </c>
      <c r="U428" t="str">
        <f>_xlfn.XLOOKUP(Table1_1[[#This Row],[Bo''lim]],Bolimlar!A:A,Bolimlar!B:B,"Topilmadi")</f>
        <v>Sardor Nazarov</v>
      </c>
      <c r="V428">
        <f>IF(P428="Ha",1,0)</f>
        <v>0</v>
      </c>
      <c r="W428" t="str">
        <f>IF(T428&lt;1,"1 yildan kam",IF(T428&lt;3,"1-3 yil","3 yildan ko'p"))</f>
        <v>1 yildan kam</v>
      </c>
    </row>
    <row r="429" spans="1:23" x14ac:dyDescent="0.3">
      <c r="A429" t="s">
        <v>999</v>
      </c>
      <c r="B429" t="s">
        <v>718</v>
      </c>
      <c r="C429" t="s">
        <v>20</v>
      </c>
      <c r="D429" s="5">
        <v>32637</v>
      </c>
      <c r="E429" s="5">
        <v>44536</v>
      </c>
      <c r="F429" t="s">
        <v>21</v>
      </c>
      <c r="G429" t="s">
        <v>22</v>
      </c>
      <c r="H429" t="s">
        <v>33</v>
      </c>
      <c r="I429" t="s">
        <v>206</v>
      </c>
      <c r="J429">
        <v>5950000</v>
      </c>
      <c r="K429">
        <v>3</v>
      </c>
      <c r="L429">
        <v>5</v>
      </c>
      <c r="M429">
        <v>0</v>
      </c>
      <c r="N429" t="s">
        <v>41</v>
      </c>
      <c r="O429" t="s">
        <v>26</v>
      </c>
      <c r="P429" t="s">
        <v>36</v>
      </c>
      <c r="Q429" s="5"/>
      <c r="S429">
        <f>DATEDIF(D429,DATE(2026,9,30),"Y")</f>
        <v>37</v>
      </c>
      <c r="T429" s="6">
        <f>(IF(Q429="",DATE(2026,9,30),Q429)-E429)/365.25</f>
        <v>4.815879534565366</v>
      </c>
      <c r="U429" t="str">
        <f>_xlfn.XLOOKUP(Table1_1[[#This Row],[Bo''lim]],Bolimlar!A:A,Bolimlar!B:B,"Topilmadi")</f>
        <v>Jasur Yusupov</v>
      </c>
      <c r="V429">
        <f>IF(P429="Ha",1,0)</f>
        <v>0</v>
      </c>
      <c r="W429" t="str">
        <f>IF(T429&lt;1,"1 yildan kam",IF(T429&lt;3,"1-3 yil","3 yildan ko'p"))</f>
        <v>3 yildan ko'p</v>
      </c>
    </row>
    <row r="430" spans="1:23" x14ac:dyDescent="0.3">
      <c r="A430" t="s">
        <v>670</v>
      </c>
      <c r="B430" t="s">
        <v>465</v>
      </c>
      <c r="C430" t="s">
        <v>20</v>
      </c>
      <c r="D430" s="5">
        <v>30178</v>
      </c>
      <c r="E430" s="5">
        <v>43136</v>
      </c>
      <c r="F430" t="s">
        <v>21</v>
      </c>
      <c r="G430" t="s">
        <v>32</v>
      </c>
      <c r="H430" t="s">
        <v>33</v>
      </c>
      <c r="I430" t="s">
        <v>24</v>
      </c>
      <c r="J430">
        <v>5940000</v>
      </c>
      <c r="K430">
        <v>4</v>
      </c>
      <c r="L430">
        <v>2</v>
      </c>
      <c r="M430">
        <v>5</v>
      </c>
      <c r="N430" t="s">
        <v>25</v>
      </c>
      <c r="O430" t="s">
        <v>35</v>
      </c>
      <c r="P430" t="s">
        <v>36</v>
      </c>
      <c r="Q430" s="5"/>
      <c r="S430">
        <f>DATEDIF(D430,DATE(2026,9,30),"Y")</f>
        <v>44</v>
      </c>
      <c r="T430" s="6">
        <f>(IF(Q430="",DATE(2026,9,30),Q430)-E430)/365.25</f>
        <v>8.6488706365503081</v>
      </c>
      <c r="U430" t="str">
        <f>_xlfn.XLOOKUP(Table1_1[[#This Row],[Bo''lim]],Bolimlar!A:A,Bolimlar!B:B,"Topilmadi")</f>
        <v>Jasur Yusupov</v>
      </c>
      <c r="V430">
        <f>IF(P430="Ha",1,0)</f>
        <v>0</v>
      </c>
      <c r="W430" t="str">
        <f>IF(T430&lt;1,"1 yildan kam",IF(T430&lt;3,"1-3 yil","3 yildan ko'p"))</f>
        <v>3 yildan ko'p</v>
      </c>
    </row>
    <row r="431" spans="1:23" x14ac:dyDescent="0.3">
      <c r="A431" t="s">
        <v>246</v>
      </c>
      <c r="B431" t="s">
        <v>174</v>
      </c>
      <c r="C431" t="s">
        <v>20</v>
      </c>
      <c r="D431" s="5">
        <v>29277</v>
      </c>
      <c r="E431" s="5">
        <v>45965</v>
      </c>
      <c r="F431" t="s">
        <v>1300</v>
      </c>
      <c r="G431" t="s">
        <v>52</v>
      </c>
      <c r="H431" t="s">
        <v>68</v>
      </c>
      <c r="I431" t="s">
        <v>24</v>
      </c>
      <c r="J431">
        <v>5930000</v>
      </c>
      <c r="K431">
        <v>2</v>
      </c>
      <c r="L431">
        <v>3</v>
      </c>
      <c r="M431">
        <v>31</v>
      </c>
      <c r="N431" t="s">
        <v>41</v>
      </c>
      <c r="O431" t="s">
        <v>26</v>
      </c>
      <c r="P431" t="s">
        <v>36</v>
      </c>
      <c r="Q431" s="5"/>
      <c r="S431">
        <f>DATEDIF(D431,DATE(2026,9,30),"Y")</f>
        <v>46</v>
      </c>
      <c r="T431" s="6">
        <f>(IF(Q431="",DATE(2026,9,30),Q431)-E431)/365.25</f>
        <v>0.90349075975359339</v>
      </c>
      <c r="U431" t="str">
        <f>_xlfn.XLOOKUP(Table1_1[[#This Row],[Bo''lim]],Bolimlar!A:A,Bolimlar!B:B,"Topilmadi")</f>
        <v>Shahlo Ismoilova</v>
      </c>
      <c r="V431">
        <f>IF(P431="Ha",1,0)</f>
        <v>0</v>
      </c>
      <c r="W431" t="str">
        <f>IF(T431&lt;1,"1 yildan kam",IF(T431&lt;3,"1-3 yil","3 yildan ko'p"))</f>
        <v>1 yildan kam</v>
      </c>
    </row>
    <row r="432" spans="1:23" x14ac:dyDescent="0.3">
      <c r="A432" t="s">
        <v>787</v>
      </c>
      <c r="B432" t="s">
        <v>210</v>
      </c>
      <c r="C432" t="s">
        <v>31</v>
      </c>
      <c r="D432" s="5">
        <v>32984</v>
      </c>
      <c r="E432" s="5">
        <v>45318</v>
      </c>
      <c r="F432" t="s">
        <v>39</v>
      </c>
      <c r="G432" t="s">
        <v>40</v>
      </c>
      <c r="H432" t="s">
        <v>68</v>
      </c>
      <c r="I432" t="s">
        <v>24</v>
      </c>
      <c r="J432">
        <v>5880000</v>
      </c>
      <c r="K432">
        <v>4</v>
      </c>
      <c r="L432">
        <v>4</v>
      </c>
      <c r="M432">
        <v>23</v>
      </c>
      <c r="N432" t="s">
        <v>41</v>
      </c>
      <c r="O432" t="s">
        <v>26</v>
      </c>
      <c r="P432" t="s">
        <v>36</v>
      </c>
      <c r="Q432" s="5"/>
      <c r="S432">
        <f>DATEDIF(D432,DATE(2026,9,30),"Y")</f>
        <v>36</v>
      </c>
      <c r="T432" s="6">
        <f>(IF(Q432="",DATE(2026,9,30),Q432)-E432)/365.25</f>
        <v>2.6748802190280632</v>
      </c>
      <c r="U432" t="str">
        <f>_xlfn.XLOOKUP(Table1_1[[#This Row],[Bo''lim]],Bolimlar!A:A,Bolimlar!B:B,"Topilmadi")</f>
        <v>Nodira Tursunova</v>
      </c>
      <c r="V432">
        <f>IF(P432="Ha",1,0)</f>
        <v>0</v>
      </c>
      <c r="W432" t="str">
        <f>IF(T432&lt;1,"1 yildan kam",IF(T432&lt;3,"1-3 yil","3 yildan ko'p"))</f>
        <v>1-3 yil</v>
      </c>
    </row>
    <row r="433" spans="1:23" x14ac:dyDescent="0.3">
      <c r="A433" t="s">
        <v>286</v>
      </c>
      <c r="B433" t="s">
        <v>287</v>
      </c>
      <c r="C433" t="s">
        <v>31</v>
      </c>
      <c r="D433" s="5">
        <v>35241</v>
      </c>
      <c r="E433" s="5">
        <v>46032</v>
      </c>
      <c r="F433" t="s">
        <v>484</v>
      </c>
      <c r="G433" t="s">
        <v>150</v>
      </c>
      <c r="H433" t="s">
        <v>68</v>
      </c>
      <c r="I433" t="s">
        <v>34</v>
      </c>
      <c r="J433">
        <v>5870000</v>
      </c>
      <c r="K433">
        <v>2</v>
      </c>
      <c r="L433">
        <v>4</v>
      </c>
      <c r="M433">
        <v>7</v>
      </c>
      <c r="N433" t="s">
        <v>41</v>
      </c>
      <c r="O433" t="s">
        <v>35</v>
      </c>
      <c r="P433" t="s">
        <v>36</v>
      </c>
      <c r="Q433" s="5"/>
      <c r="S433">
        <f>DATEDIF(D433,DATE(2026,9,30),"Y")</f>
        <v>30</v>
      </c>
      <c r="T433" s="6">
        <f>(IF(Q433="",DATE(2026,9,30),Q433)-E433)/365.25</f>
        <v>0.72005475701574262</v>
      </c>
      <c r="U433" t="str">
        <f>_xlfn.XLOOKUP(Table1_1[[#This Row],[Bo''lim]],Bolimlar!A:A,Bolimlar!B:B,"Topilmadi")</f>
        <v>Sardor Nazarov</v>
      </c>
      <c r="V433">
        <f>IF(P433="Ha",1,0)</f>
        <v>0</v>
      </c>
      <c r="W433" t="str">
        <f>IF(T433&lt;1,"1 yildan kam",IF(T433&lt;3,"1-3 yil","3 yildan ko'p"))</f>
        <v>1 yildan kam</v>
      </c>
    </row>
    <row r="434" spans="1:23" x14ac:dyDescent="0.3">
      <c r="A434" t="s">
        <v>166</v>
      </c>
      <c r="B434" t="s">
        <v>167</v>
      </c>
      <c r="C434" t="s">
        <v>31</v>
      </c>
      <c r="D434" s="5">
        <v>38977</v>
      </c>
      <c r="E434" s="5">
        <v>46266</v>
      </c>
      <c r="F434" t="s">
        <v>1035</v>
      </c>
      <c r="G434" t="s">
        <v>73</v>
      </c>
      <c r="H434" t="s">
        <v>68</v>
      </c>
      <c r="I434" t="s">
        <v>24</v>
      </c>
      <c r="J434">
        <v>5860000</v>
      </c>
      <c r="K434">
        <v>3</v>
      </c>
      <c r="L434">
        <v>4</v>
      </c>
      <c r="M434">
        <v>37</v>
      </c>
      <c r="N434" t="s">
        <v>88</v>
      </c>
      <c r="O434" t="s">
        <v>35</v>
      </c>
      <c r="P434" t="s">
        <v>36</v>
      </c>
      <c r="Q434" s="5"/>
      <c r="S434">
        <f>DATEDIF(D434,DATE(2026,9,30),"Y")</f>
        <v>20</v>
      </c>
      <c r="T434" s="6">
        <f>(IF(Q434="",DATE(2026,9,30),Q434)-E434)/365.25</f>
        <v>7.939767282683094E-2</v>
      </c>
      <c r="U434" t="str">
        <f>_xlfn.XLOOKUP(Table1_1[[#This Row],[Bo''lim]],Bolimlar!A:A,Bolimlar!B:B,"Topilmadi")</f>
        <v>Aziz Karimov</v>
      </c>
      <c r="V434">
        <f>IF(P434="Ha",1,0)</f>
        <v>0</v>
      </c>
      <c r="W434" t="str">
        <f>IF(T434&lt;1,"1 yildan kam",IF(T434&lt;3,"1-3 yil","3 yildan ko'p"))</f>
        <v>1 yildan kam</v>
      </c>
    </row>
    <row r="435" spans="1:23" x14ac:dyDescent="0.3">
      <c r="A435" t="s">
        <v>1008</v>
      </c>
      <c r="B435" t="s">
        <v>477</v>
      </c>
      <c r="C435" t="s">
        <v>31</v>
      </c>
      <c r="D435" s="5">
        <v>34331</v>
      </c>
      <c r="E435" s="5">
        <v>45609</v>
      </c>
      <c r="F435" t="s">
        <v>245</v>
      </c>
      <c r="G435" t="s">
        <v>48</v>
      </c>
      <c r="H435" t="s">
        <v>68</v>
      </c>
      <c r="I435" t="s">
        <v>24</v>
      </c>
      <c r="J435">
        <v>5860000</v>
      </c>
      <c r="K435">
        <v>3</v>
      </c>
      <c r="L435">
        <v>4</v>
      </c>
      <c r="M435">
        <v>4</v>
      </c>
      <c r="N435" t="s">
        <v>41</v>
      </c>
      <c r="O435" t="s">
        <v>26</v>
      </c>
      <c r="P435" t="s">
        <v>36</v>
      </c>
      <c r="Q435" s="5"/>
      <c r="S435">
        <f>DATEDIF(D435,DATE(2026,9,30),"Y")</f>
        <v>32</v>
      </c>
      <c r="T435" s="6">
        <f>(IF(Q435="",DATE(2026,9,30),Q435)-E435)/365.25</f>
        <v>1.8781656399726214</v>
      </c>
      <c r="U435" t="str">
        <f>_xlfn.XLOOKUP(Table1_1[[#This Row],[Bo''lim]],Bolimlar!A:A,Bolimlar!B:B,"Topilmadi")</f>
        <v>Dilnoza Rahimova</v>
      </c>
      <c r="V435">
        <f>IF(P435="Ha",1,0)</f>
        <v>0</v>
      </c>
      <c r="W435" t="str">
        <f>IF(T435&lt;1,"1 yildan kam",IF(T435&lt;3,"1-3 yil","3 yildan ko'p"))</f>
        <v>1-3 yil</v>
      </c>
    </row>
    <row r="436" spans="1:23" x14ac:dyDescent="0.3">
      <c r="A436" t="s">
        <v>303</v>
      </c>
      <c r="B436" t="s">
        <v>304</v>
      </c>
      <c r="C436" t="s">
        <v>20</v>
      </c>
      <c r="D436" s="5">
        <v>36865</v>
      </c>
      <c r="E436" s="5">
        <v>45954</v>
      </c>
      <c r="F436" t="s">
        <v>21</v>
      </c>
      <c r="G436" t="s">
        <v>22</v>
      </c>
      <c r="H436" t="s">
        <v>33</v>
      </c>
      <c r="I436" t="s">
        <v>44</v>
      </c>
      <c r="J436">
        <v>5840000</v>
      </c>
      <c r="K436">
        <v>3</v>
      </c>
      <c r="L436">
        <v>5</v>
      </c>
      <c r="M436">
        <v>1</v>
      </c>
      <c r="N436" t="s">
        <v>25</v>
      </c>
      <c r="O436" t="s">
        <v>53</v>
      </c>
      <c r="P436" t="s">
        <v>36</v>
      </c>
      <c r="Q436" s="5"/>
      <c r="S436">
        <f>DATEDIF(D436,DATE(2026,9,30),"Y")</f>
        <v>25</v>
      </c>
      <c r="T436" s="6">
        <f>(IF(Q436="",DATE(2026,9,30),Q436)-E436)/365.25</f>
        <v>0.93360711841204658</v>
      </c>
      <c r="U436" t="str">
        <f>_xlfn.XLOOKUP(Table1_1[[#This Row],[Bo''lim]],Bolimlar!A:A,Bolimlar!B:B,"Topilmadi")</f>
        <v>Jasur Yusupov</v>
      </c>
      <c r="V436">
        <f>IF(P436="Ha",1,0)</f>
        <v>0</v>
      </c>
      <c r="W436" t="str">
        <f>IF(T436&lt;1,"1 yildan kam",IF(T436&lt;3,"1-3 yil","3 yildan ko'p"))</f>
        <v>1 yildan kam</v>
      </c>
    </row>
    <row r="437" spans="1:23" x14ac:dyDescent="0.3">
      <c r="A437" t="s">
        <v>353</v>
      </c>
      <c r="B437" t="s">
        <v>354</v>
      </c>
      <c r="C437" t="s">
        <v>31</v>
      </c>
      <c r="D437" s="5">
        <v>35282</v>
      </c>
      <c r="E437" s="5">
        <v>46176</v>
      </c>
      <c r="F437" t="s">
        <v>1300</v>
      </c>
      <c r="G437" t="s">
        <v>93</v>
      </c>
      <c r="H437" t="s">
        <v>68</v>
      </c>
      <c r="I437" t="s">
        <v>34</v>
      </c>
      <c r="J437">
        <v>5840000</v>
      </c>
      <c r="K437">
        <v>3</v>
      </c>
      <c r="L437">
        <v>4</v>
      </c>
      <c r="M437">
        <v>22</v>
      </c>
      <c r="N437" t="s">
        <v>41</v>
      </c>
      <c r="O437" t="s">
        <v>26</v>
      </c>
      <c r="P437" t="s">
        <v>36</v>
      </c>
      <c r="Q437" s="5"/>
      <c r="S437">
        <f>DATEDIF(D437,DATE(2026,9,30),"Y")</f>
        <v>30</v>
      </c>
      <c r="T437" s="6">
        <f>(IF(Q437="",DATE(2026,9,30),Q437)-E437)/365.25</f>
        <v>0.32580424366872007</v>
      </c>
      <c r="U437" t="str">
        <f>_xlfn.XLOOKUP(Table1_1[[#This Row],[Bo''lim]],Bolimlar!A:A,Bolimlar!B:B,"Topilmadi")</f>
        <v>Shahlo Ismoilova</v>
      </c>
      <c r="V437">
        <f>IF(P437="Ha",1,0)</f>
        <v>0</v>
      </c>
      <c r="W437" t="str">
        <f>IF(T437&lt;1,"1 yildan kam",IF(T437&lt;3,"1-3 yil","3 yildan ko'p"))</f>
        <v>1 yildan kam</v>
      </c>
    </row>
    <row r="438" spans="1:23" x14ac:dyDescent="0.3">
      <c r="A438" t="s">
        <v>1237</v>
      </c>
      <c r="B438" t="s">
        <v>832</v>
      </c>
      <c r="C438" t="s">
        <v>20</v>
      </c>
      <c r="D438" s="5">
        <v>30792</v>
      </c>
      <c r="E438" s="5">
        <v>45533</v>
      </c>
      <c r="F438" t="s">
        <v>21</v>
      </c>
      <c r="G438" t="s">
        <v>103</v>
      </c>
      <c r="H438" t="s">
        <v>33</v>
      </c>
      <c r="I438" t="s">
        <v>24</v>
      </c>
      <c r="J438">
        <v>5840000</v>
      </c>
      <c r="K438">
        <v>1</v>
      </c>
      <c r="L438">
        <v>3</v>
      </c>
      <c r="M438">
        <v>0</v>
      </c>
      <c r="N438" t="s">
        <v>88</v>
      </c>
      <c r="O438" t="s">
        <v>35</v>
      </c>
      <c r="P438" t="s">
        <v>36</v>
      </c>
      <c r="Q438" s="5"/>
      <c r="S438">
        <f>DATEDIF(D438,DATE(2026,9,30),"Y")</f>
        <v>42</v>
      </c>
      <c r="T438" s="6">
        <f>(IF(Q438="",DATE(2026,9,30),Q438)-E438)/365.25</f>
        <v>2.086242299794661</v>
      </c>
      <c r="U438" t="str">
        <f>_xlfn.XLOOKUP(Table1_1[[#This Row],[Bo''lim]],Bolimlar!A:A,Bolimlar!B:B,"Topilmadi")</f>
        <v>Jasur Yusupov</v>
      </c>
      <c r="V438">
        <f>IF(P438="Ha",1,0)</f>
        <v>0</v>
      </c>
      <c r="W438" t="str">
        <f>IF(T438&lt;1,"1 yildan kam",IF(T438&lt;3,"1-3 yil","3 yildan ko'p"))</f>
        <v>1-3 yil</v>
      </c>
    </row>
    <row r="439" spans="1:23" x14ac:dyDescent="0.3">
      <c r="A439" t="s">
        <v>363</v>
      </c>
      <c r="B439" t="s">
        <v>231</v>
      </c>
      <c r="C439" t="s">
        <v>20</v>
      </c>
      <c r="D439" s="5">
        <v>31687</v>
      </c>
      <c r="E439" s="5">
        <v>43958</v>
      </c>
      <c r="F439" t="s">
        <v>484</v>
      </c>
      <c r="G439" t="s">
        <v>196</v>
      </c>
      <c r="H439" t="s">
        <v>68</v>
      </c>
      <c r="I439" t="s">
        <v>24</v>
      </c>
      <c r="J439">
        <v>5810000</v>
      </c>
      <c r="K439">
        <v>3</v>
      </c>
      <c r="L439">
        <v>3</v>
      </c>
      <c r="M439">
        <v>22</v>
      </c>
      <c r="N439" t="s">
        <v>25</v>
      </c>
      <c r="O439" t="s">
        <v>26</v>
      </c>
      <c r="P439" t="s">
        <v>36</v>
      </c>
      <c r="Q439" s="5"/>
      <c r="S439">
        <f>DATEDIF(D439,DATE(2026,9,30),"Y")</f>
        <v>39</v>
      </c>
      <c r="T439" s="6">
        <f>(IF(Q439="",DATE(2026,9,30),Q439)-E439)/365.25</f>
        <v>6.3983572895277208</v>
      </c>
      <c r="U439" t="str">
        <f>_xlfn.XLOOKUP(Table1_1[[#This Row],[Bo''lim]],Bolimlar!A:A,Bolimlar!B:B,"Topilmadi")</f>
        <v>Sardor Nazarov</v>
      </c>
      <c r="V439">
        <f>IF(P439="Ha",1,0)</f>
        <v>0</v>
      </c>
      <c r="W439" t="str">
        <f>IF(T439&lt;1,"1 yildan kam",IF(T439&lt;3,"1-3 yil","3 yildan ko'p"))</f>
        <v>3 yildan ko'p</v>
      </c>
    </row>
    <row r="440" spans="1:23" x14ac:dyDescent="0.3">
      <c r="A440" t="s">
        <v>1024</v>
      </c>
      <c r="B440" t="s">
        <v>836</v>
      </c>
      <c r="C440" t="s">
        <v>31</v>
      </c>
      <c r="D440" s="5">
        <v>36726</v>
      </c>
      <c r="E440" s="5">
        <v>45821</v>
      </c>
      <c r="F440" t="s">
        <v>21</v>
      </c>
      <c r="G440" t="s">
        <v>103</v>
      </c>
      <c r="H440" t="s">
        <v>33</v>
      </c>
      <c r="I440" t="s">
        <v>24</v>
      </c>
      <c r="J440">
        <v>5790000</v>
      </c>
      <c r="K440">
        <v>3</v>
      </c>
      <c r="L440">
        <v>5</v>
      </c>
      <c r="M440">
        <v>9</v>
      </c>
      <c r="N440" t="s">
        <v>41</v>
      </c>
      <c r="P440" t="s">
        <v>36</v>
      </c>
      <c r="Q440" s="5"/>
      <c r="S440">
        <f>DATEDIF(D440,DATE(2026,9,30),"Y")</f>
        <v>26</v>
      </c>
      <c r="T440" s="6">
        <f>(IF(Q440="",DATE(2026,9,30),Q440)-E440)/365.25</f>
        <v>1.2977412731006159</v>
      </c>
      <c r="U440" t="str">
        <f>_xlfn.XLOOKUP(Table1_1[[#This Row],[Bo''lim]],Bolimlar!A:A,Bolimlar!B:B,"Topilmadi")</f>
        <v>Jasur Yusupov</v>
      </c>
      <c r="V440">
        <f>IF(P440="Ha",1,0)</f>
        <v>0</v>
      </c>
      <c r="W440" t="str">
        <f>IF(T440&lt;1,"1 yildan kam",IF(T440&lt;3,"1-3 yil","3 yildan ko'p"))</f>
        <v>1-3 yil</v>
      </c>
    </row>
    <row r="441" spans="1:23" x14ac:dyDescent="0.3">
      <c r="A441" t="s">
        <v>473</v>
      </c>
      <c r="B441" t="s">
        <v>267</v>
      </c>
      <c r="C441" t="s">
        <v>31</v>
      </c>
      <c r="D441" s="5">
        <v>29101</v>
      </c>
      <c r="E441" s="5">
        <v>45964</v>
      </c>
      <c r="F441" t="s">
        <v>1300</v>
      </c>
      <c r="G441" t="s">
        <v>52</v>
      </c>
      <c r="H441" t="s">
        <v>68</v>
      </c>
      <c r="I441" t="s">
        <v>96</v>
      </c>
      <c r="J441">
        <v>5760000</v>
      </c>
      <c r="K441">
        <v>4</v>
      </c>
      <c r="L441">
        <v>2</v>
      </c>
      <c r="M441">
        <v>20</v>
      </c>
      <c r="N441" t="s">
        <v>41</v>
      </c>
      <c r="O441" t="s">
        <v>53</v>
      </c>
      <c r="P441" t="s">
        <v>27</v>
      </c>
      <c r="Q441" s="5">
        <v>46077</v>
      </c>
      <c r="R441" t="s">
        <v>155</v>
      </c>
      <c r="S441">
        <f>DATEDIF(D441,DATE(2026,9,30),"Y")</f>
        <v>47</v>
      </c>
      <c r="T441" s="6">
        <f>(IF(Q441="",DATE(2026,9,30),Q441)-E441)/365.25</f>
        <v>0.30937713894592744</v>
      </c>
      <c r="U441" t="str">
        <f>_xlfn.XLOOKUP(Table1_1[[#This Row],[Bo''lim]],Bolimlar!A:A,Bolimlar!B:B,"Topilmadi")</f>
        <v>Shahlo Ismoilova</v>
      </c>
      <c r="V441">
        <f>IF(P441="Ha",1,0)</f>
        <v>1</v>
      </c>
      <c r="W441" t="str">
        <f>IF(T441&lt;1,"1 yildan kam",IF(T441&lt;3,"1-3 yil","3 yildan ko'p"))</f>
        <v>1 yildan kam</v>
      </c>
    </row>
    <row r="442" spans="1:23" x14ac:dyDescent="0.3">
      <c r="A442" t="s">
        <v>833</v>
      </c>
      <c r="B442" t="s">
        <v>834</v>
      </c>
      <c r="C442" t="s">
        <v>20</v>
      </c>
      <c r="D442" s="5">
        <v>38971</v>
      </c>
      <c r="E442" s="5">
        <v>46267</v>
      </c>
      <c r="F442" t="s">
        <v>1035</v>
      </c>
      <c r="G442" t="s">
        <v>79</v>
      </c>
      <c r="H442" t="s">
        <v>68</v>
      </c>
      <c r="I442" t="s">
        <v>24</v>
      </c>
      <c r="J442">
        <v>5760000</v>
      </c>
      <c r="K442">
        <v>2</v>
      </c>
      <c r="L442">
        <v>5</v>
      </c>
      <c r="M442">
        <v>13</v>
      </c>
      <c r="N442" t="s">
        <v>41</v>
      </c>
      <c r="O442" t="s">
        <v>26</v>
      </c>
      <c r="P442" t="s">
        <v>36</v>
      </c>
      <c r="Q442" s="5"/>
      <c r="S442">
        <f>DATEDIF(D442,DATE(2026,9,30),"Y")</f>
        <v>20</v>
      </c>
      <c r="T442" s="6">
        <f>(IF(Q442="",DATE(2026,9,30),Q442)-E442)/365.25</f>
        <v>7.665982203969883E-2</v>
      </c>
      <c r="U442" t="str">
        <f>_xlfn.XLOOKUP(Table1_1[[#This Row],[Bo''lim]],Bolimlar!A:A,Bolimlar!B:B,"Topilmadi")</f>
        <v>Aziz Karimov</v>
      </c>
      <c r="V442">
        <f>IF(P442="Ha",1,0)</f>
        <v>0</v>
      </c>
      <c r="W442" t="str">
        <f>IF(T442&lt;1,"1 yildan kam",IF(T442&lt;3,"1-3 yil","3 yildan ko'p"))</f>
        <v>1 yildan kam</v>
      </c>
    </row>
    <row r="443" spans="1:23" x14ac:dyDescent="0.3">
      <c r="A443" t="s">
        <v>394</v>
      </c>
      <c r="B443" t="s">
        <v>354</v>
      </c>
      <c r="C443" t="s">
        <v>31</v>
      </c>
      <c r="D443" s="5">
        <v>35035</v>
      </c>
      <c r="E443" s="5">
        <v>45359</v>
      </c>
      <c r="F443" t="s">
        <v>21</v>
      </c>
      <c r="G443" t="s">
        <v>32</v>
      </c>
      <c r="H443" t="s">
        <v>33</v>
      </c>
      <c r="I443" t="s">
        <v>44</v>
      </c>
      <c r="J443">
        <v>5740000</v>
      </c>
      <c r="K443">
        <v>3</v>
      </c>
      <c r="L443">
        <v>5</v>
      </c>
      <c r="M443">
        <v>10</v>
      </c>
      <c r="N443" t="s">
        <v>41</v>
      </c>
      <c r="O443" t="s">
        <v>26</v>
      </c>
      <c r="P443" t="s">
        <v>36</v>
      </c>
      <c r="Q443" s="5"/>
      <c r="S443">
        <f>DATEDIF(D443,DATE(2026,9,30),"Y")</f>
        <v>30</v>
      </c>
      <c r="T443" s="6">
        <f>(IF(Q443="",DATE(2026,9,30),Q443)-E443)/365.25</f>
        <v>2.5626283367556466</v>
      </c>
      <c r="U443" t="str">
        <f>_xlfn.XLOOKUP(Table1_1[[#This Row],[Bo''lim]],Bolimlar!A:A,Bolimlar!B:B,"Topilmadi")</f>
        <v>Jasur Yusupov</v>
      </c>
      <c r="V443">
        <f>IF(P443="Ha",1,0)</f>
        <v>0</v>
      </c>
      <c r="W443" t="str">
        <f>IF(T443&lt;1,"1 yildan kam",IF(T443&lt;3,"1-3 yil","3 yildan ko'p"))</f>
        <v>1-3 yil</v>
      </c>
    </row>
    <row r="444" spans="1:23" x14ac:dyDescent="0.3">
      <c r="A444" t="s">
        <v>511</v>
      </c>
      <c r="B444" t="s">
        <v>152</v>
      </c>
      <c r="C444" t="s">
        <v>31</v>
      </c>
      <c r="D444" s="5">
        <v>31923</v>
      </c>
      <c r="E444" s="5">
        <v>43178</v>
      </c>
      <c r="F444" t="s">
        <v>484</v>
      </c>
      <c r="G444" t="s">
        <v>196</v>
      </c>
      <c r="H444" t="s">
        <v>68</v>
      </c>
      <c r="I444" t="s">
        <v>24</v>
      </c>
      <c r="J444">
        <v>5720000</v>
      </c>
      <c r="K444">
        <v>4</v>
      </c>
      <c r="L444">
        <v>4</v>
      </c>
      <c r="M444">
        <v>21</v>
      </c>
      <c r="N444" t="s">
        <v>88</v>
      </c>
      <c r="O444" t="s">
        <v>35</v>
      </c>
      <c r="P444" t="s">
        <v>36</v>
      </c>
      <c r="Q444" s="5"/>
      <c r="S444">
        <f>DATEDIF(D444,DATE(2026,9,30),"Y")</f>
        <v>39</v>
      </c>
      <c r="T444" s="6">
        <f>(IF(Q444="",DATE(2026,9,30),Q444)-E444)/365.25</f>
        <v>8.5338809034907595</v>
      </c>
      <c r="U444" t="str">
        <f>_xlfn.XLOOKUP(Table1_1[[#This Row],[Bo''lim]],Bolimlar!A:A,Bolimlar!B:B,"Topilmadi")</f>
        <v>Sardor Nazarov</v>
      </c>
      <c r="V444">
        <f>IF(P444="Ha",1,0)</f>
        <v>0</v>
      </c>
      <c r="W444" t="str">
        <f>IF(T444&lt;1,"1 yildan kam",IF(T444&lt;3,"1-3 yil","3 yildan ko'p"))</f>
        <v>3 yildan ko'p</v>
      </c>
    </row>
    <row r="445" spans="1:23" x14ac:dyDescent="0.3">
      <c r="A445" t="s">
        <v>820</v>
      </c>
      <c r="B445" t="s">
        <v>392</v>
      </c>
      <c r="C445" t="s">
        <v>31</v>
      </c>
      <c r="D445" s="5">
        <v>38890</v>
      </c>
      <c r="E445" s="5">
        <v>46193</v>
      </c>
      <c r="F445" t="s">
        <v>1035</v>
      </c>
      <c r="G445" t="s">
        <v>79</v>
      </c>
      <c r="H445" t="s">
        <v>68</v>
      </c>
      <c r="I445" t="s">
        <v>34</v>
      </c>
      <c r="J445">
        <v>5720000</v>
      </c>
      <c r="K445">
        <v>4</v>
      </c>
      <c r="L445">
        <v>5</v>
      </c>
      <c r="M445">
        <v>25</v>
      </c>
      <c r="N445" t="s">
        <v>41</v>
      </c>
      <c r="O445" t="s">
        <v>26</v>
      </c>
      <c r="P445" t="s">
        <v>36</v>
      </c>
      <c r="Q445" s="5"/>
      <c r="S445">
        <f>DATEDIF(D445,DATE(2026,9,30),"Y")</f>
        <v>20</v>
      </c>
      <c r="T445" s="6">
        <f>(IF(Q445="",DATE(2026,9,30),Q445)-E445)/365.25</f>
        <v>0.27926078028747431</v>
      </c>
      <c r="U445" t="str">
        <f>_xlfn.XLOOKUP(Table1_1[[#This Row],[Bo''lim]],Bolimlar!A:A,Bolimlar!B:B,"Topilmadi")</f>
        <v>Aziz Karimov</v>
      </c>
      <c r="V445">
        <f>IF(P445="Ha",1,0)</f>
        <v>0</v>
      </c>
      <c r="W445" t="str">
        <f>IF(T445&lt;1,"1 yildan kam",IF(T445&lt;3,"1-3 yil","3 yildan ko'p"))</f>
        <v>1 yildan kam</v>
      </c>
    </row>
    <row r="446" spans="1:23" x14ac:dyDescent="0.3">
      <c r="A446" t="s">
        <v>1186</v>
      </c>
      <c r="B446" t="s">
        <v>279</v>
      </c>
      <c r="C446" t="s">
        <v>20</v>
      </c>
      <c r="D446" s="5">
        <v>37564</v>
      </c>
      <c r="E446" s="5">
        <v>45839</v>
      </c>
      <c r="F446" t="s">
        <v>1300</v>
      </c>
      <c r="G446" t="s">
        <v>93</v>
      </c>
      <c r="H446" t="s">
        <v>68</v>
      </c>
      <c r="I446" t="s">
        <v>34</v>
      </c>
      <c r="J446">
        <v>5710000</v>
      </c>
      <c r="K446">
        <v>4</v>
      </c>
      <c r="L446">
        <v>3</v>
      </c>
      <c r="M446">
        <v>4</v>
      </c>
      <c r="N446" t="s">
        <v>25</v>
      </c>
      <c r="O446" t="s">
        <v>26</v>
      </c>
      <c r="P446" t="s">
        <v>27</v>
      </c>
      <c r="Q446" s="5">
        <v>46213</v>
      </c>
      <c r="R446" t="s">
        <v>155</v>
      </c>
      <c r="S446">
        <f>DATEDIF(D446,DATE(2026,9,30),"Y")</f>
        <v>23</v>
      </c>
      <c r="T446" s="6">
        <f>(IF(Q446="",DATE(2026,9,30),Q446)-E446)/365.25</f>
        <v>1.0239561943874058</v>
      </c>
      <c r="U446" t="str">
        <f>_xlfn.XLOOKUP(Table1_1[[#This Row],[Bo''lim]],Bolimlar!A:A,Bolimlar!B:B,"Topilmadi")</f>
        <v>Shahlo Ismoilova</v>
      </c>
      <c r="V446">
        <f>IF(P446="Ha",1,0)</f>
        <v>1</v>
      </c>
      <c r="W446" t="str">
        <f>IF(T446&lt;1,"1 yildan kam",IF(T446&lt;3,"1-3 yil","3 yildan ko'p"))</f>
        <v>1-3 yil</v>
      </c>
    </row>
    <row r="447" spans="1:23" x14ac:dyDescent="0.3">
      <c r="A447" t="s">
        <v>1268</v>
      </c>
      <c r="B447" t="s">
        <v>376</v>
      </c>
      <c r="C447" t="s">
        <v>20</v>
      </c>
      <c r="D447" s="5">
        <v>33860</v>
      </c>
      <c r="E447" s="5">
        <v>45403</v>
      </c>
      <c r="F447" t="s">
        <v>1300</v>
      </c>
      <c r="G447" t="s">
        <v>93</v>
      </c>
      <c r="H447" t="s">
        <v>68</v>
      </c>
      <c r="I447" t="s">
        <v>24</v>
      </c>
      <c r="J447">
        <v>5710000</v>
      </c>
      <c r="K447">
        <v>4</v>
      </c>
      <c r="L447">
        <v>3</v>
      </c>
      <c r="M447">
        <v>0</v>
      </c>
      <c r="N447" t="s">
        <v>25</v>
      </c>
      <c r="O447" t="s">
        <v>26</v>
      </c>
      <c r="P447" t="s">
        <v>36</v>
      </c>
      <c r="Q447" s="5"/>
      <c r="S447">
        <f>DATEDIF(D447,DATE(2026,9,30),"Y")</f>
        <v>34</v>
      </c>
      <c r="T447" s="6">
        <f>(IF(Q447="",DATE(2026,9,30),Q447)-E447)/365.25</f>
        <v>2.4421629021218343</v>
      </c>
      <c r="U447" t="str">
        <f>_xlfn.XLOOKUP(Table1_1[[#This Row],[Bo''lim]],Bolimlar!A:A,Bolimlar!B:B,"Topilmadi")</f>
        <v>Shahlo Ismoilova</v>
      </c>
      <c r="V447">
        <f>IF(P447="Ha",1,0)</f>
        <v>0</v>
      </c>
      <c r="W447" t="str">
        <f>IF(T447&lt;1,"1 yildan kam",IF(T447&lt;3,"1-3 yil","3 yildan ko'p"))</f>
        <v>1-3 yil</v>
      </c>
    </row>
    <row r="448" spans="1:23" x14ac:dyDescent="0.3">
      <c r="A448" t="s">
        <v>843</v>
      </c>
      <c r="B448" t="s">
        <v>428</v>
      </c>
      <c r="C448" t="s">
        <v>31</v>
      </c>
      <c r="D448" s="5">
        <v>38511</v>
      </c>
      <c r="E448" s="5">
        <v>46218</v>
      </c>
      <c r="F448" t="s">
        <v>1300</v>
      </c>
      <c r="G448" t="s">
        <v>93</v>
      </c>
      <c r="H448" t="s">
        <v>68</v>
      </c>
      <c r="I448" t="s">
        <v>34</v>
      </c>
      <c r="J448">
        <v>5700000</v>
      </c>
      <c r="K448">
        <v>4</v>
      </c>
      <c r="L448">
        <v>4</v>
      </c>
      <c r="M448">
        <v>4</v>
      </c>
      <c r="N448" t="s">
        <v>41</v>
      </c>
      <c r="O448" t="s">
        <v>26</v>
      </c>
      <c r="P448" t="s">
        <v>27</v>
      </c>
      <c r="Q448" s="5">
        <v>46293</v>
      </c>
      <c r="R448" t="s">
        <v>401</v>
      </c>
      <c r="S448">
        <f>DATEDIF(D448,DATE(2026,9,30),"Y")</f>
        <v>21</v>
      </c>
      <c r="T448" s="6">
        <f>(IF(Q448="",DATE(2026,9,30),Q448)-E448)/365.25</f>
        <v>0.20533880903490759</v>
      </c>
      <c r="U448" t="str">
        <f>_xlfn.XLOOKUP(Table1_1[[#This Row],[Bo''lim]],Bolimlar!A:A,Bolimlar!B:B,"Topilmadi")</f>
        <v>Shahlo Ismoilova</v>
      </c>
      <c r="V448">
        <f>IF(P448="Ha",1,0)</f>
        <v>1</v>
      </c>
      <c r="W448" t="str">
        <f>IF(T448&lt;1,"1 yildan kam",IF(T448&lt;3,"1-3 yil","3 yildan ko'p"))</f>
        <v>1 yildan kam</v>
      </c>
    </row>
    <row r="449" spans="1:23" x14ac:dyDescent="0.3">
      <c r="A449" t="s">
        <v>181</v>
      </c>
      <c r="B449" t="s">
        <v>182</v>
      </c>
      <c r="C449" t="s">
        <v>20</v>
      </c>
      <c r="D449" s="5">
        <v>33274</v>
      </c>
      <c r="E449" s="5">
        <v>44615</v>
      </c>
      <c r="F449" t="s">
        <v>21</v>
      </c>
      <c r="G449" t="s">
        <v>103</v>
      </c>
      <c r="H449" t="s">
        <v>33</v>
      </c>
      <c r="I449" t="s">
        <v>82</v>
      </c>
      <c r="J449">
        <v>5630000</v>
      </c>
      <c r="K449">
        <v>2</v>
      </c>
      <c r="L449">
        <v>4</v>
      </c>
      <c r="M449">
        <v>2</v>
      </c>
      <c r="N449" t="s">
        <v>41</v>
      </c>
      <c r="O449" t="s">
        <v>26</v>
      </c>
      <c r="P449" t="s">
        <v>36</v>
      </c>
      <c r="Q449" s="5"/>
      <c r="S449">
        <f>DATEDIF(D449,DATE(2026,9,30),"Y")</f>
        <v>35</v>
      </c>
      <c r="T449" s="6">
        <f>(IF(Q449="",DATE(2026,9,30),Q449)-E449)/365.25</f>
        <v>4.59958932238193</v>
      </c>
      <c r="U449" t="str">
        <f>_xlfn.XLOOKUP(Table1_1[[#This Row],[Bo''lim]],Bolimlar!A:A,Bolimlar!B:B,"Topilmadi")</f>
        <v>Jasur Yusupov</v>
      </c>
      <c r="V449">
        <f>IF(P449="Ha",1,0)</f>
        <v>0</v>
      </c>
      <c r="W449" t="str">
        <f>IF(T449&lt;1,"1 yildan kam",IF(T449&lt;3,"1-3 yil","3 yildan ko'p"))</f>
        <v>3 yildan ko'p</v>
      </c>
    </row>
    <row r="450" spans="1:23" x14ac:dyDescent="0.3">
      <c r="A450" t="s">
        <v>264</v>
      </c>
      <c r="B450" t="s">
        <v>265</v>
      </c>
      <c r="C450" t="s">
        <v>31</v>
      </c>
      <c r="D450" s="5">
        <v>35236</v>
      </c>
      <c r="E450" s="5">
        <v>42898</v>
      </c>
      <c r="F450" t="s">
        <v>1035</v>
      </c>
      <c r="G450" t="s">
        <v>65</v>
      </c>
      <c r="H450" t="s">
        <v>68</v>
      </c>
      <c r="I450" t="s">
        <v>96</v>
      </c>
      <c r="J450">
        <v>5620000</v>
      </c>
      <c r="K450">
        <v>5</v>
      </c>
      <c r="L450">
        <v>5</v>
      </c>
      <c r="M450">
        <v>19</v>
      </c>
      <c r="N450" t="s">
        <v>25</v>
      </c>
      <c r="O450" t="s">
        <v>26</v>
      </c>
      <c r="P450" t="s">
        <v>36</v>
      </c>
      <c r="Q450" s="5"/>
      <c r="S450">
        <f>DATEDIF(D450,DATE(2026,9,30),"Y")</f>
        <v>30</v>
      </c>
      <c r="T450" s="6">
        <f>(IF(Q450="",DATE(2026,9,30),Q450)-E450)/365.25</f>
        <v>9.3004791238877473</v>
      </c>
      <c r="U450" t="str">
        <f>_xlfn.XLOOKUP(Table1_1[[#This Row],[Bo''lim]],Bolimlar!A:A,Bolimlar!B:B,"Topilmadi")</f>
        <v>Aziz Karimov</v>
      </c>
      <c r="V450">
        <f>IF(P450="Ha",1,0)</f>
        <v>0</v>
      </c>
      <c r="W450" t="str">
        <f>IF(T450&lt;1,"1 yildan kam",IF(T450&lt;3,"1-3 yil","3 yildan ko'p"))</f>
        <v>3 yildan ko'p</v>
      </c>
    </row>
    <row r="451" spans="1:23" x14ac:dyDescent="0.3">
      <c r="A451" t="s">
        <v>899</v>
      </c>
      <c r="B451" t="s">
        <v>121</v>
      </c>
      <c r="C451" t="s">
        <v>31</v>
      </c>
      <c r="D451" s="5">
        <v>36545</v>
      </c>
      <c r="E451" s="5">
        <v>45538</v>
      </c>
      <c r="F451" t="s">
        <v>1035</v>
      </c>
      <c r="G451" t="s">
        <v>73</v>
      </c>
      <c r="H451" t="s">
        <v>68</v>
      </c>
      <c r="I451" t="s">
        <v>82</v>
      </c>
      <c r="J451">
        <v>5590000</v>
      </c>
      <c r="K451">
        <v>3</v>
      </c>
      <c r="L451">
        <v>2</v>
      </c>
      <c r="M451">
        <v>21</v>
      </c>
      <c r="N451" t="s">
        <v>41</v>
      </c>
      <c r="O451" t="s">
        <v>26</v>
      </c>
      <c r="P451" t="s">
        <v>36</v>
      </c>
      <c r="Q451" s="5"/>
      <c r="S451">
        <f>DATEDIF(D451,DATE(2026,9,30),"Y")</f>
        <v>26</v>
      </c>
      <c r="T451" s="6">
        <f>(IF(Q451="",DATE(2026,9,30),Q451)-E451)/365.25</f>
        <v>2.0725530458590007</v>
      </c>
      <c r="U451" t="str">
        <f>_xlfn.XLOOKUP(Table1_1[[#This Row],[Bo''lim]],Bolimlar!A:A,Bolimlar!B:B,"Topilmadi")</f>
        <v>Aziz Karimov</v>
      </c>
      <c r="V451">
        <f>IF(P451="Ha",1,0)</f>
        <v>0</v>
      </c>
      <c r="W451" t="str">
        <f>IF(T451&lt;1,"1 yildan kam",IF(T451&lt;3,"1-3 yil","3 yildan ko'p"))</f>
        <v>1-3 yil</v>
      </c>
    </row>
    <row r="452" spans="1:23" x14ac:dyDescent="0.3">
      <c r="A452" t="s">
        <v>370</v>
      </c>
      <c r="B452" t="s">
        <v>371</v>
      </c>
      <c r="C452" t="s">
        <v>31</v>
      </c>
      <c r="D452" s="5">
        <v>32646</v>
      </c>
      <c r="E452" s="5">
        <v>43800</v>
      </c>
      <c r="F452" t="s">
        <v>1035</v>
      </c>
      <c r="G452" t="s">
        <v>73</v>
      </c>
      <c r="H452" t="s">
        <v>68</v>
      </c>
      <c r="I452" t="s">
        <v>24</v>
      </c>
      <c r="J452">
        <v>5570000</v>
      </c>
      <c r="K452">
        <v>2</v>
      </c>
      <c r="L452">
        <v>3</v>
      </c>
      <c r="M452">
        <v>16</v>
      </c>
      <c r="N452" t="s">
        <v>41</v>
      </c>
      <c r="O452" t="s">
        <v>35</v>
      </c>
      <c r="P452" t="s">
        <v>36</v>
      </c>
      <c r="Q452" s="5"/>
      <c r="S452">
        <f>DATEDIF(D452,DATE(2026,9,30),"Y")</f>
        <v>37</v>
      </c>
      <c r="T452" s="6">
        <f>(IF(Q452="",DATE(2026,9,30),Q452)-E452)/365.25</f>
        <v>6.8309377138945928</v>
      </c>
      <c r="U452" t="str">
        <f>_xlfn.XLOOKUP(Table1_1[[#This Row],[Bo''lim]],Bolimlar!A:A,Bolimlar!B:B,"Topilmadi")</f>
        <v>Aziz Karimov</v>
      </c>
      <c r="V452">
        <f>IF(P452="Ha",1,0)</f>
        <v>0</v>
      </c>
      <c r="W452" t="str">
        <f>IF(T452&lt;1,"1 yildan kam",IF(T452&lt;3,"1-3 yil","3 yildan ko'p"))</f>
        <v>3 yildan ko'p</v>
      </c>
    </row>
    <row r="453" spans="1:23" x14ac:dyDescent="0.3">
      <c r="A453" t="s">
        <v>788</v>
      </c>
      <c r="B453" t="s">
        <v>789</v>
      </c>
      <c r="C453" t="s">
        <v>31</v>
      </c>
      <c r="D453" s="5">
        <v>31237</v>
      </c>
      <c r="E453" s="5">
        <v>43174</v>
      </c>
      <c r="F453" t="s">
        <v>1300</v>
      </c>
      <c r="G453" t="s">
        <v>52</v>
      </c>
      <c r="H453" t="s">
        <v>68</v>
      </c>
      <c r="I453" t="s">
        <v>24</v>
      </c>
      <c r="J453">
        <v>5570000</v>
      </c>
      <c r="K453">
        <v>3</v>
      </c>
      <c r="L453">
        <v>3</v>
      </c>
      <c r="M453">
        <v>6</v>
      </c>
      <c r="N453" t="s">
        <v>25</v>
      </c>
      <c r="O453" t="s">
        <v>26</v>
      </c>
      <c r="P453" t="s">
        <v>27</v>
      </c>
      <c r="Q453" s="5">
        <v>45797</v>
      </c>
      <c r="R453" t="s">
        <v>111</v>
      </c>
      <c r="S453">
        <f>DATEDIF(D453,DATE(2026,9,30),"Y")</f>
        <v>41</v>
      </c>
      <c r="T453" s="6">
        <f>(IF(Q453="",DATE(2026,9,30),Q453)-E453)/365.25</f>
        <v>7.1813826146475019</v>
      </c>
      <c r="U453" t="str">
        <f>_xlfn.XLOOKUP(Table1_1[[#This Row],[Bo''lim]],Bolimlar!A:A,Bolimlar!B:B,"Topilmadi")</f>
        <v>Shahlo Ismoilova</v>
      </c>
      <c r="V453">
        <f>IF(P453="Ha",1,0)</f>
        <v>1</v>
      </c>
      <c r="W453" t="str">
        <f>IF(T453&lt;1,"1 yildan kam",IF(T453&lt;3,"1-3 yil","3 yildan ko'p"))</f>
        <v>3 yildan ko'p</v>
      </c>
    </row>
    <row r="454" spans="1:23" x14ac:dyDescent="0.3">
      <c r="A454" t="s">
        <v>1270</v>
      </c>
      <c r="B454" t="s">
        <v>718</v>
      </c>
      <c r="C454" t="s">
        <v>20</v>
      </c>
      <c r="D454" s="5">
        <v>36179</v>
      </c>
      <c r="E454" s="5">
        <v>44778</v>
      </c>
      <c r="F454" t="s">
        <v>21</v>
      </c>
      <c r="G454" t="s">
        <v>22</v>
      </c>
      <c r="H454" t="s">
        <v>33</v>
      </c>
      <c r="I454" t="s">
        <v>104</v>
      </c>
      <c r="J454">
        <v>5570000</v>
      </c>
      <c r="K454">
        <v>4</v>
      </c>
      <c r="L454">
        <v>2</v>
      </c>
      <c r="M454">
        <v>0</v>
      </c>
      <c r="N454" t="s">
        <v>25</v>
      </c>
      <c r="O454" t="s">
        <v>26</v>
      </c>
      <c r="P454" t="s">
        <v>27</v>
      </c>
      <c r="Q454" s="5">
        <v>46016</v>
      </c>
      <c r="R454" t="s">
        <v>155</v>
      </c>
      <c r="S454">
        <f>DATEDIF(D454,DATE(2026,9,30),"Y")</f>
        <v>27</v>
      </c>
      <c r="T454" s="6">
        <f>(IF(Q454="",DATE(2026,9,30),Q454)-E454)/365.25</f>
        <v>3.3894592744695413</v>
      </c>
      <c r="U454" t="str">
        <f>_xlfn.XLOOKUP(Table1_1[[#This Row],[Bo''lim]],Bolimlar!A:A,Bolimlar!B:B,"Topilmadi")</f>
        <v>Jasur Yusupov</v>
      </c>
      <c r="V454">
        <f>IF(P454="Ha",1,0)</f>
        <v>1</v>
      </c>
      <c r="W454" t="str">
        <f>IF(T454&lt;1,"1 yildan kam",IF(T454&lt;3,"1-3 yil","3 yildan ko'p"))</f>
        <v>3 yildan ko'p</v>
      </c>
    </row>
    <row r="455" spans="1:23" x14ac:dyDescent="0.3">
      <c r="A455" t="s">
        <v>173</v>
      </c>
      <c r="B455" t="s">
        <v>174</v>
      </c>
      <c r="C455" t="s">
        <v>20</v>
      </c>
      <c r="D455" s="5">
        <v>35929</v>
      </c>
      <c r="E455" s="5">
        <v>46047</v>
      </c>
      <c r="F455" t="s">
        <v>1300</v>
      </c>
      <c r="G455" t="s">
        <v>52</v>
      </c>
      <c r="H455" t="s">
        <v>68</v>
      </c>
      <c r="I455" t="s">
        <v>24</v>
      </c>
      <c r="J455">
        <v>5560000</v>
      </c>
      <c r="K455">
        <v>1</v>
      </c>
      <c r="L455">
        <v>4</v>
      </c>
      <c r="M455">
        <v>21</v>
      </c>
      <c r="N455" t="s">
        <v>25</v>
      </c>
      <c r="O455" t="s">
        <v>53</v>
      </c>
      <c r="P455" t="s">
        <v>36</v>
      </c>
      <c r="Q455" s="5"/>
      <c r="S455">
        <f>DATEDIF(D455,DATE(2026,9,30),"Y")</f>
        <v>28</v>
      </c>
      <c r="T455" s="6">
        <f>(IF(Q455="",DATE(2026,9,30),Q455)-E455)/365.25</f>
        <v>0.67898699520876116</v>
      </c>
      <c r="U455" t="str">
        <f>_xlfn.XLOOKUP(Table1_1[[#This Row],[Bo''lim]],Bolimlar!A:A,Bolimlar!B:B,"Topilmadi")</f>
        <v>Shahlo Ismoilova</v>
      </c>
      <c r="V455">
        <f>IF(P455="Ha",1,0)</f>
        <v>0</v>
      </c>
      <c r="W455" t="str">
        <f>IF(T455&lt;1,"1 yildan kam",IF(T455&lt;3,"1-3 yil","3 yildan ko'p"))</f>
        <v>1 yildan kam</v>
      </c>
    </row>
    <row r="456" spans="1:23" x14ac:dyDescent="0.3">
      <c r="A456" t="s">
        <v>687</v>
      </c>
      <c r="B456" t="s">
        <v>433</v>
      </c>
      <c r="C456" t="s">
        <v>31</v>
      </c>
      <c r="D456" s="5">
        <v>32827</v>
      </c>
      <c r="E456" s="5">
        <v>43028</v>
      </c>
      <c r="F456" t="s">
        <v>1300</v>
      </c>
      <c r="G456" t="s">
        <v>93</v>
      </c>
      <c r="H456" t="s">
        <v>68</v>
      </c>
      <c r="I456" t="s">
        <v>24</v>
      </c>
      <c r="J456">
        <v>5530000</v>
      </c>
      <c r="K456">
        <v>3</v>
      </c>
      <c r="L456">
        <v>2</v>
      </c>
      <c r="M456">
        <v>16</v>
      </c>
      <c r="N456" t="s">
        <v>41</v>
      </c>
      <c r="O456" t="s">
        <v>35</v>
      </c>
      <c r="P456" t="s">
        <v>36</v>
      </c>
      <c r="Q456" s="5"/>
      <c r="S456">
        <f>DATEDIF(D456,DATE(2026,9,30),"Y")</f>
        <v>36</v>
      </c>
      <c r="T456" s="6">
        <f>(IF(Q456="",DATE(2026,9,30),Q456)-E456)/365.25</f>
        <v>8.944558521560575</v>
      </c>
      <c r="U456" t="str">
        <f>_xlfn.XLOOKUP(Table1_1[[#This Row],[Bo''lim]],Bolimlar!A:A,Bolimlar!B:B,"Topilmadi")</f>
        <v>Shahlo Ismoilova</v>
      </c>
      <c r="V456">
        <f>IF(P456="Ha",1,0)</f>
        <v>0</v>
      </c>
      <c r="W456" t="str">
        <f>IF(T456&lt;1,"1 yildan kam",IF(T456&lt;3,"1-3 yil","3 yildan ko'p"))</f>
        <v>3 yildan ko'p</v>
      </c>
    </row>
    <row r="457" spans="1:23" x14ac:dyDescent="0.3">
      <c r="A457" t="s">
        <v>1009</v>
      </c>
      <c r="B457" t="s">
        <v>922</v>
      </c>
      <c r="C457" t="s">
        <v>20</v>
      </c>
      <c r="D457" s="5">
        <v>33788</v>
      </c>
      <c r="E457" s="5">
        <v>45410</v>
      </c>
      <c r="F457" t="s">
        <v>484</v>
      </c>
      <c r="G457" t="s">
        <v>196</v>
      </c>
      <c r="H457" t="s">
        <v>68</v>
      </c>
      <c r="I457" t="s">
        <v>24</v>
      </c>
      <c r="J457">
        <v>5530000</v>
      </c>
      <c r="K457">
        <v>3</v>
      </c>
      <c r="L457">
        <v>2</v>
      </c>
      <c r="M457">
        <v>30</v>
      </c>
      <c r="N457" t="s">
        <v>41</v>
      </c>
      <c r="P457" t="s">
        <v>36</v>
      </c>
      <c r="Q457" s="5"/>
      <c r="S457">
        <f>DATEDIF(D457,DATE(2026,9,30),"Y")</f>
        <v>34</v>
      </c>
      <c r="T457" s="6">
        <f>(IF(Q457="",DATE(2026,9,30),Q457)-E457)/365.25</f>
        <v>2.4229979466119098</v>
      </c>
      <c r="U457" t="str">
        <f>_xlfn.XLOOKUP(Table1_1[[#This Row],[Bo''lim]],Bolimlar!A:A,Bolimlar!B:B,"Topilmadi")</f>
        <v>Sardor Nazarov</v>
      </c>
      <c r="V457">
        <f>IF(P457="Ha",1,0)</f>
        <v>0</v>
      </c>
      <c r="W457" t="str">
        <f>IF(T457&lt;1,"1 yildan kam",IF(T457&lt;3,"1-3 yil","3 yildan ko'p"))</f>
        <v>1-3 yil</v>
      </c>
    </row>
    <row r="458" spans="1:23" x14ac:dyDescent="0.3">
      <c r="A458" t="s">
        <v>1000</v>
      </c>
      <c r="B458" t="s">
        <v>177</v>
      </c>
      <c r="C458" t="s">
        <v>20</v>
      </c>
      <c r="D458" s="5">
        <v>37888</v>
      </c>
      <c r="E458" s="5">
        <v>45669</v>
      </c>
      <c r="F458" t="s">
        <v>1300</v>
      </c>
      <c r="G458" t="s">
        <v>93</v>
      </c>
      <c r="H458" t="s">
        <v>68</v>
      </c>
      <c r="I458" t="s">
        <v>206</v>
      </c>
      <c r="J458">
        <v>5520000</v>
      </c>
      <c r="K458">
        <v>2</v>
      </c>
      <c r="L458">
        <v>3</v>
      </c>
      <c r="M458">
        <v>22</v>
      </c>
      <c r="N458" t="s">
        <v>41</v>
      </c>
      <c r="O458" t="s">
        <v>53</v>
      </c>
      <c r="P458" t="s">
        <v>27</v>
      </c>
      <c r="Q458" s="5">
        <v>46280</v>
      </c>
      <c r="R458" t="s">
        <v>401</v>
      </c>
      <c r="S458">
        <f>DATEDIF(D458,DATE(2026,9,30),"Y")</f>
        <v>23</v>
      </c>
      <c r="T458" s="6">
        <f>(IF(Q458="",DATE(2026,9,30),Q458)-E458)/365.25</f>
        <v>1.6728268309377139</v>
      </c>
      <c r="U458" t="str">
        <f>_xlfn.XLOOKUP(Table1_1[[#This Row],[Bo''lim]],Bolimlar!A:A,Bolimlar!B:B,"Topilmadi")</f>
        <v>Shahlo Ismoilova</v>
      </c>
      <c r="V458">
        <f>IF(P458="Ha",1,0)</f>
        <v>1</v>
      </c>
      <c r="W458" t="str">
        <f>IF(T458&lt;1,"1 yildan kam",IF(T458&lt;3,"1-3 yil","3 yildan ko'p"))</f>
        <v>1-3 yil</v>
      </c>
    </row>
    <row r="459" spans="1:23" x14ac:dyDescent="0.3">
      <c r="A459" t="s">
        <v>733</v>
      </c>
      <c r="B459" t="s">
        <v>734</v>
      </c>
      <c r="C459" t="s">
        <v>31</v>
      </c>
      <c r="D459" s="5">
        <v>31119</v>
      </c>
      <c r="E459" s="5">
        <v>44730</v>
      </c>
      <c r="F459" t="s">
        <v>1300</v>
      </c>
      <c r="G459" t="s">
        <v>52</v>
      </c>
      <c r="H459" t="s">
        <v>68</v>
      </c>
      <c r="I459" t="s">
        <v>24</v>
      </c>
      <c r="J459">
        <v>5510000</v>
      </c>
      <c r="K459">
        <v>4</v>
      </c>
      <c r="L459">
        <v>5</v>
      </c>
      <c r="M459">
        <v>6</v>
      </c>
      <c r="N459" t="s">
        <v>25</v>
      </c>
      <c r="O459" t="s">
        <v>53</v>
      </c>
      <c r="P459" t="s">
        <v>36</v>
      </c>
      <c r="Q459" s="5"/>
      <c r="S459">
        <f>DATEDIF(D459,DATE(2026,9,30),"Y")</f>
        <v>41</v>
      </c>
      <c r="T459" s="6">
        <f>(IF(Q459="",DATE(2026,9,30),Q459)-E459)/365.25</f>
        <v>4.2847364818617386</v>
      </c>
      <c r="U459" t="str">
        <f>_xlfn.XLOOKUP(Table1_1[[#This Row],[Bo''lim]],Bolimlar!A:A,Bolimlar!B:B,"Topilmadi")</f>
        <v>Shahlo Ismoilova</v>
      </c>
      <c r="V459">
        <f>IF(P459="Ha",1,0)</f>
        <v>0</v>
      </c>
      <c r="W459" t="str">
        <f>IF(T459&lt;1,"1 yildan kam",IF(T459&lt;3,"1-3 yil","3 yildan ko'p"))</f>
        <v>3 yildan ko'p</v>
      </c>
    </row>
    <row r="460" spans="1:23" x14ac:dyDescent="0.3">
      <c r="A460" t="s">
        <v>533</v>
      </c>
      <c r="B460" t="s">
        <v>534</v>
      </c>
      <c r="C460" t="s">
        <v>31</v>
      </c>
      <c r="D460" s="5">
        <v>34641</v>
      </c>
      <c r="E460" s="5">
        <v>42980</v>
      </c>
      <c r="F460" t="s">
        <v>1300</v>
      </c>
      <c r="G460" t="s">
        <v>52</v>
      </c>
      <c r="H460" t="s">
        <v>68</v>
      </c>
      <c r="I460" t="s">
        <v>104</v>
      </c>
      <c r="J460">
        <v>5500000</v>
      </c>
      <c r="K460">
        <v>2</v>
      </c>
      <c r="L460">
        <v>5</v>
      </c>
      <c r="M460">
        <v>9</v>
      </c>
      <c r="N460" t="s">
        <v>41</v>
      </c>
      <c r="O460" t="s">
        <v>26</v>
      </c>
      <c r="P460" t="s">
        <v>36</v>
      </c>
      <c r="Q460" s="5"/>
      <c r="S460">
        <f>DATEDIF(D460,DATE(2026,9,30),"Y")</f>
        <v>31</v>
      </c>
      <c r="T460" s="6">
        <f>(IF(Q460="",DATE(2026,9,30),Q460)-E460)/365.25</f>
        <v>9.075975359342916</v>
      </c>
      <c r="U460" t="str">
        <f>_xlfn.XLOOKUP(Table1_1[[#This Row],[Bo''lim]],Bolimlar!A:A,Bolimlar!B:B,"Topilmadi")</f>
        <v>Shahlo Ismoilova</v>
      </c>
      <c r="V460">
        <f>IF(P460="Ha",1,0)</f>
        <v>0</v>
      </c>
      <c r="W460" t="str">
        <f>IF(T460&lt;1,"1 yildan kam",IF(T460&lt;3,"1-3 yil","3 yildan ko'p"))</f>
        <v>3 yildan ko'p</v>
      </c>
    </row>
    <row r="461" spans="1:23" x14ac:dyDescent="0.3">
      <c r="A461" t="s">
        <v>1221</v>
      </c>
      <c r="B461" t="s">
        <v>144</v>
      </c>
      <c r="C461" t="s">
        <v>31</v>
      </c>
      <c r="D461" s="5">
        <v>34161</v>
      </c>
      <c r="E461" s="5">
        <v>44372</v>
      </c>
      <c r="F461" t="s">
        <v>484</v>
      </c>
      <c r="G461" t="s">
        <v>196</v>
      </c>
      <c r="H461" t="s">
        <v>68</v>
      </c>
      <c r="I461" t="s">
        <v>34</v>
      </c>
      <c r="J461">
        <v>5480000</v>
      </c>
      <c r="K461">
        <v>4</v>
      </c>
      <c r="L461">
        <v>5</v>
      </c>
      <c r="M461">
        <v>16</v>
      </c>
      <c r="N461" t="s">
        <v>41</v>
      </c>
      <c r="O461" t="s">
        <v>35</v>
      </c>
      <c r="P461" t="s">
        <v>36</v>
      </c>
      <c r="Q461" s="5"/>
      <c r="S461">
        <f>DATEDIF(D461,DATE(2026,9,30),"Y")</f>
        <v>33</v>
      </c>
      <c r="T461" s="6">
        <f>(IF(Q461="",DATE(2026,9,30),Q461)-E461)/365.25</f>
        <v>5.2648870636550305</v>
      </c>
      <c r="U461" t="str">
        <f>_xlfn.XLOOKUP(Table1_1[[#This Row],[Bo''lim]],Bolimlar!A:A,Bolimlar!B:B,"Topilmadi")</f>
        <v>Sardor Nazarov</v>
      </c>
      <c r="V461">
        <f>IF(P461="Ha",1,0)</f>
        <v>0</v>
      </c>
      <c r="W461" t="str">
        <f>IF(T461&lt;1,"1 yildan kam",IF(T461&lt;3,"1-3 yil","3 yildan ko'p"))</f>
        <v>3 yildan ko'p</v>
      </c>
    </row>
    <row r="462" spans="1:23" x14ac:dyDescent="0.3">
      <c r="A462" t="s">
        <v>482</v>
      </c>
      <c r="B462" t="s">
        <v>258</v>
      </c>
      <c r="C462" t="s">
        <v>20</v>
      </c>
      <c r="D462" s="5">
        <v>35297</v>
      </c>
      <c r="E462" s="5">
        <v>42782</v>
      </c>
      <c r="F462" t="s">
        <v>39</v>
      </c>
      <c r="G462" t="s">
        <v>40</v>
      </c>
      <c r="H462" t="s">
        <v>68</v>
      </c>
      <c r="I462" t="s">
        <v>24</v>
      </c>
      <c r="J462">
        <v>5470000</v>
      </c>
      <c r="K462">
        <v>2</v>
      </c>
      <c r="L462">
        <v>4</v>
      </c>
      <c r="M462">
        <v>19</v>
      </c>
      <c r="N462" t="s">
        <v>25</v>
      </c>
      <c r="O462" t="s">
        <v>26</v>
      </c>
      <c r="P462" t="s">
        <v>36</v>
      </c>
      <c r="Q462" s="5"/>
      <c r="S462">
        <f>DATEDIF(D462,DATE(2026,9,30),"Y")</f>
        <v>30</v>
      </c>
      <c r="T462" s="6">
        <f>(IF(Q462="",DATE(2026,9,30),Q462)-E462)/365.25</f>
        <v>9.6180698151950725</v>
      </c>
      <c r="U462" t="str">
        <f>_xlfn.XLOOKUP(Table1_1[[#This Row],[Bo''lim]],Bolimlar!A:A,Bolimlar!B:B,"Topilmadi")</f>
        <v>Nodira Tursunova</v>
      </c>
      <c r="V462">
        <f>IF(P462="Ha",1,0)</f>
        <v>0</v>
      </c>
      <c r="W462" t="str">
        <f>IF(T462&lt;1,"1 yildan kam",IF(T462&lt;3,"1-3 yil","3 yildan ko'p"))</f>
        <v>3 yildan ko'p</v>
      </c>
    </row>
    <row r="463" spans="1:23" x14ac:dyDescent="0.3">
      <c r="A463" t="s">
        <v>1229</v>
      </c>
      <c r="B463" t="s">
        <v>311</v>
      </c>
      <c r="C463" t="s">
        <v>31</v>
      </c>
      <c r="D463" s="5">
        <v>35409</v>
      </c>
      <c r="E463" s="5">
        <v>44290</v>
      </c>
      <c r="F463" t="s">
        <v>1300</v>
      </c>
      <c r="G463" t="s">
        <v>52</v>
      </c>
      <c r="H463" t="s">
        <v>68</v>
      </c>
      <c r="I463" t="s">
        <v>44</v>
      </c>
      <c r="J463">
        <v>5460000</v>
      </c>
      <c r="K463">
        <v>5</v>
      </c>
      <c r="L463">
        <v>4</v>
      </c>
      <c r="M463">
        <v>12</v>
      </c>
      <c r="N463" t="s">
        <v>41</v>
      </c>
      <c r="O463" t="s">
        <v>26</v>
      </c>
      <c r="P463" t="s">
        <v>36</v>
      </c>
      <c r="Q463" s="5"/>
      <c r="S463">
        <f>DATEDIF(D463,DATE(2026,9,30),"Y")</f>
        <v>29</v>
      </c>
      <c r="T463" s="6">
        <f>(IF(Q463="",DATE(2026,9,30),Q463)-E463)/365.25</f>
        <v>5.4893908281998627</v>
      </c>
      <c r="U463" t="str">
        <f>_xlfn.XLOOKUP(Table1_1[[#This Row],[Bo''lim]],Bolimlar!A:A,Bolimlar!B:B,"Topilmadi")</f>
        <v>Shahlo Ismoilova</v>
      </c>
      <c r="V463">
        <f>IF(P463="Ha",1,0)</f>
        <v>0</v>
      </c>
      <c r="W463" t="str">
        <f>IF(T463&lt;1,"1 yildan kam",IF(T463&lt;3,"1-3 yil","3 yildan ko'p"))</f>
        <v>3 yildan ko'p</v>
      </c>
    </row>
    <row r="464" spans="1:23" x14ac:dyDescent="0.3">
      <c r="A464" t="s">
        <v>1125</v>
      </c>
      <c r="B464" t="s">
        <v>1126</v>
      </c>
      <c r="C464" t="s">
        <v>31</v>
      </c>
      <c r="D464" s="5">
        <v>33077</v>
      </c>
      <c r="E464" s="5">
        <v>43345</v>
      </c>
      <c r="F464" t="s">
        <v>1300</v>
      </c>
      <c r="G464" t="s">
        <v>52</v>
      </c>
      <c r="H464" t="s">
        <v>68</v>
      </c>
      <c r="I464" t="s">
        <v>104</v>
      </c>
      <c r="J464">
        <v>5450000</v>
      </c>
      <c r="K464">
        <v>2</v>
      </c>
      <c r="L464">
        <v>3</v>
      </c>
      <c r="M464">
        <v>24</v>
      </c>
      <c r="N464" t="s">
        <v>25</v>
      </c>
      <c r="O464" t="s">
        <v>26</v>
      </c>
      <c r="P464" t="s">
        <v>36</v>
      </c>
      <c r="Q464" s="5"/>
      <c r="S464">
        <f>DATEDIF(D464,DATE(2026,9,30),"Y")</f>
        <v>36</v>
      </c>
      <c r="T464" s="6">
        <f>(IF(Q464="",DATE(2026,9,30),Q464)-E464)/365.25</f>
        <v>8.0766598220396997</v>
      </c>
      <c r="U464" t="str">
        <f>_xlfn.XLOOKUP(Table1_1[[#This Row],[Bo''lim]],Bolimlar!A:A,Bolimlar!B:B,"Topilmadi")</f>
        <v>Shahlo Ismoilova</v>
      </c>
      <c r="V464">
        <f>IF(P464="Ha",1,0)</f>
        <v>0</v>
      </c>
      <c r="W464" t="str">
        <f>IF(T464&lt;1,"1 yildan kam",IF(T464&lt;3,"1-3 yil","3 yildan ko'p"))</f>
        <v>3 yildan ko'p</v>
      </c>
    </row>
    <row r="465" spans="1:23" x14ac:dyDescent="0.3">
      <c r="A465" t="s">
        <v>1240</v>
      </c>
      <c r="B465" t="s">
        <v>215</v>
      </c>
      <c r="C465" t="s">
        <v>20</v>
      </c>
      <c r="D465" s="5">
        <v>32756</v>
      </c>
      <c r="E465" s="5">
        <v>43494</v>
      </c>
      <c r="F465" t="s">
        <v>484</v>
      </c>
      <c r="G465" t="s">
        <v>150</v>
      </c>
      <c r="H465" t="s">
        <v>68</v>
      </c>
      <c r="I465" t="s">
        <v>24</v>
      </c>
      <c r="J465">
        <v>5430000</v>
      </c>
      <c r="K465">
        <v>3</v>
      </c>
      <c r="L465">
        <v>5</v>
      </c>
      <c r="M465">
        <v>20</v>
      </c>
      <c r="N465" t="s">
        <v>41</v>
      </c>
      <c r="O465" t="s">
        <v>35</v>
      </c>
      <c r="P465" t="s">
        <v>36</v>
      </c>
      <c r="Q465" s="5"/>
      <c r="S465">
        <f>DATEDIF(D465,DATE(2026,9,30),"Y")</f>
        <v>37</v>
      </c>
      <c r="T465" s="6">
        <f>(IF(Q465="",DATE(2026,9,30),Q465)-E465)/365.25</f>
        <v>7.6687200547570153</v>
      </c>
      <c r="U465" t="str">
        <f>_xlfn.XLOOKUP(Table1_1[[#This Row],[Bo''lim]],Bolimlar!A:A,Bolimlar!B:B,"Topilmadi")</f>
        <v>Sardor Nazarov</v>
      </c>
      <c r="V465">
        <f>IF(P465="Ha",1,0)</f>
        <v>0</v>
      </c>
      <c r="W465" t="str">
        <f>IF(T465&lt;1,"1 yildan kam",IF(T465&lt;3,"1-3 yil","3 yildan ko'p"))</f>
        <v>3 yildan ko'p</v>
      </c>
    </row>
    <row r="466" spans="1:23" x14ac:dyDescent="0.3">
      <c r="A466" t="s">
        <v>1143</v>
      </c>
      <c r="B466" t="s">
        <v>443</v>
      </c>
      <c r="C466" t="s">
        <v>31</v>
      </c>
      <c r="D466" s="5">
        <v>35166</v>
      </c>
      <c r="E466" s="5">
        <v>44101</v>
      </c>
      <c r="F466" t="s">
        <v>1300</v>
      </c>
      <c r="G466" t="s">
        <v>52</v>
      </c>
      <c r="H466" t="s">
        <v>68</v>
      </c>
      <c r="I466" t="s">
        <v>24</v>
      </c>
      <c r="J466">
        <v>5420000</v>
      </c>
      <c r="K466">
        <v>4</v>
      </c>
      <c r="L466">
        <v>3</v>
      </c>
      <c r="M466">
        <v>17</v>
      </c>
      <c r="N466" t="s">
        <v>25</v>
      </c>
      <c r="O466" t="s">
        <v>26</v>
      </c>
      <c r="P466" t="s">
        <v>36</v>
      </c>
      <c r="Q466" s="5"/>
      <c r="S466">
        <f>DATEDIF(D466,DATE(2026,9,30),"Y")</f>
        <v>30</v>
      </c>
      <c r="T466" s="6">
        <f>(IF(Q466="",DATE(2026,9,30),Q466)-E466)/365.25</f>
        <v>6.0068446269678306</v>
      </c>
      <c r="U466" t="str">
        <f>_xlfn.XLOOKUP(Table1_1[[#This Row],[Bo''lim]],Bolimlar!A:A,Bolimlar!B:B,"Topilmadi")</f>
        <v>Shahlo Ismoilova</v>
      </c>
      <c r="V466">
        <f>IF(P466="Ha",1,0)</f>
        <v>0</v>
      </c>
      <c r="W466" t="str">
        <f>IF(T466&lt;1,"1 yildan kam",IF(T466&lt;3,"1-3 yil","3 yildan ko'p"))</f>
        <v>3 yildan ko'p</v>
      </c>
    </row>
    <row r="467" spans="1:23" x14ac:dyDescent="0.3">
      <c r="A467" t="s">
        <v>101</v>
      </c>
      <c r="B467" t="s">
        <v>102</v>
      </c>
      <c r="C467" t="s">
        <v>20</v>
      </c>
      <c r="D467" s="5">
        <v>31154</v>
      </c>
      <c r="E467" s="5">
        <v>45783</v>
      </c>
      <c r="F467" t="s">
        <v>21</v>
      </c>
      <c r="G467" t="s">
        <v>103</v>
      </c>
      <c r="H467" t="s">
        <v>33</v>
      </c>
      <c r="I467" t="s">
        <v>104</v>
      </c>
      <c r="J467">
        <v>5410000</v>
      </c>
      <c r="K467">
        <v>3</v>
      </c>
      <c r="L467">
        <v>4</v>
      </c>
      <c r="M467">
        <v>13</v>
      </c>
      <c r="N467" t="s">
        <v>41</v>
      </c>
      <c r="O467" t="s">
        <v>53</v>
      </c>
      <c r="P467" t="s">
        <v>36</v>
      </c>
      <c r="Q467" s="5"/>
      <c r="S467">
        <f>DATEDIF(D467,DATE(2026,9,30),"Y")</f>
        <v>41</v>
      </c>
      <c r="T467" s="6">
        <f>(IF(Q467="",DATE(2026,9,30),Q467)-E467)/365.25</f>
        <v>1.4017796030116358</v>
      </c>
      <c r="U467" t="str">
        <f>_xlfn.XLOOKUP(Table1_1[[#This Row],[Bo''lim]],Bolimlar!A:A,Bolimlar!B:B,"Topilmadi")</f>
        <v>Jasur Yusupov</v>
      </c>
      <c r="V467">
        <f>IF(P467="Ha",1,0)</f>
        <v>0</v>
      </c>
      <c r="W467" t="str">
        <f>IF(T467&lt;1,"1 yildan kam",IF(T467&lt;3,"1-3 yil","3 yildan ko'p"))</f>
        <v>1-3 yil</v>
      </c>
    </row>
    <row r="468" spans="1:23" x14ac:dyDescent="0.3">
      <c r="A468" t="s">
        <v>621</v>
      </c>
      <c r="B468" t="s">
        <v>622</v>
      </c>
      <c r="C468" t="s">
        <v>31</v>
      </c>
      <c r="D468" s="5">
        <v>38280</v>
      </c>
      <c r="E468" s="5">
        <v>45735</v>
      </c>
      <c r="F468" t="s">
        <v>1226</v>
      </c>
      <c r="G468" t="s">
        <v>60</v>
      </c>
      <c r="H468" t="s">
        <v>33</v>
      </c>
      <c r="I468" t="s">
        <v>24</v>
      </c>
      <c r="J468">
        <v>5400000</v>
      </c>
      <c r="K468">
        <v>3</v>
      </c>
      <c r="L468">
        <v>2</v>
      </c>
      <c r="M468">
        <v>24</v>
      </c>
      <c r="N468" t="s">
        <v>25</v>
      </c>
      <c r="O468" t="s">
        <v>26</v>
      </c>
      <c r="P468" t="s">
        <v>36</v>
      </c>
      <c r="Q468" s="5"/>
      <c r="S468">
        <f>DATEDIF(D468,DATE(2026,9,30),"Y")</f>
        <v>21</v>
      </c>
      <c r="T468" s="6">
        <f>(IF(Q468="",DATE(2026,9,30),Q468)-E468)/365.25</f>
        <v>1.5331964407939767</v>
      </c>
      <c r="U468" t="str">
        <f>_xlfn.XLOOKUP(Table1_1[[#This Row],[Bo''lim]],Bolimlar!A:A,Bolimlar!B:B,"Topilmadi")</f>
        <v>Madina Abdullayeva</v>
      </c>
      <c r="V468">
        <f>IF(P468="Ha",1,0)</f>
        <v>0</v>
      </c>
      <c r="W468" t="str">
        <f>IF(T468&lt;1,"1 yildan kam",IF(T468&lt;3,"1-3 yil","3 yildan ko'p"))</f>
        <v>1-3 yil</v>
      </c>
    </row>
    <row r="469" spans="1:23" x14ac:dyDescent="0.3">
      <c r="A469" t="s">
        <v>1103</v>
      </c>
      <c r="B469" t="s">
        <v>627</v>
      </c>
      <c r="C469" t="s">
        <v>31</v>
      </c>
      <c r="D469" s="5">
        <v>32364</v>
      </c>
      <c r="E469" s="5">
        <v>45762</v>
      </c>
      <c r="F469" t="s">
        <v>484</v>
      </c>
      <c r="G469" t="s">
        <v>196</v>
      </c>
      <c r="H469" t="s">
        <v>68</v>
      </c>
      <c r="I469" t="s">
        <v>206</v>
      </c>
      <c r="J469">
        <v>5390000</v>
      </c>
      <c r="K469">
        <v>3</v>
      </c>
      <c r="L469">
        <v>4</v>
      </c>
      <c r="M469">
        <v>23</v>
      </c>
      <c r="N469" t="s">
        <v>25</v>
      </c>
      <c r="O469" t="s">
        <v>26</v>
      </c>
      <c r="P469" t="s">
        <v>27</v>
      </c>
      <c r="Q469" s="5">
        <v>45967</v>
      </c>
      <c r="R469" t="s">
        <v>145</v>
      </c>
      <c r="S469">
        <f>DATEDIF(D469,DATE(2026,9,30),"Y")</f>
        <v>38</v>
      </c>
      <c r="T469" s="6">
        <f>(IF(Q469="",DATE(2026,9,30),Q469)-E469)/365.25</f>
        <v>0.5612594113620808</v>
      </c>
      <c r="U469" t="str">
        <f>_xlfn.XLOOKUP(Table1_1[[#This Row],[Bo''lim]],Bolimlar!A:A,Bolimlar!B:B,"Topilmadi")</f>
        <v>Sardor Nazarov</v>
      </c>
      <c r="V469">
        <f>IF(P469="Ha",1,0)</f>
        <v>1</v>
      </c>
      <c r="W469" t="str">
        <f>IF(T469&lt;1,"1 yildan kam",IF(T469&lt;3,"1-3 yil","3 yildan ko'p"))</f>
        <v>1 yildan kam</v>
      </c>
    </row>
    <row r="470" spans="1:23" x14ac:dyDescent="0.3">
      <c r="A470" t="s">
        <v>523</v>
      </c>
      <c r="B470" t="s">
        <v>524</v>
      </c>
      <c r="C470" t="s">
        <v>31</v>
      </c>
      <c r="D470" s="5">
        <v>34357</v>
      </c>
      <c r="E470" s="5">
        <v>45528</v>
      </c>
      <c r="F470" t="s">
        <v>1300</v>
      </c>
      <c r="G470" t="s">
        <v>93</v>
      </c>
      <c r="H470" t="s">
        <v>68</v>
      </c>
      <c r="I470" t="s">
        <v>44</v>
      </c>
      <c r="J470">
        <v>5360000</v>
      </c>
      <c r="K470">
        <v>3</v>
      </c>
      <c r="L470">
        <v>2</v>
      </c>
      <c r="M470">
        <v>23</v>
      </c>
      <c r="N470" t="s">
        <v>25</v>
      </c>
      <c r="O470" t="s">
        <v>26</v>
      </c>
      <c r="P470" t="s">
        <v>36</v>
      </c>
      <c r="Q470" s="5"/>
      <c r="S470">
        <f>DATEDIF(D470,DATE(2026,9,30),"Y")</f>
        <v>32</v>
      </c>
      <c r="T470" s="6">
        <f>(IF(Q470="",DATE(2026,9,30),Q470)-E470)/365.25</f>
        <v>2.0999315537303218</v>
      </c>
      <c r="U470" t="str">
        <f>_xlfn.XLOOKUP(Table1_1[[#This Row],[Bo''lim]],Bolimlar!A:A,Bolimlar!B:B,"Topilmadi")</f>
        <v>Shahlo Ismoilova</v>
      </c>
      <c r="V470">
        <f>IF(P470="Ha",1,0)</f>
        <v>0</v>
      </c>
      <c r="W470" t="str">
        <f>IF(T470&lt;1,"1 yildan kam",IF(T470&lt;3,"1-3 yil","3 yildan ko'p"))</f>
        <v>1-3 yil</v>
      </c>
    </row>
    <row r="471" spans="1:23" x14ac:dyDescent="0.3">
      <c r="A471" t="s">
        <v>439</v>
      </c>
      <c r="B471" t="s">
        <v>440</v>
      </c>
      <c r="C471" t="s">
        <v>20</v>
      </c>
      <c r="D471" s="5">
        <v>36720</v>
      </c>
      <c r="E471" s="5">
        <v>46036</v>
      </c>
      <c r="F471" t="s">
        <v>1300</v>
      </c>
      <c r="G471" t="s">
        <v>93</v>
      </c>
      <c r="H471" t="s">
        <v>68</v>
      </c>
      <c r="I471" t="s">
        <v>24</v>
      </c>
      <c r="J471">
        <v>5350000</v>
      </c>
      <c r="K471">
        <v>4</v>
      </c>
      <c r="L471">
        <v>4</v>
      </c>
      <c r="M471">
        <v>4</v>
      </c>
      <c r="N471" t="s">
        <v>41</v>
      </c>
      <c r="O471" t="s">
        <v>35</v>
      </c>
      <c r="P471" t="s">
        <v>36</v>
      </c>
      <c r="Q471" s="5"/>
      <c r="S471">
        <f>DATEDIF(D471,DATE(2026,9,30),"Y")</f>
        <v>26</v>
      </c>
      <c r="T471" s="6">
        <f>(IF(Q471="",DATE(2026,9,30),Q471)-E471)/365.25</f>
        <v>0.70910335386721424</v>
      </c>
      <c r="U471" t="str">
        <f>_xlfn.XLOOKUP(Table1_1[[#This Row],[Bo''lim]],Bolimlar!A:A,Bolimlar!B:B,"Topilmadi")</f>
        <v>Shahlo Ismoilova</v>
      </c>
      <c r="V471">
        <f>IF(P471="Ha",1,0)</f>
        <v>0</v>
      </c>
      <c r="W471" t="str">
        <f>IF(T471&lt;1,"1 yildan kam",IF(T471&lt;3,"1-3 yil","3 yildan ko'p"))</f>
        <v>1 yildan kam</v>
      </c>
    </row>
    <row r="472" spans="1:23" x14ac:dyDescent="0.3">
      <c r="A472" t="s">
        <v>1152</v>
      </c>
      <c r="B472" t="s">
        <v>124</v>
      </c>
      <c r="C472" t="s">
        <v>31</v>
      </c>
      <c r="D472" s="5">
        <v>35833</v>
      </c>
      <c r="E472" s="5">
        <v>46046</v>
      </c>
      <c r="F472" t="s">
        <v>1226</v>
      </c>
      <c r="G472" t="s">
        <v>60</v>
      </c>
      <c r="H472" t="s">
        <v>33</v>
      </c>
      <c r="I472" t="s">
        <v>24</v>
      </c>
      <c r="J472">
        <v>5340000</v>
      </c>
      <c r="K472">
        <v>4</v>
      </c>
      <c r="L472">
        <v>3</v>
      </c>
      <c r="M472">
        <v>19</v>
      </c>
      <c r="N472" t="s">
        <v>25</v>
      </c>
      <c r="O472" t="s">
        <v>26</v>
      </c>
      <c r="P472" t="s">
        <v>36</v>
      </c>
      <c r="Q472" s="5"/>
      <c r="S472">
        <f>DATEDIF(D472,DATE(2026,9,30),"Y")</f>
        <v>28</v>
      </c>
      <c r="T472" s="6">
        <f>(IF(Q472="",DATE(2026,9,30),Q472)-E472)/365.25</f>
        <v>0.68172484599589322</v>
      </c>
      <c r="U472" t="str">
        <f>_xlfn.XLOOKUP(Table1_1[[#This Row],[Bo''lim]],Bolimlar!A:A,Bolimlar!B:B,"Topilmadi")</f>
        <v>Madina Abdullayeva</v>
      </c>
      <c r="V472">
        <f>IF(P472="Ha",1,0)</f>
        <v>0</v>
      </c>
      <c r="W472" t="str">
        <f>IF(T472&lt;1,"1 yildan kam",IF(T472&lt;3,"1-3 yil","3 yildan ko'p"))</f>
        <v>1 yildan kam</v>
      </c>
    </row>
    <row r="473" spans="1:23" x14ac:dyDescent="0.3">
      <c r="A473" t="s">
        <v>367</v>
      </c>
      <c r="B473" t="s">
        <v>368</v>
      </c>
      <c r="C473" t="s">
        <v>31</v>
      </c>
      <c r="D473" s="5">
        <v>35052</v>
      </c>
      <c r="E473" s="5">
        <v>43797</v>
      </c>
      <c r="F473" t="s">
        <v>1226</v>
      </c>
      <c r="G473" t="s">
        <v>60</v>
      </c>
      <c r="H473" t="s">
        <v>33</v>
      </c>
      <c r="I473" t="s">
        <v>206</v>
      </c>
      <c r="J473">
        <v>5330000</v>
      </c>
      <c r="K473">
        <v>4</v>
      </c>
      <c r="L473">
        <v>3</v>
      </c>
      <c r="M473">
        <v>20</v>
      </c>
      <c r="N473" t="s">
        <v>41</v>
      </c>
      <c r="O473" t="s">
        <v>26</v>
      </c>
      <c r="P473" t="s">
        <v>36</v>
      </c>
      <c r="Q473" s="5"/>
      <c r="S473">
        <f>DATEDIF(D473,DATE(2026,9,30),"Y")</f>
        <v>30</v>
      </c>
      <c r="T473" s="6">
        <f>(IF(Q473="",DATE(2026,9,30),Q473)-E473)/365.25</f>
        <v>6.839151266255989</v>
      </c>
      <c r="U473" t="str">
        <f>_xlfn.XLOOKUP(Table1_1[[#This Row],[Bo''lim]],Bolimlar!A:A,Bolimlar!B:B,"Topilmadi")</f>
        <v>Madina Abdullayeva</v>
      </c>
      <c r="V473">
        <f>IF(P473="Ha",1,0)</f>
        <v>0</v>
      </c>
      <c r="W473" t="str">
        <f>IF(T473&lt;1,"1 yildan kam",IF(T473&lt;3,"1-3 yil","3 yildan ko'p"))</f>
        <v>3 yildan ko'p</v>
      </c>
    </row>
    <row r="474" spans="1:23" x14ac:dyDescent="0.3">
      <c r="A474" t="s">
        <v>1051</v>
      </c>
      <c r="B474" t="s">
        <v>1052</v>
      </c>
      <c r="C474" t="s">
        <v>20</v>
      </c>
      <c r="D474" s="5">
        <v>33007</v>
      </c>
      <c r="E474" s="5">
        <v>44924</v>
      </c>
      <c r="F474" t="s">
        <v>484</v>
      </c>
      <c r="G474" t="s">
        <v>115</v>
      </c>
      <c r="H474" t="s">
        <v>68</v>
      </c>
      <c r="I474" t="s">
        <v>34</v>
      </c>
      <c r="J474">
        <v>5320000</v>
      </c>
      <c r="K474">
        <v>3</v>
      </c>
      <c r="L474">
        <v>3</v>
      </c>
      <c r="M474">
        <v>7</v>
      </c>
      <c r="N474" t="s">
        <v>25</v>
      </c>
      <c r="O474" t="s">
        <v>26</v>
      </c>
      <c r="P474" t="s">
        <v>36</v>
      </c>
      <c r="Q474" s="5"/>
      <c r="S474">
        <f>DATEDIF(D474,DATE(2026,9,30),"Y")</f>
        <v>36</v>
      </c>
      <c r="T474" s="6">
        <f>(IF(Q474="",DATE(2026,9,30),Q474)-E474)/365.25</f>
        <v>3.7535934291581108</v>
      </c>
      <c r="U474" t="str">
        <f>_xlfn.XLOOKUP(Table1_1[[#This Row],[Bo''lim]],Bolimlar!A:A,Bolimlar!B:B,"Topilmadi")</f>
        <v>Sardor Nazarov</v>
      </c>
      <c r="V474">
        <f>IF(P474="Ha",1,0)</f>
        <v>0</v>
      </c>
      <c r="W474" t="str">
        <f>IF(T474&lt;1,"1 yildan kam",IF(T474&lt;3,"1-3 yil","3 yildan ko'p"))</f>
        <v>3 yildan ko'p</v>
      </c>
    </row>
    <row r="475" spans="1:23" x14ac:dyDescent="0.3">
      <c r="A475" t="s">
        <v>931</v>
      </c>
      <c r="B475" t="s">
        <v>822</v>
      </c>
      <c r="C475" t="s">
        <v>20</v>
      </c>
      <c r="D475" s="5">
        <v>31748</v>
      </c>
      <c r="E475" s="5">
        <v>44053</v>
      </c>
      <c r="F475" t="s">
        <v>484</v>
      </c>
      <c r="G475" t="s">
        <v>115</v>
      </c>
      <c r="H475" t="s">
        <v>68</v>
      </c>
      <c r="I475" t="s">
        <v>206</v>
      </c>
      <c r="J475">
        <v>5290000</v>
      </c>
      <c r="K475">
        <v>3</v>
      </c>
      <c r="L475">
        <v>5</v>
      </c>
      <c r="M475">
        <v>35</v>
      </c>
      <c r="N475" t="s">
        <v>41</v>
      </c>
      <c r="O475" t="s">
        <v>26</v>
      </c>
      <c r="P475" t="s">
        <v>36</v>
      </c>
      <c r="Q475" s="5"/>
      <c r="S475">
        <f>DATEDIF(D475,DATE(2026,9,30),"Y")</f>
        <v>39</v>
      </c>
      <c r="T475" s="6">
        <f>(IF(Q475="",DATE(2026,9,30),Q475)-E475)/365.25</f>
        <v>6.1382614647501708</v>
      </c>
      <c r="U475" t="str">
        <f>_xlfn.XLOOKUP(Table1_1[[#This Row],[Bo''lim]],Bolimlar!A:A,Bolimlar!B:B,"Topilmadi")</f>
        <v>Sardor Nazarov</v>
      </c>
      <c r="V475">
        <f>IF(P475="Ha",1,0)</f>
        <v>0</v>
      </c>
      <c r="W475" t="str">
        <f>IF(T475&lt;1,"1 yildan kam",IF(T475&lt;3,"1-3 yil","3 yildan ko'p"))</f>
        <v>3 yildan ko'p</v>
      </c>
    </row>
    <row r="476" spans="1:23" x14ac:dyDescent="0.3">
      <c r="A476" t="s">
        <v>750</v>
      </c>
      <c r="B476" t="s">
        <v>751</v>
      </c>
      <c r="C476" t="s">
        <v>31</v>
      </c>
      <c r="D476" s="5">
        <v>33676</v>
      </c>
      <c r="E476" s="5">
        <v>44907</v>
      </c>
      <c r="F476" t="s">
        <v>1226</v>
      </c>
      <c r="G476" t="s">
        <v>142</v>
      </c>
      <c r="H476" t="s">
        <v>33</v>
      </c>
      <c r="I476" t="s">
        <v>206</v>
      </c>
      <c r="J476">
        <v>5280000</v>
      </c>
      <c r="K476">
        <v>4</v>
      </c>
      <c r="L476">
        <v>3</v>
      </c>
      <c r="M476">
        <v>27</v>
      </c>
      <c r="N476" t="s">
        <v>41</v>
      </c>
      <c r="O476" t="s">
        <v>26</v>
      </c>
      <c r="P476" t="s">
        <v>36</v>
      </c>
      <c r="Q476" s="5"/>
      <c r="S476">
        <f>DATEDIF(D476,DATE(2026,9,30),"Y")</f>
        <v>34</v>
      </c>
      <c r="T476" s="6">
        <f>(IF(Q476="",DATE(2026,9,30),Q476)-E476)/365.25</f>
        <v>3.8001368925393568</v>
      </c>
      <c r="U476" t="str">
        <f>_xlfn.XLOOKUP(Table1_1[[#This Row],[Bo''lim]],Bolimlar!A:A,Bolimlar!B:B,"Topilmadi")</f>
        <v>Madina Abdullayeva</v>
      </c>
      <c r="V476">
        <f>IF(P476="Ha",1,0)</f>
        <v>0</v>
      </c>
      <c r="W476" t="str">
        <f>IF(T476&lt;1,"1 yildan kam",IF(T476&lt;3,"1-3 yil","3 yildan ko'p"))</f>
        <v>3 yildan ko'p</v>
      </c>
    </row>
    <row r="477" spans="1:23" x14ac:dyDescent="0.3">
      <c r="A477" t="s">
        <v>1065</v>
      </c>
      <c r="B477" t="s">
        <v>1066</v>
      </c>
      <c r="C477" t="s">
        <v>31</v>
      </c>
      <c r="D477" s="5">
        <v>37768</v>
      </c>
      <c r="E477" s="5">
        <v>45783</v>
      </c>
      <c r="F477" t="s">
        <v>1226</v>
      </c>
      <c r="G477" t="s">
        <v>60</v>
      </c>
      <c r="H477" t="s">
        <v>33</v>
      </c>
      <c r="I477" t="s">
        <v>24</v>
      </c>
      <c r="J477">
        <v>5280000</v>
      </c>
      <c r="K477">
        <v>5</v>
      </c>
      <c r="L477">
        <v>4</v>
      </c>
      <c r="M477">
        <v>5</v>
      </c>
      <c r="N477" t="s">
        <v>88</v>
      </c>
      <c r="O477" t="s">
        <v>26</v>
      </c>
      <c r="P477" t="s">
        <v>36</v>
      </c>
      <c r="Q477" s="5"/>
      <c r="S477">
        <f>DATEDIF(D477,DATE(2026,9,30),"Y")</f>
        <v>23</v>
      </c>
      <c r="T477" s="6">
        <f>(IF(Q477="",DATE(2026,9,30),Q477)-E477)/365.25</f>
        <v>1.4017796030116358</v>
      </c>
      <c r="U477" t="str">
        <f>_xlfn.XLOOKUP(Table1_1[[#This Row],[Bo''lim]],Bolimlar!A:A,Bolimlar!B:B,"Topilmadi")</f>
        <v>Madina Abdullayeva</v>
      </c>
      <c r="V477">
        <f>IF(P477="Ha",1,0)</f>
        <v>0</v>
      </c>
      <c r="W477" t="str">
        <f>IF(T477&lt;1,"1 yildan kam",IF(T477&lt;3,"1-3 yil","3 yildan ko'p"))</f>
        <v>1-3 yil</v>
      </c>
    </row>
    <row r="478" spans="1:23" x14ac:dyDescent="0.3">
      <c r="A478" t="s">
        <v>1190</v>
      </c>
      <c r="B478" t="s">
        <v>437</v>
      </c>
      <c r="C478" t="s">
        <v>20</v>
      </c>
      <c r="D478" s="5">
        <v>36028</v>
      </c>
      <c r="E478" s="5">
        <v>44592</v>
      </c>
      <c r="F478" t="s">
        <v>1300</v>
      </c>
      <c r="G478" t="s">
        <v>93</v>
      </c>
      <c r="H478" t="s">
        <v>68</v>
      </c>
      <c r="I478" t="s">
        <v>24</v>
      </c>
      <c r="J478">
        <v>5230000</v>
      </c>
      <c r="K478">
        <v>5</v>
      </c>
      <c r="L478">
        <v>3</v>
      </c>
      <c r="M478">
        <v>17</v>
      </c>
      <c r="N478" t="s">
        <v>25</v>
      </c>
      <c r="O478" t="s">
        <v>26</v>
      </c>
      <c r="P478" t="s">
        <v>27</v>
      </c>
      <c r="Q478" s="5">
        <v>45771</v>
      </c>
      <c r="R478" t="s">
        <v>28</v>
      </c>
      <c r="S478">
        <f>DATEDIF(D478,DATE(2026,9,30),"Y")</f>
        <v>28</v>
      </c>
      <c r="T478" s="6">
        <f>(IF(Q478="",DATE(2026,9,30),Q478)-E478)/365.25</f>
        <v>3.2279260780287475</v>
      </c>
      <c r="U478" t="str">
        <f>_xlfn.XLOOKUP(Table1_1[[#This Row],[Bo''lim]],Bolimlar!A:A,Bolimlar!B:B,"Topilmadi")</f>
        <v>Shahlo Ismoilova</v>
      </c>
      <c r="V478">
        <f>IF(P478="Ha",1,0)</f>
        <v>1</v>
      </c>
      <c r="W478" t="str">
        <f>IF(T478&lt;1,"1 yildan kam",IF(T478&lt;3,"1-3 yil","3 yildan ko'p"))</f>
        <v>3 yildan ko'p</v>
      </c>
    </row>
    <row r="479" spans="1:23" x14ac:dyDescent="0.3">
      <c r="A479" t="s">
        <v>255</v>
      </c>
      <c r="B479" t="s">
        <v>256</v>
      </c>
      <c r="C479" t="s">
        <v>20</v>
      </c>
      <c r="D479" s="5">
        <v>36875</v>
      </c>
      <c r="E479" s="5">
        <v>45999</v>
      </c>
      <c r="F479" t="s">
        <v>21</v>
      </c>
      <c r="G479" t="s">
        <v>22</v>
      </c>
      <c r="H479" t="s">
        <v>33</v>
      </c>
      <c r="I479" t="s">
        <v>44</v>
      </c>
      <c r="J479">
        <v>5220000</v>
      </c>
      <c r="K479">
        <v>4</v>
      </c>
      <c r="L479">
        <v>4</v>
      </c>
      <c r="M479">
        <v>34</v>
      </c>
      <c r="N479" t="s">
        <v>41</v>
      </c>
      <c r="O479" t="s">
        <v>53</v>
      </c>
      <c r="P479" t="s">
        <v>36</v>
      </c>
      <c r="Q479" s="5"/>
      <c r="S479">
        <f>DATEDIF(D479,DATE(2026,9,30),"Y")</f>
        <v>25</v>
      </c>
      <c r="T479" s="6">
        <f>(IF(Q479="",DATE(2026,9,30),Q479)-E479)/365.25</f>
        <v>0.81040383299110197</v>
      </c>
      <c r="U479" t="str">
        <f>_xlfn.XLOOKUP(Table1_1[[#This Row],[Bo''lim]],Bolimlar!A:A,Bolimlar!B:B,"Topilmadi")</f>
        <v>Jasur Yusupov</v>
      </c>
      <c r="V479">
        <f>IF(P479="Ha",1,0)</f>
        <v>0</v>
      </c>
      <c r="W479" t="str">
        <f>IF(T479&lt;1,"1 yildan kam",IF(T479&lt;3,"1-3 yil","3 yildan ko'p"))</f>
        <v>1 yildan kam</v>
      </c>
    </row>
    <row r="480" spans="1:23" x14ac:dyDescent="0.3">
      <c r="A480" t="s">
        <v>399</v>
      </c>
      <c r="B480" t="s">
        <v>400</v>
      </c>
      <c r="C480" t="s">
        <v>31</v>
      </c>
      <c r="D480" s="5">
        <v>37806</v>
      </c>
      <c r="E480" s="5">
        <v>45401</v>
      </c>
      <c r="F480" t="s">
        <v>21</v>
      </c>
      <c r="G480" t="s">
        <v>32</v>
      </c>
      <c r="H480" t="s">
        <v>33</v>
      </c>
      <c r="I480" t="s">
        <v>24</v>
      </c>
      <c r="J480">
        <v>5200000</v>
      </c>
      <c r="K480">
        <v>4</v>
      </c>
      <c r="L480">
        <v>3</v>
      </c>
      <c r="M480">
        <v>27</v>
      </c>
      <c r="N480" t="s">
        <v>41</v>
      </c>
      <c r="O480" t="s">
        <v>35</v>
      </c>
      <c r="P480" t="s">
        <v>27</v>
      </c>
      <c r="Q480" s="5">
        <v>46063</v>
      </c>
      <c r="R480" t="s">
        <v>401</v>
      </c>
      <c r="S480">
        <f>DATEDIF(D480,DATE(2026,9,30),"Y")</f>
        <v>23</v>
      </c>
      <c r="T480" s="6">
        <f>(IF(Q480="",DATE(2026,9,30),Q480)-E480)/365.25</f>
        <v>1.8124572210814511</v>
      </c>
      <c r="U480" t="str">
        <f>_xlfn.XLOOKUP(Table1_1[[#This Row],[Bo''lim]],Bolimlar!A:A,Bolimlar!B:B,"Topilmadi")</f>
        <v>Jasur Yusupov</v>
      </c>
      <c r="V480">
        <f>IF(P480="Ha",1,0)</f>
        <v>1</v>
      </c>
      <c r="W480" t="str">
        <f>IF(T480&lt;1,"1 yildan kam",IF(T480&lt;3,"1-3 yil","3 yildan ko'p"))</f>
        <v>1-3 yil</v>
      </c>
    </row>
    <row r="481" spans="1:23" x14ac:dyDescent="0.3">
      <c r="A481" t="s">
        <v>107</v>
      </c>
      <c r="B481" t="s">
        <v>108</v>
      </c>
      <c r="C481" t="s">
        <v>20</v>
      </c>
      <c r="D481" s="5">
        <v>34399</v>
      </c>
      <c r="E481" s="5">
        <v>46166</v>
      </c>
      <c r="F481" t="s">
        <v>245</v>
      </c>
      <c r="G481" t="s">
        <v>90</v>
      </c>
      <c r="H481" t="s">
        <v>33</v>
      </c>
      <c r="I481" t="s">
        <v>24</v>
      </c>
      <c r="J481">
        <v>5190000</v>
      </c>
      <c r="K481">
        <v>4</v>
      </c>
      <c r="L481">
        <v>2</v>
      </c>
      <c r="M481">
        <v>9</v>
      </c>
      <c r="N481" t="s">
        <v>88</v>
      </c>
      <c r="O481" t="s">
        <v>35</v>
      </c>
      <c r="P481" t="s">
        <v>36</v>
      </c>
      <c r="Q481" s="5"/>
      <c r="S481">
        <f>DATEDIF(D481,DATE(2026,9,30),"Y")</f>
        <v>32</v>
      </c>
      <c r="T481" s="6">
        <f>(IF(Q481="",DATE(2026,9,30),Q481)-E481)/365.25</f>
        <v>0.35318275154004108</v>
      </c>
      <c r="U481" t="str">
        <f>_xlfn.XLOOKUP(Table1_1[[#This Row],[Bo''lim]],Bolimlar!A:A,Bolimlar!B:B,"Topilmadi")</f>
        <v>Dilnoza Rahimova</v>
      </c>
      <c r="V481">
        <f>IF(P481="Ha",1,0)</f>
        <v>0</v>
      </c>
      <c r="W481" t="str">
        <f>IF(T481&lt;1,"1 yildan kam",IF(T481&lt;3,"1-3 yil","3 yildan ko'p"))</f>
        <v>1 yildan kam</v>
      </c>
    </row>
    <row r="482" spans="1:23" x14ac:dyDescent="0.3">
      <c r="A482" t="s">
        <v>164</v>
      </c>
      <c r="B482" t="s">
        <v>165</v>
      </c>
      <c r="C482" t="s">
        <v>20</v>
      </c>
      <c r="D482" s="5">
        <v>33144</v>
      </c>
      <c r="E482" s="5">
        <v>44048</v>
      </c>
      <c r="F482" t="s">
        <v>1300</v>
      </c>
      <c r="G482" t="s">
        <v>93</v>
      </c>
      <c r="H482" t="s">
        <v>68</v>
      </c>
      <c r="I482" t="s">
        <v>24</v>
      </c>
      <c r="J482">
        <v>5180000</v>
      </c>
      <c r="K482">
        <v>3</v>
      </c>
      <c r="L482">
        <v>3</v>
      </c>
      <c r="M482">
        <v>11</v>
      </c>
      <c r="N482" t="s">
        <v>41</v>
      </c>
      <c r="O482" t="s">
        <v>35</v>
      </c>
      <c r="P482" t="s">
        <v>36</v>
      </c>
      <c r="Q482" s="5"/>
      <c r="S482">
        <f>DATEDIF(D482,DATE(2026,9,30),"Y")</f>
        <v>36</v>
      </c>
      <c r="T482" s="6">
        <f>(IF(Q482="",DATE(2026,9,30),Q482)-E482)/365.25</f>
        <v>6.151950718685832</v>
      </c>
      <c r="U482" t="str">
        <f>_xlfn.XLOOKUP(Table1_1[[#This Row],[Bo''lim]],Bolimlar!A:A,Bolimlar!B:B,"Topilmadi")</f>
        <v>Shahlo Ismoilova</v>
      </c>
      <c r="V482">
        <f>IF(P482="Ha",1,0)</f>
        <v>0</v>
      </c>
      <c r="W482" t="str">
        <f>IF(T482&lt;1,"1 yildan kam",IF(T482&lt;3,"1-3 yil","3 yildan ko'p"))</f>
        <v>3 yildan ko'p</v>
      </c>
    </row>
    <row r="483" spans="1:23" x14ac:dyDescent="0.3">
      <c r="A483" t="s">
        <v>1079</v>
      </c>
      <c r="B483" t="s">
        <v>415</v>
      </c>
      <c r="C483" t="s">
        <v>20</v>
      </c>
      <c r="D483" s="5">
        <v>36630</v>
      </c>
      <c r="E483" s="5">
        <v>45515</v>
      </c>
      <c r="F483" t="s">
        <v>21</v>
      </c>
      <c r="G483" t="s">
        <v>32</v>
      </c>
      <c r="H483" t="s">
        <v>33</v>
      </c>
      <c r="I483" t="s">
        <v>24</v>
      </c>
      <c r="J483">
        <v>5180000</v>
      </c>
      <c r="K483">
        <v>3</v>
      </c>
      <c r="L483">
        <v>2</v>
      </c>
      <c r="M483">
        <v>13</v>
      </c>
      <c r="N483" t="s">
        <v>41</v>
      </c>
      <c r="O483" t="s">
        <v>26</v>
      </c>
      <c r="P483" t="s">
        <v>36</v>
      </c>
      <c r="Q483" s="5"/>
      <c r="S483">
        <f>DATEDIF(D483,DATE(2026,9,30),"Y")</f>
        <v>26</v>
      </c>
      <c r="T483" s="6">
        <f>(IF(Q483="",DATE(2026,9,30),Q483)-E483)/365.25</f>
        <v>2.1355236139630391</v>
      </c>
      <c r="U483" t="str">
        <f>_xlfn.XLOOKUP(Table1_1[[#This Row],[Bo''lim]],Bolimlar!A:A,Bolimlar!B:B,"Topilmadi")</f>
        <v>Jasur Yusupov</v>
      </c>
      <c r="V483">
        <f>IF(P483="Ha",1,0)</f>
        <v>0</v>
      </c>
      <c r="W483" t="str">
        <f>IF(T483&lt;1,"1 yildan kam",IF(T483&lt;3,"1-3 yil","3 yildan ko'p"))</f>
        <v>1-3 yil</v>
      </c>
    </row>
    <row r="484" spans="1:23" x14ac:dyDescent="0.3">
      <c r="A484" t="s">
        <v>987</v>
      </c>
      <c r="B484" t="s">
        <v>487</v>
      </c>
      <c r="C484" t="s">
        <v>31</v>
      </c>
      <c r="D484" s="5">
        <v>36563</v>
      </c>
      <c r="E484" s="5">
        <v>45504</v>
      </c>
      <c r="F484" t="s">
        <v>21</v>
      </c>
      <c r="G484" t="s">
        <v>103</v>
      </c>
      <c r="H484" t="s">
        <v>33</v>
      </c>
      <c r="I484" t="s">
        <v>82</v>
      </c>
      <c r="J484">
        <v>5170000</v>
      </c>
      <c r="K484">
        <v>4</v>
      </c>
      <c r="L484">
        <v>3</v>
      </c>
      <c r="M484">
        <v>0</v>
      </c>
      <c r="N484" t="s">
        <v>41</v>
      </c>
      <c r="O484" t="s">
        <v>53</v>
      </c>
      <c r="P484" t="s">
        <v>36</v>
      </c>
      <c r="Q484" s="5"/>
      <c r="S484">
        <f>DATEDIF(D484,DATE(2026,9,30),"Y")</f>
        <v>26</v>
      </c>
      <c r="T484" s="6">
        <f>(IF(Q484="",DATE(2026,9,30),Q484)-E484)/365.25</f>
        <v>2.1656399726214923</v>
      </c>
      <c r="U484" t="str">
        <f>_xlfn.XLOOKUP(Table1_1[[#This Row],[Bo''lim]],Bolimlar!A:A,Bolimlar!B:B,"Topilmadi")</f>
        <v>Jasur Yusupov</v>
      </c>
      <c r="V484">
        <f>IF(P484="Ha",1,0)</f>
        <v>0</v>
      </c>
      <c r="W484" t="str">
        <f>IF(T484&lt;1,"1 yildan kam",IF(T484&lt;3,"1-3 yil","3 yildan ko'p"))</f>
        <v>1-3 yil</v>
      </c>
    </row>
    <row r="485" spans="1:23" x14ac:dyDescent="0.3">
      <c r="A485" t="s">
        <v>1038</v>
      </c>
      <c r="B485" t="s">
        <v>403</v>
      </c>
      <c r="C485" t="s">
        <v>20</v>
      </c>
      <c r="D485" s="5">
        <v>35584</v>
      </c>
      <c r="E485" s="5">
        <v>45252</v>
      </c>
      <c r="F485" t="s">
        <v>484</v>
      </c>
      <c r="G485" t="s">
        <v>150</v>
      </c>
      <c r="H485" t="s">
        <v>68</v>
      </c>
      <c r="I485" t="s">
        <v>24</v>
      </c>
      <c r="J485">
        <v>5170000</v>
      </c>
      <c r="K485">
        <v>3</v>
      </c>
      <c r="L485">
        <v>3</v>
      </c>
      <c r="M485">
        <v>9</v>
      </c>
      <c r="N485" t="s">
        <v>88</v>
      </c>
      <c r="O485" t="s">
        <v>53</v>
      </c>
      <c r="P485" t="s">
        <v>36</v>
      </c>
      <c r="Q485" s="5"/>
      <c r="S485">
        <f>DATEDIF(D485,DATE(2026,9,30),"Y")</f>
        <v>29</v>
      </c>
      <c r="T485" s="6">
        <f>(IF(Q485="",DATE(2026,9,30),Q485)-E485)/365.25</f>
        <v>2.8555783709787819</v>
      </c>
      <c r="U485" t="str">
        <f>_xlfn.XLOOKUP(Table1_1[[#This Row],[Bo''lim]],Bolimlar!A:A,Bolimlar!B:B,"Topilmadi")</f>
        <v>Sardor Nazarov</v>
      </c>
      <c r="V485">
        <f>IF(P485="Ha",1,0)</f>
        <v>0</v>
      </c>
      <c r="W485" t="str">
        <f>IF(T485&lt;1,"1 yildan kam",IF(T485&lt;3,"1-3 yil","3 yildan ko'p"))</f>
        <v>1-3 yil</v>
      </c>
    </row>
    <row r="486" spans="1:23" x14ac:dyDescent="0.3">
      <c r="A486" t="s">
        <v>282</v>
      </c>
      <c r="B486" t="s">
        <v>283</v>
      </c>
      <c r="C486" t="s">
        <v>31</v>
      </c>
      <c r="D486" s="5">
        <v>34629</v>
      </c>
      <c r="E486" s="5">
        <v>43638</v>
      </c>
      <c r="F486" t="s">
        <v>484</v>
      </c>
      <c r="G486" t="s">
        <v>115</v>
      </c>
      <c r="H486" t="s">
        <v>68</v>
      </c>
      <c r="I486" t="s">
        <v>24</v>
      </c>
      <c r="J486">
        <v>5160000</v>
      </c>
      <c r="K486">
        <v>4</v>
      </c>
      <c r="L486">
        <v>3</v>
      </c>
      <c r="M486">
        <v>18</v>
      </c>
      <c r="N486" t="s">
        <v>41</v>
      </c>
      <c r="O486" t="s">
        <v>26</v>
      </c>
      <c r="P486" t="s">
        <v>36</v>
      </c>
      <c r="Q486" s="5"/>
      <c r="S486">
        <f>DATEDIF(D486,DATE(2026,9,30),"Y")</f>
        <v>31</v>
      </c>
      <c r="T486" s="6">
        <f>(IF(Q486="",DATE(2026,9,30),Q486)-E486)/365.25</f>
        <v>7.2744695414099931</v>
      </c>
      <c r="U486" t="str">
        <f>_xlfn.XLOOKUP(Table1_1[[#This Row],[Bo''lim]],Bolimlar!A:A,Bolimlar!B:B,"Topilmadi")</f>
        <v>Sardor Nazarov</v>
      </c>
      <c r="V486">
        <f>IF(P486="Ha",1,0)</f>
        <v>0</v>
      </c>
      <c r="W486" t="str">
        <f>IF(T486&lt;1,"1 yildan kam",IF(T486&lt;3,"1-3 yil","3 yildan ko'p"))</f>
        <v>3 yildan ko'p</v>
      </c>
    </row>
    <row r="487" spans="1:23" x14ac:dyDescent="0.3">
      <c r="A487" t="s">
        <v>1182</v>
      </c>
      <c r="B487" t="s">
        <v>725</v>
      </c>
      <c r="C487" t="s">
        <v>20</v>
      </c>
      <c r="D487" s="5">
        <v>36092</v>
      </c>
      <c r="E487" s="5">
        <v>45931</v>
      </c>
      <c r="F487" t="s">
        <v>1300</v>
      </c>
      <c r="G487" t="s">
        <v>93</v>
      </c>
      <c r="H487" t="s">
        <v>68</v>
      </c>
      <c r="I487" t="s">
        <v>24</v>
      </c>
      <c r="J487">
        <v>5150000</v>
      </c>
      <c r="K487">
        <v>3</v>
      </c>
      <c r="L487">
        <v>1</v>
      </c>
      <c r="M487">
        <v>7</v>
      </c>
      <c r="N487" t="s">
        <v>25</v>
      </c>
      <c r="O487" t="s">
        <v>26</v>
      </c>
      <c r="P487" t="s">
        <v>27</v>
      </c>
      <c r="Q487" s="5">
        <v>46102</v>
      </c>
      <c r="R487" t="s">
        <v>155</v>
      </c>
      <c r="S487">
        <f>DATEDIF(D487,DATE(2026,9,30),"Y")</f>
        <v>27</v>
      </c>
      <c r="T487" s="6">
        <f>(IF(Q487="",DATE(2026,9,30),Q487)-E487)/365.25</f>
        <v>0.46817248459958932</v>
      </c>
      <c r="U487" t="str">
        <f>_xlfn.XLOOKUP(Table1_1[[#This Row],[Bo''lim]],Bolimlar!A:A,Bolimlar!B:B,"Topilmadi")</f>
        <v>Shahlo Ismoilova</v>
      </c>
      <c r="V487">
        <f>IF(P487="Ha",1,0)</f>
        <v>1</v>
      </c>
      <c r="W487" t="str">
        <f>IF(T487&lt;1,"1 yildan kam",IF(T487&lt;3,"1-3 yil","3 yildan ko'p"))</f>
        <v>1 yildan kam</v>
      </c>
    </row>
    <row r="488" spans="1:23" x14ac:dyDescent="0.3">
      <c r="A488" t="s">
        <v>540</v>
      </c>
      <c r="B488" t="s">
        <v>541</v>
      </c>
      <c r="C488" t="s">
        <v>31</v>
      </c>
      <c r="D488" s="5">
        <v>35229</v>
      </c>
      <c r="E488" s="5">
        <v>45107</v>
      </c>
      <c r="F488" t="s">
        <v>21</v>
      </c>
      <c r="G488" t="s">
        <v>103</v>
      </c>
      <c r="H488" t="s">
        <v>33</v>
      </c>
      <c r="I488" t="s">
        <v>96</v>
      </c>
      <c r="J488">
        <v>5140000</v>
      </c>
      <c r="K488">
        <v>4</v>
      </c>
      <c r="L488">
        <v>3</v>
      </c>
      <c r="M488">
        <v>23</v>
      </c>
      <c r="N488" t="s">
        <v>25</v>
      </c>
      <c r="O488" t="s">
        <v>35</v>
      </c>
      <c r="P488" t="s">
        <v>36</v>
      </c>
      <c r="Q488" s="5"/>
      <c r="S488">
        <f>DATEDIF(D488,DATE(2026,9,30),"Y")</f>
        <v>30</v>
      </c>
      <c r="T488" s="6">
        <f>(IF(Q488="",DATE(2026,9,30),Q488)-E488)/365.25</f>
        <v>3.2525667351129361</v>
      </c>
      <c r="U488" t="str">
        <f>_xlfn.XLOOKUP(Table1_1[[#This Row],[Bo''lim]],Bolimlar!A:A,Bolimlar!B:B,"Topilmadi")</f>
        <v>Jasur Yusupov</v>
      </c>
      <c r="V488">
        <f>IF(P488="Ha",1,0)</f>
        <v>0</v>
      </c>
      <c r="W488" t="str">
        <f>IF(T488&lt;1,"1 yildan kam",IF(T488&lt;3,"1-3 yil","3 yildan ko'p"))</f>
        <v>3 yildan ko'p</v>
      </c>
    </row>
    <row r="489" spans="1:23" x14ac:dyDescent="0.3">
      <c r="A489" t="s">
        <v>917</v>
      </c>
      <c r="B489" t="s">
        <v>918</v>
      </c>
      <c r="C489" t="s">
        <v>31</v>
      </c>
      <c r="D489" s="5">
        <v>29538</v>
      </c>
      <c r="E489" s="5">
        <v>44050</v>
      </c>
      <c r="F489" t="s">
        <v>484</v>
      </c>
      <c r="G489" t="s">
        <v>115</v>
      </c>
      <c r="H489" t="s">
        <v>68</v>
      </c>
      <c r="I489" t="s">
        <v>24</v>
      </c>
      <c r="J489">
        <v>5140000</v>
      </c>
      <c r="K489">
        <v>4</v>
      </c>
      <c r="L489">
        <v>4</v>
      </c>
      <c r="M489">
        <v>33</v>
      </c>
      <c r="N489" t="s">
        <v>41</v>
      </c>
      <c r="O489" t="s">
        <v>35</v>
      </c>
      <c r="P489" t="s">
        <v>36</v>
      </c>
      <c r="Q489" s="5"/>
      <c r="S489">
        <f>DATEDIF(D489,DATE(2026,9,30),"Y")</f>
        <v>45</v>
      </c>
      <c r="T489" s="6">
        <f>(IF(Q489="",DATE(2026,9,30),Q489)-E489)/365.25</f>
        <v>6.1464750171115679</v>
      </c>
      <c r="U489" t="str">
        <f>_xlfn.XLOOKUP(Table1_1[[#This Row],[Bo''lim]],Bolimlar!A:A,Bolimlar!B:B,"Topilmadi")</f>
        <v>Sardor Nazarov</v>
      </c>
      <c r="V489">
        <f>IF(P489="Ha",1,0)</f>
        <v>0</v>
      </c>
      <c r="W489" t="str">
        <f>IF(T489&lt;1,"1 yildan kam",IF(T489&lt;3,"1-3 yil","3 yildan ko'p"))</f>
        <v>3 yildan ko'p</v>
      </c>
    </row>
    <row r="490" spans="1:23" x14ac:dyDescent="0.3">
      <c r="A490" t="s">
        <v>1215</v>
      </c>
      <c r="B490" t="s">
        <v>522</v>
      </c>
      <c r="C490" t="s">
        <v>31</v>
      </c>
      <c r="D490" s="5">
        <v>35636</v>
      </c>
      <c r="E490" s="5">
        <v>45478</v>
      </c>
      <c r="F490" t="s">
        <v>1300</v>
      </c>
      <c r="G490" t="s">
        <v>52</v>
      </c>
      <c r="H490" t="s">
        <v>68</v>
      </c>
      <c r="I490" t="s">
        <v>24</v>
      </c>
      <c r="J490">
        <v>5140000</v>
      </c>
      <c r="K490">
        <v>1</v>
      </c>
      <c r="L490">
        <v>5</v>
      </c>
      <c r="M490">
        <v>18</v>
      </c>
      <c r="N490" t="s">
        <v>88</v>
      </c>
      <c r="O490" t="s">
        <v>35</v>
      </c>
      <c r="P490" t="s">
        <v>36</v>
      </c>
      <c r="Q490" s="5"/>
      <c r="S490">
        <f>DATEDIF(D490,DATE(2026,9,30),"Y")</f>
        <v>29</v>
      </c>
      <c r="T490" s="6">
        <f>(IF(Q490="",DATE(2026,9,30),Q490)-E490)/365.25</f>
        <v>2.236824093086927</v>
      </c>
      <c r="U490" t="str">
        <f>_xlfn.XLOOKUP(Table1_1[[#This Row],[Bo''lim]],Bolimlar!A:A,Bolimlar!B:B,"Topilmadi")</f>
        <v>Shahlo Ismoilova</v>
      </c>
      <c r="V490">
        <f>IF(P490="Ha",1,0)</f>
        <v>0</v>
      </c>
      <c r="W490" t="str">
        <f>IF(T490&lt;1,"1 yildan kam",IF(T490&lt;3,"1-3 yil","3 yildan ko'p"))</f>
        <v>1-3 yil</v>
      </c>
    </row>
    <row r="491" spans="1:23" x14ac:dyDescent="0.3">
      <c r="A491" t="s">
        <v>1031</v>
      </c>
      <c r="B491" t="s">
        <v>695</v>
      </c>
      <c r="C491" t="s">
        <v>31</v>
      </c>
      <c r="D491" s="5">
        <v>34070</v>
      </c>
      <c r="E491" s="5">
        <v>45908</v>
      </c>
      <c r="F491" t="s">
        <v>21</v>
      </c>
      <c r="G491" t="s">
        <v>32</v>
      </c>
      <c r="H491" t="s">
        <v>33</v>
      </c>
      <c r="I491" t="s">
        <v>24</v>
      </c>
      <c r="J491">
        <v>5130000</v>
      </c>
      <c r="K491">
        <v>5</v>
      </c>
      <c r="L491">
        <v>4</v>
      </c>
      <c r="M491">
        <v>6</v>
      </c>
      <c r="N491" t="s">
        <v>25</v>
      </c>
      <c r="O491" t="s">
        <v>53</v>
      </c>
      <c r="P491" t="s">
        <v>36</v>
      </c>
      <c r="Q491" s="5"/>
      <c r="S491">
        <f>DATEDIF(D491,DATE(2026,9,30),"Y")</f>
        <v>33</v>
      </c>
      <c r="T491" s="6">
        <f>(IF(Q491="",DATE(2026,9,30),Q491)-E491)/365.25</f>
        <v>1.0595482546201231</v>
      </c>
      <c r="U491" t="str">
        <f>_xlfn.XLOOKUP(Table1_1[[#This Row],[Bo''lim]],Bolimlar!A:A,Bolimlar!B:B,"Topilmadi")</f>
        <v>Jasur Yusupov</v>
      </c>
      <c r="V491">
        <f>IF(P491="Ha",1,0)</f>
        <v>0</v>
      </c>
      <c r="W491" t="str">
        <f>IF(T491&lt;1,"1 yildan kam",IF(T491&lt;3,"1-3 yil","3 yildan ko'p"))</f>
        <v>1-3 yil</v>
      </c>
    </row>
    <row r="492" spans="1:23" x14ac:dyDescent="0.3">
      <c r="A492" t="s">
        <v>783</v>
      </c>
      <c r="B492" t="s">
        <v>784</v>
      </c>
      <c r="C492" t="s">
        <v>31</v>
      </c>
      <c r="D492" s="5">
        <v>30260</v>
      </c>
      <c r="E492" s="5">
        <v>42205</v>
      </c>
      <c r="F492" t="s">
        <v>1300</v>
      </c>
      <c r="G492" t="s">
        <v>93</v>
      </c>
      <c r="H492" t="s">
        <v>68</v>
      </c>
      <c r="I492" t="s">
        <v>44</v>
      </c>
      <c r="J492">
        <v>5120000</v>
      </c>
      <c r="K492">
        <v>3</v>
      </c>
      <c r="L492">
        <v>2</v>
      </c>
      <c r="M492">
        <v>11</v>
      </c>
      <c r="N492" t="s">
        <v>25</v>
      </c>
      <c r="P492" t="s">
        <v>36</v>
      </c>
      <c r="Q492" s="5"/>
      <c r="S492">
        <f>DATEDIF(D492,DATE(2026,9,30),"Y")</f>
        <v>43</v>
      </c>
      <c r="T492" s="6">
        <f>(IF(Q492="",DATE(2026,9,30),Q492)-E492)/365.25</f>
        <v>11.197809719370294</v>
      </c>
      <c r="U492" t="str">
        <f>_xlfn.XLOOKUP(Table1_1[[#This Row],[Bo''lim]],Bolimlar!A:A,Bolimlar!B:B,"Topilmadi")</f>
        <v>Shahlo Ismoilova</v>
      </c>
      <c r="V492">
        <f>IF(P492="Ha",1,0)</f>
        <v>0</v>
      </c>
      <c r="W492" t="str">
        <f>IF(T492&lt;1,"1 yildan kam",IF(T492&lt;3,"1-3 yil","3 yildan ko'p"))</f>
        <v>3 yildan ko'p</v>
      </c>
    </row>
    <row r="493" spans="1:23" x14ac:dyDescent="0.3">
      <c r="A493" t="s">
        <v>332</v>
      </c>
      <c r="B493" t="s">
        <v>19</v>
      </c>
      <c r="C493" t="s">
        <v>20</v>
      </c>
      <c r="D493" s="5">
        <v>34659</v>
      </c>
      <c r="E493" s="5">
        <v>45493</v>
      </c>
      <c r="F493" t="s">
        <v>1300</v>
      </c>
      <c r="G493" t="s">
        <v>93</v>
      </c>
      <c r="H493" t="s">
        <v>68</v>
      </c>
      <c r="I493" t="s">
        <v>96</v>
      </c>
      <c r="J493">
        <v>5110000</v>
      </c>
      <c r="K493">
        <v>3</v>
      </c>
      <c r="L493">
        <v>4</v>
      </c>
      <c r="M493">
        <v>5</v>
      </c>
      <c r="N493" t="s">
        <v>88</v>
      </c>
      <c r="O493" t="s">
        <v>26</v>
      </c>
      <c r="P493" t="s">
        <v>27</v>
      </c>
      <c r="Q493" s="5">
        <v>45951</v>
      </c>
      <c r="R493" t="s">
        <v>111</v>
      </c>
      <c r="S493">
        <f>DATEDIF(D493,DATE(2026,9,30),"Y")</f>
        <v>31</v>
      </c>
      <c r="T493" s="6">
        <f>(IF(Q493="",DATE(2026,9,30),Q493)-E493)/365.25</f>
        <v>1.2539356605065024</v>
      </c>
      <c r="U493" t="str">
        <f>_xlfn.XLOOKUP(Table1_1[[#This Row],[Bo''lim]],Bolimlar!A:A,Bolimlar!B:B,"Topilmadi")</f>
        <v>Shahlo Ismoilova</v>
      </c>
      <c r="V493">
        <f>IF(P493="Ha",1,0)</f>
        <v>1</v>
      </c>
      <c r="W493" t="str">
        <f>IF(T493&lt;1,"1 yildan kam",IF(T493&lt;3,"1-3 yil","3 yildan ko'p"))</f>
        <v>1-3 yil</v>
      </c>
    </row>
    <row r="494" spans="1:23" x14ac:dyDescent="0.3">
      <c r="A494" t="s">
        <v>1139</v>
      </c>
      <c r="B494" t="s">
        <v>1110</v>
      </c>
      <c r="C494" t="s">
        <v>20</v>
      </c>
      <c r="D494" s="5">
        <v>33890</v>
      </c>
      <c r="E494" s="5">
        <v>45158</v>
      </c>
      <c r="F494" t="s">
        <v>245</v>
      </c>
      <c r="G494" t="s">
        <v>127</v>
      </c>
      <c r="H494" t="s">
        <v>33</v>
      </c>
      <c r="I494" t="s">
        <v>44</v>
      </c>
      <c r="J494">
        <v>5090000</v>
      </c>
      <c r="K494">
        <v>3</v>
      </c>
      <c r="L494">
        <v>4</v>
      </c>
      <c r="M494">
        <v>10</v>
      </c>
      <c r="N494" t="s">
        <v>41</v>
      </c>
      <c r="O494" t="s">
        <v>35</v>
      </c>
      <c r="P494" t="s">
        <v>36</v>
      </c>
      <c r="Q494" s="5"/>
      <c r="S494">
        <f>DATEDIF(D494,DATE(2026,9,30),"Y")</f>
        <v>33</v>
      </c>
      <c r="T494" s="6">
        <f>(IF(Q494="",DATE(2026,9,30),Q494)-E494)/365.25</f>
        <v>3.1129363449691994</v>
      </c>
      <c r="U494" t="str">
        <f>_xlfn.XLOOKUP(Table1_1[[#This Row],[Bo''lim]],Bolimlar!A:A,Bolimlar!B:B,"Topilmadi")</f>
        <v>Dilnoza Rahimova</v>
      </c>
      <c r="V494">
        <f>IF(P494="Ha",1,0)</f>
        <v>0</v>
      </c>
      <c r="W494" t="str">
        <f>IF(T494&lt;1,"1 yildan kam",IF(T494&lt;3,"1-3 yil","3 yildan ko'p"))</f>
        <v>3 yildan ko'p</v>
      </c>
    </row>
    <row r="495" spans="1:23" x14ac:dyDescent="0.3">
      <c r="A495" t="s">
        <v>430</v>
      </c>
      <c r="B495" t="s">
        <v>431</v>
      </c>
      <c r="C495" t="s">
        <v>20</v>
      </c>
      <c r="D495" s="5">
        <v>36665</v>
      </c>
      <c r="E495" s="5">
        <v>44886</v>
      </c>
      <c r="F495" t="s">
        <v>1300</v>
      </c>
      <c r="G495" t="s">
        <v>93</v>
      </c>
      <c r="H495" t="s">
        <v>68</v>
      </c>
      <c r="I495" t="s">
        <v>24</v>
      </c>
      <c r="J495">
        <v>5080000</v>
      </c>
      <c r="L495">
        <v>3</v>
      </c>
      <c r="M495">
        <v>19</v>
      </c>
      <c r="N495" t="s">
        <v>25</v>
      </c>
      <c r="O495" t="s">
        <v>26</v>
      </c>
      <c r="P495" t="s">
        <v>27</v>
      </c>
      <c r="Q495" s="5">
        <v>46003</v>
      </c>
      <c r="R495" t="s">
        <v>235</v>
      </c>
      <c r="S495">
        <f>DATEDIF(D495,DATE(2026,9,30),"Y")</f>
        <v>26</v>
      </c>
      <c r="T495" s="6">
        <f>(IF(Q495="",DATE(2026,9,30),Q495)-E495)/365.25</f>
        <v>3.0581793292265571</v>
      </c>
      <c r="U495" t="str">
        <f>_xlfn.XLOOKUP(Table1_1[[#This Row],[Bo''lim]],Bolimlar!A:A,Bolimlar!B:B,"Topilmadi")</f>
        <v>Shahlo Ismoilova</v>
      </c>
      <c r="V495">
        <f>IF(P495="Ha",1,0)</f>
        <v>1</v>
      </c>
      <c r="W495" t="str">
        <f>IF(T495&lt;1,"1 yildan kam",IF(T495&lt;3,"1-3 yil","3 yildan ko'p"))</f>
        <v>3 yildan ko'p</v>
      </c>
    </row>
    <row r="496" spans="1:23" x14ac:dyDescent="0.3">
      <c r="A496" t="s">
        <v>438</v>
      </c>
      <c r="B496" t="s">
        <v>415</v>
      </c>
      <c r="C496" t="s">
        <v>20</v>
      </c>
      <c r="D496" s="5">
        <v>38751</v>
      </c>
      <c r="E496" s="5">
        <v>46244</v>
      </c>
      <c r="F496" t="s">
        <v>1300</v>
      </c>
      <c r="G496" t="s">
        <v>52</v>
      </c>
      <c r="H496" t="s">
        <v>68</v>
      </c>
      <c r="I496" t="s">
        <v>96</v>
      </c>
      <c r="J496">
        <v>5070000</v>
      </c>
      <c r="K496">
        <v>4</v>
      </c>
      <c r="L496">
        <v>4</v>
      </c>
      <c r="M496">
        <v>14</v>
      </c>
      <c r="N496" t="s">
        <v>25</v>
      </c>
      <c r="O496" t="s">
        <v>35</v>
      </c>
      <c r="P496" t="s">
        <v>36</v>
      </c>
      <c r="Q496" s="5"/>
      <c r="S496">
        <f>DATEDIF(D496,DATE(2026,9,30),"Y")</f>
        <v>20</v>
      </c>
      <c r="T496" s="6">
        <f>(IF(Q496="",DATE(2026,9,30),Q496)-E496)/365.25</f>
        <v>0.13963039014373715</v>
      </c>
      <c r="U496" t="str">
        <f>_xlfn.XLOOKUP(Table1_1[[#This Row],[Bo''lim]],Bolimlar!A:A,Bolimlar!B:B,"Topilmadi")</f>
        <v>Shahlo Ismoilova</v>
      </c>
      <c r="V496">
        <f>IF(P496="Ha",1,0)</f>
        <v>0</v>
      </c>
      <c r="W496" t="str">
        <f>IF(T496&lt;1,"1 yildan kam",IF(T496&lt;3,"1-3 yil","3 yildan ko'p"))</f>
        <v>1 yildan kam</v>
      </c>
    </row>
    <row r="497" spans="1:23" x14ac:dyDescent="0.3">
      <c r="A497" t="s">
        <v>214</v>
      </c>
      <c r="B497" t="s">
        <v>215</v>
      </c>
      <c r="C497" t="s">
        <v>20</v>
      </c>
      <c r="D497" s="5">
        <v>32847</v>
      </c>
      <c r="E497" s="5">
        <v>44268</v>
      </c>
      <c r="F497" t="s">
        <v>1300</v>
      </c>
      <c r="G497" t="s">
        <v>52</v>
      </c>
      <c r="H497" t="s">
        <v>68</v>
      </c>
      <c r="I497" t="s">
        <v>24</v>
      </c>
      <c r="J497">
        <v>5060000</v>
      </c>
      <c r="K497">
        <v>5</v>
      </c>
      <c r="L497">
        <v>3</v>
      </c>
      <c r="M497">
        <v>1</v>
      </c>
      <c r="N497" t="s">
        <v>41</v>
      </c>
      <c r="O497" t="s">
        <v>35</v>
      </c>
      <c r="P497" t="s">
        <v>36</v>
      </c>
      <c r="Q497" s="5"/>
      <c r="S497">
        <f>DATEDIF(D497,DATE(2026,9,30),"Y")</f>
        <v>36</v>
      </c>
      <c r="T497" s="6">
        <f>(IF(Q497="",DATE(2026,9,30),Q497)-E497)/365.25</f>
        <v>5.5496235455167691</v>
      </c>
      <c r="U497" t="str">
        <f>_xlfn.XLOOKUP(Table1_1[[#This Row],[Bo''lim]],Bolimlar!A:A,Bolimlar!B:B,"Topilmadi")</f>
        <v>Shahlo Ismoilova</v>
      </c>
      <c r="V497">
        <f>IF(P497="Ha",1,0)</f>
        <v>0</v>
      </c>
      <c r="W497" t="str">
        <f>IF(T497&lt;1,"1 yildan kam",IF(T497&lt;3,"1-3 yil","3 yildan ko'p"))</f>
        <v>3 yildan ko'p</v>
      </c>
    </row>
    <row r="498" spans="1:23" x14ac:dyDescent="0.3">
      <c r="A498" t="s">
        <v>630</v>
      </c>
      <c r="B498" t="s">
        <v>631</v>
      </c>
      <c r="C498" t="s">
        <v>31</v>
      </c>
      <c r="D498" s="5">
        <v>34141</v>
      </c>
      <c r="E498" s="5">
        <v>44361</v>
      </c>
      <c r="F498" t="s">
        <v>245</v>
      </c>
      <c r="G498" t="s">
        <v>90</v>
      </c>
      <c r="H498" t="s">
        <v>33</v>
      </c>
      <c r="I498" t="s">
        <v>104</v>
      </c>
      <c r="J498">
        <v>5060000</v>
      </c>
      <c r="K498">
        <v>1</v>
      </c>
      <c r="L498">
        <v>4</v>
      </c>
      <c r="M498">
        <v>18</v>
      </c>
      <c r="N498" t="s">
        <v>41</v>
      </c>
      <c r="O498" t="s">
        <v>26</v>
      </c>
      <c r="P498" t="s">
        <v>36</v>
      </c>
      <c r="Q498" s="5"/>
      <c r="S498">
        <f>DATEDIF(D498,DATE(2026,9,30),"Y")</f>
        <v>33</v>
      </c>
      <c r="T498" s="6">
        <f>(IF(Q498="",DATE(2026,9,30),Q498)-E498)/365.25</f>
        <v>5.2950034223134841</v>
      </c>
      <c r="U498" t="str">
        <f>_xlfn.XLOOKUP(Table1_1[[#This Row],[Bo''lim]],Bolimlar!A:A,Bolimlar!B:B,"Topilmadi")</f>
        <v>Dilnoza Rahimova</v>
      </c>
      <c r="V498">
        <f>IF(P498="Ha",1,0)</f>
        <v>0</v>
      </c>
      <c r="W498" t="str">
        <f>IF(T498&lt;1,"1 yildan kam",IF(T498&lt;3,"1-3 yil","3 yildan ko'p"))</f>
        <v>3 yildan ko'p</v>
      </c>
    </row>
    <row r="499" spans="1:23" x14ac:dyDescent="0.3">
      <c r="A499" t="s">
        <v>882</v>
      </c>
      <c r="B499" t="s">
        <v>574</v>
      </c>
      <c r="C499" t="s">
        <v>31</v>
      </c>
      <c r="D499" s="5">
        <v>32932</v>
      </c>
      <c r="E499" s="5">
        <v>44790</v>
      </c>
      <c r="F499" t="s">
        <v>1300</v>
      </c>
      <c r="G499" t="s">
        <v>93</v>
      </c>
      <c r="H499" t="s">
        <v>68</v>
      </c>
      <c r="I499" t="s">
        <v>96</v>
      </c>
      <c r="J499">
        <v>5060000</v>
      </c>
      <c r="K499">
        <v>4</v>
      </c>
      <c r="L499">
        <v>2</v>
      </c>
      <c r="M499">
        <v>20</v>
      </c>
      <c r="N499" t="s">
        <v>41</v>
      </c>
      <c r="O499" t="s">
        <v>26</v>
      </c>
      <c r="P499" t="s">
        <v>27</v>
      </c>
      <c r="Q499" s="5">
        <v>46031</v>
      </c>
      <c r="R499" t="s">
        <v>28</v>
      </c>
      <c r="S499">
        <f>DATEDIF(D499,DATE(2026,9,30),"Y")</f>
        <v>36</v>
      </c>
      <c r="T499" s="6">
        <f>(IF(Q499="",DATE(2026,9,30),Q499)-E499)/365.25</f>
        <v>3.3976728268309375</v>
      </c>
      <c r="U499" t="str">
        <f>_xlfn.XLOOKUP(Table1_1[[#This Row],[Bo''lim]],Bolimlar!A:A,Bolimlar!B:B,"Topilmadi")</f>
        <v>Shahlo Ismoilova</v>
      </c>
      <c r="V499">
        <f>IF(P499="Ha",1,0)</f>
        <v>1</v>
      </c>
      <c r="W499" t="str">
        <f>IF(T499&lt;1,"1 yildan kam",IF(T499&lt;3,"1-3 yil","3 yildan ko'p"))</f>
        <v>3 yildan ko'p</v>
      </c>
    </row>
    <row r="500" spans="1:23" x14ac:dyDescent="0.3">
      <c r="A500" t="s">
        <v>383</v>
      </c>
      <c r="B500" t="s">
        <v>384</v>
      </c>
      <c r="C500" t="s">
        <v>31</v>
      </c>
      <c r="D500" s="5">
        <v>30402</v>
      </c>
      <c r="E500" s="5">
        <v>44766</v>
      </c>
      <c r="F500" t="s">
        <v>245</v>
      </c>
      <c r="G500" t="s">
        <v>90</v>
      </c>
      <c r="H500" t="s">
        <v>33</v>
      </c>
      <c r="I500" t="s">
        <v>34</v>
      </c>
      <c r="J500">
        <v>5020000</v>
      </c>
      <c r="K500">
        <v>3</v>
      </c>
      <c r="L500">
        <v>4</v>
      </c>
      <c r="M500">
        <v>5</v>
      </c>
      <c r="N500" t="s">
        <v>25</v>
      </c>
      <c r="O500" t="s">
        <v>53</v>
      </c>
      <c r="P500" t="s">
        <v>36</v>
      </c>
      <c r="Q500" s="5"/>
      <c r="S500">
        <f>DATEDIF(D500,DATE(2026,9,30),"Y")</f>
        <v>43</v>
      </c>
      <c r="T500" s="6">
        <f>(IF(Q500="",DATE(2026,9,30),Q500)-E500)/365.25</f>
        <v>4.1861738535249833</v>
      </c>
      <c r="U500" t="str">
        <f>_xlfn.XLOOKUP(Table1_1[[#This Row],[Bo''lim]],Bolimlar!A:A,Bolimlar!B:B,"Topilmadi")</f>
        <v>Dilnoza Rahimova</v>
      </c>
      <c r="V500">
        <f>IF(P500="Ha",1,0)</f>
        <v>0</v>
      </c>
      <c r="W500" t="str">
        <f>IF(T500&lt;1,"1 yildan kam",IF(T500&lt;3,"1-3 yil","3 yildan ko'p"))</f>
        <v>3 yildan ko'p</v>
      </c>
    </row>
    <row r="501" spans="1:23" x14ac:dyDescent="0.3">
      <c r="A501" t="s">
        <v>442</v>
      </c>
      <c r="B501" t="s">
        <v>443</v>
      </c>
      <c r="C501" t="s">
        <v>31</v>
      </c>
      <c r="D501" s="5">
        <v>35867</v>
      </c>
      <c r="E501" s="5">
        <v>44430</v>
      </c>
      <c r="F501" t="s">
        <v>245</v>
      </c>
      <c r="G501" t="s">
        <v>90</v>
      </c>
      <c r="H501" t="s">
        <v>33</v>
      </c>
      <c r="I501" t="s">
        <v>206</v>
      </c>
      <c r="J501">
        <v>5020000</v>
      </c>
      <c r="K501">
        <v>4</v>
      </c>
      <c r="L501">
        <v>5</v>
      </c>
      <c r="M501">
        <v>5</v>
      </c>
      <c r="N501" t="s">
        <v>41</v>
      </c>
      <c r="O501" t="s">
        <v>26</v>
      </c>
      <c r="P501" t="s">
        <v>36</v>
      </c>
      <c r="Q501" s="5"/>
      <c r="S501">
        <f>DATEDIF(D501,DATE(2026,9,30),"Y")</f>
        <v>28</v>
      </c>
      <c r="T501" s="6">
        <f>(IF(Q501="",DATE(2026,9,30),Q501)-E501)/365.25</f>
        <v>5.1060917180013687</v>
      </c>
      <c r="U501" t="str">
        <f>_xlfn.XLOOKUP(Table1_1[[#This Row],[Bo''lim]],Bolimlar!A:A,Bolimlar!B:B,"Topilmadi")</f>
        <v>Dilnoza Rahimova</v>
      </c>
      <c r="V501">
        <f>IF(P501="Ha",1,0)</f>
        <v>0</v>
      </c>
      <c r="W501" t="str">
        <f>IF(T501&lt;1,"1 yildan kam",IF(T501&lt;3,"1-3 yil","3 yildan ko'p"))</f>
        <v>3 yildan ko'p</v>
      </c>
    </row>
    <row r="502" spans="1:23" x14ac:dyDescent="0.3">
      <c r="A502" t="s">
        <v>913</v>
      </c>
      <c r="B502" t="s">
        <v>914</v>
      </c>
      <c r="C502" t="s">
        <v>20</v>
      </c>
      <c r="D502" s="5">
        <v>34600</v>
      </c>
      <c r="E502" s="5">
        <v>45127</v>
      </c>
      <c r="F502" t="s">
        <v>1300</v>
      </c>
      <c r="G502" t="s">
        <v>93</v>
      </c>
      <c r="H502" t="s">
        <v>68</v>
      </c>
      <c r="I502" t="s">
        <v>24</v>
      </c>
      <c r="J502">
        <v>5020000</v>
      </c>
      <c r="K502">
        <v>2</v>
      </c>
      <c r="L502">
        <v>4</v>
      </c>
      <c r="M502">
        <v>28</v>
      </c>
      <c r="N502" t="s">
        <v>41</v>
      </c>
      <c r="O502" t="s">
        <v>53</v>
      </c>
      <c r="P502" t="s">
        <v>27</v>
      </c>
      <c r="Q502" s="5">
        <v>45773</v>
      </c>
      <c r="R502" t="s">
        <v>28</v>
      </c>
      <c r="S502">
        <f>DATEDIF(D502,DATE(2026,9,30),"Y")</f>
        <v>32</v>
      </c>
      <c r="T502" s="6">
        <f>(IF(Q502="",DATE(2026,9,30),Q502)-E502)/365.25</f>
        <v>1.7686516084873374</v>
      </c>
      <c r="U502" t="str">
        <f>_xlfn.XLOOKUP(Table1_1[[#This Row],[Bo''lim]],Bolimlar!A:A,Bolimlar!B:B,"Topilmadi")</f>
        <v>Shahlo Ismoilova</v>
      </c>
      <c r="V502">
        <f>IF(P502="Ha",1,0)</f>
        <v>1</v>
      </c>
      <c r="W502" t="str">
        <f>IF(T502&lt;1,"1 yildan kam",IF(T502&lt;3,"1-3 yil","3 yildan ko'p"))</f>
        <v>1-3 yil</v>
      </c>
    </row>
    <row r="503" spans="1:23" x14ac:dyDescent="0.3">
      <c r="A503" t="s">
        <v>421</v>
      </c>
      <c r="B503" t="s">
        <v>422</v>
      </c>
      <c r="C503" t="s">
        <v>20</v>
      </c>
      <c r="D503" s="5">
        <v>36107</v>
      </c>
      <c r="E503" s="5">
        <v>44344</v>
      </c>
      <c r="F503" t="s">
        <v>21</v>
      </c>
      <c r="G503" t="s">
        <v>22</v>
      </c>
      <c r="H503" t="s">
        <v>33</v>
      </c>
      <c r="I503" t="s">
        <v>24</v>
      </c>
      <c r="J503">
        <v>5010000</v>
      </c>
      <c r="K503">
        <v>4</v>
      </c>
      <c r="L503">
        <v>4</v>
      </c>
      <c r="M503">
        <v>9</v>
      </c>
      <c r="N503" t="s">
        <v>41</v>
      </c>
      <c r="O503" t="s">
        <v>26</v>
      </c>
      <c r="P503" t="s">
        <v>36</v>
      </c>
      <c r="Q503" s="5"/>
      <c r="S503">
        <f>DATEDIF(D503,DATE(2026,9,30),"Y")</f>
        <v>27</v>
      </c>
      <c r="T503" s="6">
        <f>(IF(Q503="",DATE(2026,9,30),Q503)-E503)/365.25</f>
        <v>5.3415468856947292</v>
      </c>
      <c r="U503" t="str">
        <f>_xlfn.XLOOKUP(Table1_1[[#This Row],[Bo''lim]],Bolimlar!A:A,Bolimlar!B:B,"Topilmadi")</f>
        <v>Jasur Yusupov</v>
      </c>
      <c r="V503">
        <f>IF(P503="Ha",1,0)</f>
        <v>0</v>
      </c>
      <c r="W503" t="str">
        <f>IF(T503&lt;1,"1 yildan kam",IF(T503&lt;3,"1-3 yil","3 yildan ko'p"))</f>
        <v>3 yildan ko'p</v>
      </c>
    </row>
    <row r="504" spans="1:23" x14ac:dyDescent="0.3">
      <c r="A504" t="s">
        <v>213</v>
      </c>
      <c r="B504" t="s">
        <v>63</v>
      </c>
      <c r="C504" t="s">
        <v>31</v>
      </c>
      <c r="D504" s="5">
        <v>34933</v>
      </c>
      <c r="E504" s="5">
        <v>44692</v>
      </c>
      <c r="F504" t="s">
        <v>1226</v>
      </c>
      <c r="G504" t="s">
        <v>60</v>
      </c>
      <c r="H504" t="s">
        <v>33</v>
      </c>
      <c r="I504" t="s">
        <v>24</v>
      </c>
      <c r="J504">
        <v>5000000</v>
      </c>
      <c r="K504">
        <v>4</v>
      </c>
      <c r="L504">
        <v>2</v>
      </c>
      <c r="M504">
        <v>17</v>
      </c>
      <c r="N504" t="s">
        <v>41</v>
      </c>
      <c r="O504" t="s">
        <v>35</v>
      </c>
      <c r="P504" t="s">
        <v>36</v>
      </c>
      <c r="Q504" s="5"/>
      <c r="S504">
        <f>DATEDIF(D504,DATE(2026,9,30),"Y")</f>
        <v>31</v>
      </c>
      <c r="T504" s="6">
        <f>(IF(Q504="",DATE(2026,9,30),Q504)-E504)/365.25</f>
        <v>4.3887748117727581</v>
      </c>
      <c r="U504" t="str">
        <f>_xlfn.XLOOKUP(Table1_1[[#This Row],[Bo''lim]],Bolimlar!A:A,Bolimlar!B:B,"Topilmadi")</f>
        <v>Madina Abdullayeva</v>
      </c>
      <c r="V504">
        <f>IF(P504="Ha",1,0)</f>
        <v>0</v>
      </c>
      <c r="W504" t="str">
        <f>IF(T504&lt;1,"1 yildan kam",IF(T504&lt;3,"1-3 yil","3 yildan ko'p"))</f>
        <v>3 yildan ko'p</v>
      </c>
    </row>
    <row r="505" spans="1:23" x14ac:dyDescent="0.3">
      <c r="A505" t="s">
        <v>429</v>
      </c>
      <c r="B505" t="s">
        <v>231</v>
      </c>
      <c r="C505" t="s">
        <v>20</v>
      </c>
      <c r="D505" s="5">
        <v>34766</v>
      </c>
      <c r="E505" s="5">
        <v>45983</v>
      </c>
      <c r="F505" t="s">
        <v>484</v>
      </c>
      <c r="G505" t="s">
        <v>196</v>
      </c>
      <c r="H505" t="s">
        <v>68</v>
      </c>
      <c r="I505" t="s">
        <v>24</v>
      </c>
      <c r="J505">
        <v>5000000</v>
      </c>
      <c r="K505">
        <v>5</v>
      </c>
      <c r="L505">
        <v>3</v>
      </c>
      <c r="M505">
        <v>33</v>
      </c>
      <c r="N505" t="s">
        <v>41</v>
      </c>
      <c r="O505" t="s">
        <v>35</v>
      </c>
      <c r="P505" t="s">
        <v>36</v>
      </c>
      <c r="Q505" s="5"/>
      <c r="S505">
        <f>DATEDIF(D505,DATE(2026,9,30),"Y")</f>
        <v>31</v>
      </c>
      <c r="T505" s="6">
        <f>(IF(Q505="",DATE(2026,9,30),Q505)-E505)/365.25</f>
        <v>0.85420944558521561</v>
      </c>
      <c r="U505" t="str">
        <f>_xlfn.XLOOKUP(Table1_1[[#This Row],[Bo''lim]],Bolimlar!A:A,Bolimlar!B:B,"Topilmadi")</f>
        <v>Sardor Nazarov</v>
      </c>
      <c r="V505">
        <f>IF(P505="Ha",1,0)</f>
        <v>0</v>
      </c>
      <c r="W505" t="str">
        <f>IF(T505&lt;1,"1 yildan kam",IF(T505&lt;3,"1-3 yil","3 yildan ko'p"))</f>
        <v>1 yildan kam</v>
      </c>
    </row>
    <row r="506" spans="1:23" x14ac:dyDescent="0.3">
      <c r="A506" t="s">
        <v>1101</v>
      </c>
      <c r="B506" t="s">
        <v>1102</v>
      </c>
      <c r="C506" t="s">
        <v>20</v>
      </c>
      <c r="D506" s="5">
        <v>33605</v>
      </c>
      <c r="E506" s="5">
        <v>42932</v>
      </c>
      <c r="F506" t="s">
        <v>1300</v>
      </c>
      <c r="G506" t="s">
        <v>52</v>
      </c>
      <c r="H506" t="s">
        <v>68</v>
      </c>
      <c r="I506" t="s">
        <v>96</v>
      </c>
      <c r="J506">
        <v>5000000</v>
      </c>
      <c r="K506">
        <v>2</v>
      </c>
      <c r="L506">
        <v>1</v>
      </c>
      <c r="M506">
        <v>13</v>
      </c>
      <c r="N506" t="s">
        <v>41</v>
      </c>
      <c r="O506" t="s">
        <v>35</v>
      </c>
      <c r="P506" t="s">
        <v>36</v>
      </c>
      <c r="Q506" s="5"/>
      <c r="S506">
        <f>DATEDIF(D506,DATE(2026,9,30),"Y")</f>
        <v>34</v>
      </c>
      <c r="T506" s="6">
        <f>(IF(Q506="",DATE(2026,9,30),Q506)-E506)/365.25</f>
        <v>9.207392197125257</v>
      </c>
      <c r="U506" t="str">
        <f>_xlfn.XLOOKUP(Table1_1[[#This Row],[Bo''lim]],Bolimlar!A:A,Bolimlar!B:B,"Topilmadi")</f>
        <v>Shahlo Ismoilova</v>
      </c>
      <c r="V506">
        <f>IF(P506="Ha",1,0)</f>
        <v>0</v>
      </c>
      <c r="W506" t="str">
        <f>IF(T506&lt;1,"1 yildan kam",IF(T506&lt;3,"1-3 yil","3 yildan ko'p"))</f>
        <v>3 yildan ko'p</v>
      </c>
    </row>
    <row r="507" spans="1:23" x14ac:dyDescent="0.3">
      <c r="A507" t="s">
        <v>377</v>
      </c>
      <c r="B507" t="s">
        <v>378</v>
      </c>
      <c r="C507" t="s">
        <v>20</v>
      </c>
      <c r="D507" s="5">
        <v>34235</v>
      </c>
      <c r="E507" s="5">
        <v>44914</v>
      </c>
      <c r="F507" t="s">
        <v>21</v>
      </c>
      <c r="G507" t="s">
        <v>103</v>
      </c>
      <c r="H507" t="s">
        <v>33</v>
      </c>
      <c r="I507" t="s">
        <v>206</v>
      </c>
      <c r="J507">
        <v>4970000</v>
      </c>
      <c r="K507">
        <v>3</v>
      </c>
      <c r="L507">
        <v>4</v>
      </c>
      <c r="M507">
        <v>3</v>
      </c>
      <c r="N507" t="s">
        <v>41</v>
      </c>
      <c r="O507" t="s">
        <v>35</v>
      </c>
      <c r="P507" t="s">
        <v>36</v>
      </c>
      <c r="Q507" s="5"/>
      <c r="S507">
        <f>DATEDIF(D507,DATE(2026,9,30),"Y")</f>
        <v>33</v>
      </c>
      <c r="T507" s="6">
        <f>(IF(Q507="",DATE(2026,9,30),Q507)-E507)/365.25</f>
        <v>3.7809719370294319</v>
      </c>
      <c r="U507" t="str">
        <f>_xlfn.XLOOKUP(Table1_1[[#This Row],[Bo''lim]],Bolimlar!A:A,Bolimlar!B:B,"Topilmadi")</f>
        <v>Jasur Yusupov</v>
      </c>
      <c r="V507">
        <f>IF(P507="Ha",1,0)</f>
        <v>0</v>
      </c>
      <c r="W507" t="str">
        <f>IF(T507&lt;1,"1 yildan kam",IF(T507&lt;3,"1-3 yil","3 yildan ko'p"))</f>
        <v>3 yildan ko'p</v>
      </c>
    </row>
    <row r="508" spans="1:23" x14ac:dyDescent="0.3">
      <c r="A508" t="s">
        <v>329</v>
      </c>
      <c r="B508" t="s">
        <v>330</v>
      </c>
      <c r="C508" t="s">
        <v>20</v>
      </c>
      <c r="D508" s="5">
        <v>36278</v>
      </c>
      <c r="E508" s="5">
        <v>44860</v>
      </c>
      <c r="F508" t="s">
        <v>21</v>
      </c>
      <c r="G508" t="s">
        <v>32</v>
      </c>
      <c r="H508" t="s">
        <v>33</v>
      </c>
      <c r="I508" t="s">
        <v>34</v>
      </c>
      <c r="J508">
        <v>4960000</v>
      </c>
      <c r="K508">
        <v>4</v>
      </c>
      <c r="L508">
        <v>2</v>
      </c>
      <c r="M508">
        <v>0</v>
      </c>
      <c r="N508" t="s">
        <v>25</v>
      </c>
      <c r="O508" t="s">
        <v>26</v>
      </c>
      <c r="P508" t="s">
        <v>36</v>
      </c>
      <c r="Q508" s="5"/>
      <c r="S508">
        <f>DATEDIF(D508,DATE(2026,9,30),"Y")</f>
        <v>27</v>
      </c>
      <c r="T508" s="6">
        <f>(IF(Q508="",DATE(2026,9,30),Q508)-E508)/365.25</f>
        <v>3.9288158795345653</v>
      </c>
      <c r="U508" t="str">
        <f>_xlfn.XLOOKUP(Table1_1[[#This Row],[Bo''lim]],Bolimlar!A:A,Bolimlar!B:B,"Topilmadi")</f>
        <v>Jasur Yusupov</v>
      </c>
      <c r="V508">
        <f>IF(P508="Ha",1,0)</f>
        <v>0</v>
      </c>
      <c r="W508" t="str">
        <f>IF(T508&lt;1,"1 yildan kam",IF(T508&lt;3,"1-3 yil","3 yildan ko'p"))</f>
        <v>3 yildan ko'p</v>
      </c>
    </row>
    <row r="509" spans="1:23" x14ac:dyDescent="0.3">
      <c r="A509" t="s">
        <v>766</v>
      </c>
      <c r="B509" t="s">
        <v>463</v>
      </c>
      <c r="C509" t="s">
        <v>31</v>
      </c>
      <c r="D509" s="5">
        <v>29373</v>
      </c>
      <c r="E509" s="5">
        <v>45102</v>
      </c>
      <c r="F509" t="s">
        <v>1035</v>
      </c>
      <c r="G509" t="s">
        <v>65</v>
      </c>
      <c r="H509" t="s">
        <v>33</v>
      </c>
      <c r="I509" t="s">
        <v>24</v>
      </c>
      <c r="J509">
        <v>4960000</v>
      </c>
      <c r="K509">
        <v>3</v>
      </c>
      <c r="L509">
        <v>1</v>
      </c>
      <c r="M509">
        <v>18</v>
      </c>
      <c r="N509" t="s">
        <v>41</v>
      </c>
      <c r="O509" t="s">
        <v>26</v>
      </c>
      <c r="P509" t="s">
        <v>27</v>
      </c>
      <c r="Q509" s="5">
        <v>46107</v>
      </c>
      <c r="R509" t="s">
        <v>61</v>
      </c>
      <c r="S509">
        <f>DATEDIF(D509,DATE(2026,9,30),"Y")</f>
        <v>46</v>
      </c>
      <c r="T509" s="6">
        <f>(IF(Q509="",DATE(2026,9,30),Q509)-E509)/365.25</f>
        <v>2.751540041067762</v>
      </c>
      <c r="U509" t="str">
        <f>_xlfn.XLOOKUP(Table1_1[[#This Row],[Bo''lim]],Bolimlar!A:A,Bolimlar!B:B,"Topilmadi")</f>
        <v>Aziz Karimov</v>
      </c>
      <c r="V509">
        <f>IF(P509="Ha",1,0)</f>
        <v>1</v>
      </c>
      <c r="W509" t="str">
        <f>IF(T509&lt;1,"1 yildan kam",IF(T509&lt;3,"1-3 yil","3 yildan ko'p"))</f>
        <v>1-3 yil</v>
      </c>
    </row>
    <row r="510" spans="1:23" x14ac:dyDescent="0.3">
      <c r="A510" t="s">
        <v>1109</v>
      </c>
      <c r="B510" t="s">
        <v>1110</v>
      </c>
      <c r="C510" t="s">
        <v>20</v>
      </c>
      <c r="D510" s="5">
        <v>31668</v>
      </c>
      <c r="E510" s="5">
        <v>45137</v>
      </c>
      <c r="F510" t="s">
        <v>21</v>
      </c>
      <c r="G510" t="s">
        <v>22</v>
      </c>
      <c r="H510" t="s">
        <v>33</v>
      </c>
      <c r="I510" t="s">
        <v>24</v>
      </c>
      <c r="J510">
        <v>4960000</v>
      </c>
      <c r="K510">
        <v>3</v>
      </c>
      <c r="L510">
        <v>3</v>
      </c>
      <c r="M510">
        <v>30</v>
      </c>
      <c r="N510" t="s">
        <v>41</v>
      </c>
      <c r="O510" t="s">
        <v>53</v>
      </c>
      <c r="P510" t="s">
        <v>36</v>
      </c>
      <c r="Q510" s="5"/>
      <c r="S510">
        <f>DATEDIF(D510,DATE(2026,9,30),"Y")</f>
        <v>40</v>
      </c>
      <c r="T510" s="6">
        <f>(IF(Q510="",DATE(2026,9,30),Q510)-E510)/365.25</f>
        <v>3.1704312114989732</v>
      </c>
      <c r="U510" t="str">
        <f>_xlfn.XLOOKUP(Table1_1[[#This Row],[Bo''lim]],Bolimlar!A:A,Bolimlar!B:B,"Topilmadi")</f>
        <v>Jasur Yusupov</v>
      </c>
      <c r="V510">
        <f>IF(P510="Ha",1,0)</f>
        <v>0</v>
      </c>
      <c r="W510" t="str">
        <f>IF(T510&lt;1,"1 yildan kam",IF(T510&lt;3,"1-3 yil","3 yildan ko'p"))</f>
        <v>3 yildan ko'p</v>
      </c>
    </row>
    <row r="511" spans="1:23" x14ac:dyDescent="0.3">
      <c r="A511" t="s">
        <v>953</v>
      </c>
      <c r="B511" t="s">
        <v>954</v>
      </c>
      <c r="C511" t="s">
        <v>31</v>
      </c>
      <c r="D511" s="5">
        <v>35382</v>
      </c>
      <c r="E511" s="5">
        <v>45946</v>
      </c>
      <c r="F511" t="s">
        <v>1035</v>
      </c>
      <c r="G511" t="s">
        <v>73</v>
      </c>
      <c r="H511" t="s">
        <v>33</v>
      </c>
      <c r="I511" t="s">
        <v>24</v>
      </c>
      <c r="J511">
        <v>4950000</v>
      </c>
      <c r="K511">
        <v>3</v>
      </c>
      <c r="L511">
        <v>3</v>
      </c>
      <c r="M511">
        <v>25</v>
      </c>
      <c r="N511" t="s">
        <v>41</v>
      </c>
      <c r="O511" t="s">
        <v>35</v>
      </c>
      <c r="P511" t="s">
        <v>36</v>
      </c>
      <c r="Q511" s="5"/>
      <c r="S511">
        <f>DATEDIF(D511,DATE(2026,9,30),"Y")</f>
        <v>29</v>
      </c>
      <c r="T511" s="6">
        <f>(IF(Q511="",DATE(2026,9,30),Q511)-E511)/365.25</f>
        <v>0.95550992470910334</v>
      </c>
      <c r="U511" t="str">
        <f>_xlfn.XLOOKUP(Table1_1[[#This Row],[Bo''lim]],Bolimlar!A:A,Bolimlar!B:B,"Topilmadi")</f>
        <v>Aziz Karimov</v>
      </c>
      <c r="V511">
        <f>IF(P511="Ha",1,0)</f>
        <v>0</v>
      </c>
      <c r="W511" t="str">
        <f>IF(T511&lt;1,"1 yildan kam",IF(T511&lt;3,"1-3 yil","3 yildan ko'p"))</f>
        <v>1 yildan kam</v>
      </c>
    </row>
    <row r="512" spans="1:23" x14ac:dyDescent="0.3">
      <c r="A512" t="s">
        <v>211</v>
      </c>
      <c r="B512" t="s">
        <v>212</v>
      </c>
      <c r="C512" t="s">
        <v>31</v>
      </c>
      <c r="D512" s="5">
        <v>29558</v>
      </c>
      <c r="E512" s="5">
        <v>43656</v>
      </c>
      <c r="F512" t="s">
        <v>21</v>
      </c>
      <c r="G512" t="s">
        <v>32</v>
      </c>
      <c r="H512" t="s">
        <v>33</v>
      </c>
      <c r="I512" t="s">
        <v>24</v>
      </c>
      <c r="J512">
        <v>4940000</v>
      </c>
      <c r="K512">
        <v>5</v>
      </c>
      <c r="L512">
        <v>3</v>
      </c>
      <c r="M512">
        <v>24</v>
      </c>
      <c r="N512" t="s">
        <v>41</v>
      </c>
      <c r="O512" t="s">
        <v>26</v>
      </c>
      <c r="P512" t="s">
        <v>36</v>
      </c>
      <c r="Q512" s="5"/>
      <c r="S512">
        <f>DATEDIF(D512,DATE(2026,9,30),"Y")</f>
        <v>45</v>
      </c>
      <c r="T512" s="6">
        <f>(IF(Q512="",DATE(2026,9,30),Q512)-E512)/365.25</f>
        <v>7.225188227241615</v>
      </c>
      <c r="U512" t="str">
        <f>_xlfn.XLOOKUP(Table1_1[[#This Row],[Bo''lim]],Bolimlar!A:A,Bolimlar!B:B,"Topilmadi")</f>
        <v>Jasur Yusupov</v>
      </c>
      <c r="V512">
        <f>IF(P512="Ha",1,0)</f>
        <v>0</v>
      </c>
      <c r="W512" t="str">
        <f>IF(T512&lt;1,"1 yildan kam",IF(T512&lt;3,"1-3 yil","3 yildan ko'p"))</f>
        <v>3 yildan ko'p</v>
      </c>
    </row>
    <row r="513" spans="1:23" x14ac:dyDescent="0.3">
      <c r="A513" t="s">
        <v>939</v>
      </c>
      <c r="B513" t="s">
        <v>248</v>
      </c>
      <c r="C513" t="s">
        <v>31</v>
      </c>
      <c r="D513" s="5">
        <v>37236</v>
      </c>
      <c r="E513" s="5">
        <v>46090</v>
      </c>
      <c r="F513" t="s">
        <v>245</v>
      </c>
      <c r="G513" t="s">
        <v>48</v>
      </c>
      <c r="H513" t="s">
        <v>33</v>
      </c>
      <c r="I513" t="s">
        <v>24</v>
      </c>
      <c r="J513">
        <v>4930000</v>
      </c>
      <c r="K513">
        <v>4</v>
      </c>
      <c r="L513">
        <v>4</v>
      </c>
      <c r="M513">
        <v>4</v>
      </c>
      <c r="N513" t="s">
        <v>41</v>
      </c>
      <c r="O513" t="s">
        <v>35</v>
      </c>
      <c r="P513" t="s">
        <v>36</v>
      </c>
      <c r="Q513" s="5"/>
      <c r="S513">
        <f>DATEDIF(D513,DATE(2026,9,30),"Y")</f>
        <v>24</v>
      </c>
      <c r="T513" s="6">
        <f>(IF(Q513="",DATE(2026,9,30),Q513)-E513)/365.25</f>
        <v>0.5612594113620808</v>
      </c>
      <c r="U513" t="str">
        <f>_xlfn.XLOOKUP(Table1_1[[#This Row],[Bo''lim]],Bolimlar!A:A,Bolimlar!B:B,"Topilmadi")</f>
        <v>Dilnoza Rahimova</v>
      </c>
      <c r="V513">
        <f>IF(P513="Ha",1,0)</f>
        <v>0</v>
      </c>
      <c r="W513" t="str">
        <f>IF(T513&lt;1,"1 yildan kam",IF(T513&lt;3,"1-3 yil","3 yildan ko'p"))</f>
        <v>1 yildan kam</v>
      </c>
    </row>
    <row r="514" spans="1:23" x14ac:dyDescent="0.3">
      <c r="A514" t="s">
        <v>143</v>
      </c>
      <c r="B514" t="s">
        <v>144</v>
      </c>
      <c r="C514" t="s">
        <v>31</v>
      </c>
      <c r="D514" s="5">
        <v>33621</v>
      </c>
      <c r="E514" s="5">
        <v>44140</v>
      </c>
      <c r="F514" t="s">
        <v>245</v>
      </c>
      <c r="G514" t="s">
        <v>127</v>
      </c>
      <c r="H514" t="s">
        <v>33</v>
      </c>
      <c r="I514" t="s">
        <v>24</v>
      </c>
      <c r="J514">
        <v>4910000</v>
      </c>
      <c r="K514">
        <v>3</v>
      </c>
      <c r="L514">
        <v>3</v>
      </c>
      <c r="M514">
        <v>25</v>
      </c>
      <c r="N514" t="s">
        <v>41</v>
      </c>
      <c r="O514" t="s">
        <v>35</v>
      </c>
      <c r="P514" t="s">
        <v>27</v>
      </c>
      <c r="Q514" s="5">
        <v>46079</v>
      </c>
      <c r="R514" t="s">
        <v>145</v>
      </c>
      <c r="S514">
        <f>DATEDIF(D514,DATE(2026,9,30),"Y")</f>
        <v>34</v>
      </c>
      <c r="T514" s="6">
        <f>(IF(Q514="",DATE(2026,9,30),Q514)-E514)/365.25</f>
        <v>5.3086926762491444</v>
      </c>
      <c r="U514" t="str">
        <f>_xlfn.XLOOKUP(Table1_1[[#This Row],[Bo''lim]],Bolimlar!A:A,Bolimlar!B:B,"Topilmadi")</f>
        <v>Dilnoza Rahimova</v>
      </c>
      <c r="V514">
        <f>IF(P514="Ha",1,0)</f>
        <v>1</v>
      </c>
      <c r="W514" t="str">
        <f>IF(T514&lt;1,"1 yildan kam",IF(T514&lt;3,"1-3 yil","3 yildan ko'p"))</f>
        <v>3 yildan ko'p</v>
      </c>
    </row>
    <row r="515" spans="1:23" x14ac:dyDescent="0.3">
      <c r="A515" t="s">
        <v>585</v>
      </c>
      <c r="B515" t="s">
        <v>84</v>
      </c>
      <c r="C515" t="s">
        <v>31</v>
      </c>
      <c r="D515" s="5">
        <v>34990</v>
      </c>
      <c r="E515" s="5">
        <v>44779</v>
      </c>
      <c r="F515" t="s">
        <v>1035</v>
      </c>
      <c r="G515" t="s">
        <v>73</v>
      </c>
      <c r="H515" t="s">
        <v>33</v>
      </c>
      <c r="I515" t="s">
        <v>96</v>
      </c>
      <c r="J515">
        <v>4910000</v>
      </c>
      <c r="K515">
        <v>3</v>
      </c>
      <c r="L515">
        <v>3</v>
      </c>
      <c r="M515">
        <v>30</v>
      </c>
      <c r="N515" t="s">
        <v>25</v>
      </c>
      <c r="O515" t="s">
        <v>35</v>
      </c>
      <c r="P515" t="s">
        <v>36</v>
      </c>
      <c r="Q515" s="5"/>
      <c r="S515">
        <f>DATEDIF(D515,DATE(2026,9,30),"Y")</f>
        <v>30</v>
      </c>
      <c r="T515" s="6">
        <f>(IF(Q515="",DATE(2026,9,30),Q515)-E515)/365.25</f>
        <v>4.1505817932922655</v>
      </c>
      <c r="U515" t="str">
        <f>_xlfn.XLOOKUP(Table1_1[[#This Row],[Bo''lim]],Bolimlar!A:A,Bolimlar!B:B,"Topilmadi")</f>
        <v>Aziz Karimov</v>
      </c>
      <c r="V515">
        <f>IF(P515="Ha",1,0)</f>
        <v>0</v>
      </c>
      <c r="W515" t="str">
        <f>IF(T515&lt;1,"1 yildan kam",IF(T515&lt;3,"1-3 yil","3 yildan ko'p"))</f>
        <v>3 yildan ko'p</v>
      </c>
    </row>
    <row r="516" spans="1:23" x14ac:dyDescent="0.3">
      <c r="A516" t="s">
        <v>906</v>
      </c>
      <c r="B516" t="s">
        <v>184</v>
      </c>
      <c r="C516" t="s">
        <v>31</v>
      </c>
      <c r="D516" s="5">
        <v>32495</v>
      </c>
      <c r="E516" s="5">
        <v>46155</v>
      </c>
      <c r="F516" t="s">
        <v>1035</v>
      </c>
      <c r="G516" t="s">
        <v>79</v>
      </c>
      <c r="H516" t="s">
        <v>33</v>
      </c>
      <c r="I516" t="s">
        <v>24</v>
      </c>
      <c r="J516">
        <v>4910000</v>
      </c>
      <c r="K516">
        <v>3</v>
      </c>
      <c r="L516">
        <v>4</v>
      </c>
      <c r="M516">
        <v>12</v>
      </c>
      <c r="N516" t="s">
        <v>88</v>
      </c>
      <c r="O516" t="s">
        <v>26</v>
      </c>
      <c r="P516" t="s">
        <v>36</v>
      </c>
      <c r="Q516" s="5"/>
      <c r="S516">
        <f>DATEDIF(D516,DATE(2026,9,30),"Y")</f>
        <v>37</v>
      </c>
      <c r="T516" s="6">
        <f>(IF(Q516="",DATE(2026,9,30),Q516)-E516)/365.25</f>
        <v>0.38329911019849416</v>
      </c>
      <c r="U516" t="str">
        <f>_xlfn.XLOOKUP(Table1_1[[#This Row],[Bo''lim]],Bolimlar!A:A,Bolimlar!B:B,"Topilmadi")</f>
        <v>Aziz Karimov</v>
      </c>
      <c r="V516">
        <f>IF(P516="Ha",1,0)</f>
        <v>0</v>
      </c>
      <c r="W516" t="str">
        <f>IF(T516&lt;1,"1 yildan kam",IF(T516&lt;3,"1-3 yil","3 yildan ko'p"))</f>
        <v>1 yildan kam</v>
      </c>
    </row>
    <row r="517" spans="1:23" x14ac:dyDescent="0.3">
      <c r="A517" t="s">
        <v>911</v>
      </c>
      <c r="B517" t="s">
        <v>819</v>
      </c>
      <c r="C517" t="s">
        <v>31</v>
      </c>
      <c r="D517" s="5">
        <v>36818</v>
      </c>
      <c r="E517" s="5">
        <v>45884</v>
      </c>
      <c r="F517" t="s">
        <v>1035</v>
      </c>
      <c r="G517" t="s">
        <v>65</v>
      </c>
      <c r="H517" t="s">
        <v>33</v>
      </c>
      <c r="I517" t="s">
        <v>24</v>
      </c>
      <c r="J517">
        <v>4910000</v>
      </c>
      <c r="K517">
        <v>4</v>
      </c>
      <c r="L517">
        <v>1</v>
      </c>
      <c r="M517">
        <v>17</v>
      </c>
      <c r="N517" t="s">
        <v>88</v>
      </c>
      <c r="O517" t="s">
        <v>26</v>
      </c>
      <c r="P517" t="s">
        <v>27</v>
      </c>
      <c r="Q517" s="5">
        <v>46074</v>
      </c>
      <c r="R517" t="s">
        <v>235</v>
      </c>
      <c r="S517">
        <f>DATEDIF(D517,DATE(2026,9,30),"Y")</f>
        <v>25</v>
      </c>
      <c r="T517" s="6">
        <f>(IF(Q517="",DATE(2026,9,30),Q517)-E517)/365.25</f>
        <v>0.52019164955509922</v>
      </c>
      <c r="U517" t="str">
        <f>_xlfn.XLOOKUP(Table1_1[[#This Row],[Bo''lim]],Bolimlar!A:A,Bolimlar!B:B,"Topilmadi")</f>
        <v>Aziz Karimov</v>
      </c>
      <c r="V517">
        <f>IF(P517="Ha",1,0)</f>
        <v>1</v>
      </c>
      <c r="W517" t="str">
        <f>IF(T517&lt;1,"1 yildan kam",IF(T517&lt;3,"1-3 yil","3 yildan ko'p"))</f>
        <v>1 yildan kam</v>
      </c>
    </row>
    <row r="518" spans="1:23" x14ac:dyDescent="0.3">
      <c r="A518" t="s">
        <v>837</v>
      </c>
      <c r="B518" t="s">
        <v>398</v>
      </c>
      <c r="C518" t="s">
        <v>20</v>
      </c>
      <c r="D518" s="5">
        <v>33849</v>
      </c>
      <c r="E518" s="5">
        <v>42921</v>
      </c>
      <c r="F518" t="s">
        <v>1035</v>
      </c>
      <c r="G518" t="s">
        <v>65</v>
      </c>
      <c r="H518" t="s">
        <v>33</v>
      </c>
      <c r="I518" t="s">
        <v>24</v>
      </c>
      <c r="J518">
        <v>4900000</v>
      </c>
      <c r="K518">
        <v>3</v>
      </c>
      <c r="L518">
        <v>3</v>
      </c>
      <c r="M518">
        <v>4</v>
      </c>
      <c r="N518" t="s">
        <v>41</v>
      </c>
      <c r="O518" t="s">
        <v>26</v>
      </c>
      <c r="P518" t="s">
        <v>36</v>
      </c>
      <c r="Q518" s="5"/>
      <c r="S518">
        <f>DATEDIF(D518,DATE(2026,9,30),"Y")</f>
        <v>34</v>
      </c>
      <c r="T518" s="6">
        <f>(IF(Q518="",DATE(2026,9,30),Q518)-E518)/365.25</f>
        <v>9.2375085557837107</v>
      </c>
      <c r="U518" t="str">
        <f>_xlfn.XLOOKUP(Table1_1[[#This Row],[Bo''lim]],Bolimlar!A:A,Bolimlar!B:B,"Topilmadi")</f>
        <v>Aziz Karimov</v>
      </c>
      <c r="V518">
        <f>IF(P518="Ha",1,0)</f>
        <v>0</v>
      </c>
      <c r="W518" t="str">
        <f>IF(T518&lt;1,"1 yildan kam",IF(T518&lt;3,"1-3 yil","3 yildan ko'p"))</f>
        <v>3 yildan ko'p</v>
      </c>
    </row>
    <row r="519" spans="1:23" x14ac:dyDescent="0.3">
      <c r="A519" t="s">
        <v>865</v>
      </c>
      <c r="B519" t="s">
        <v>866</v>
      </c>
      <c r="C519" t="s">
        <v>31</v>
      </c>
      <c r="D519" s="5">
        <v>29881</v>
      </c>
      <c r="E519" s="5">
        <v>43218</v>
      </c>
      <c r="F519" t="s">
        <v>1226</v>
      </c>
      <c r="G519" t="s">
        <v>142</v>
      </c>
      <c r="H519" t="s">
        <v>33</v>
      </c>
      <c r="I519" t="s">
        <v>96</v>
      </c>
      <c r="J519">
        <v>4890000</v>
      </c>
      <c r="K519">
        <v>3</v>
      </c>
      <c r="L519">
        <v>1</v>
      </c>
      <c r="M519">
        <v>1</v>
      </c>
      <c r="N519" t="s">
        <v>41</v>
      </c>
      <c r="O519" t="s">
        <v>26</v>
      </c>
      <c r="P519" t="s">
        <v>36</v>
      </c>
      <c r="Q519" s="5"/>
      <c r="S519">
        <f>DATEDIF(D519,DATE(2026,9,30),"Y")</f>
        <v>44</v>
      </c>
      <c r="T519" s="6">
        <f>(IF(Q519="",DATE(2026,9,30),Q519)-E519)/365.25</f>
        <v>8.424366872005475</v>
      </c>
      <c r="U519" t="str">
        <f>_xlfn.XLOOKUP(Table1_1[[#This Row],[Bo''lim]],Bolimlar!A:A,Bolimlar!B:B,"Topilmadi")</f>
        <v>Madina Abdullayeva</v>
      </c>
      <c r="V519">
        <f>IF(P519="Ha",1,0)</f>
        <v>0</v>
      </c>
      <c r="W519" t="str">
        <f>IF(T519&lt;1,"1 yildan kam",IF(T519&lt;3,"1-3 yil","3 yildan ko'p"))</f>
        <v>3 yildan ko'p</v>
      </c>
    </row>
    <row r="520" spans="1:23" x14ac:dyDescent="0.3">
      <c r="A520" t="s">
        <v>1120</v>
      </c>
      <c r="B520" t="s">
        <v>1078</v>
      </c>
      <c r="C520" t="s">
        <v>20</v>
      </c>
      <c r="D520" s="5">
        <v>31508</v>
      </c>
      <c r="E520" s="5">
        <v>45719</v>
      </c>
      <c r="F520" t="s">
        <v>1035</v>
      </c>
      <c r="G520" t="s">
        <v>73</v>
      </c>
      <c r="H520" t="s">
        <v>33</v>
      </c>
      <c r="I520" t="s">
        <v>82</v>
      </c>
      <c r="J520">
        <v>4870000</v>
      </c>
      <c r="K520">
        <v>3</v>
      </c>
      <c r="L520">
        <v>2</v>
      </c>
      <c r="M520">
        <v>6</v>
      </c>
      <c r="N520" t="s">
        <v>88</v>
      </c>
      <c r="O520" t="s">
        <v>35</v>
      </c>
      <c r="P520" t="s">
        <v>36</v>
      </c>
      <c r="Q520" s="5"/>
      <c r="S520">
        <f>DATEDIF(D520,DATE(2026,9,30),"Y")</f>
        <v>40</v>
      </c>
      <c r="T520" s="6">
        <f>(IF(Q520="",DATE(2026,9,30),Q520)-E520)/365.25</f>
        <v>1.5770020533880904</v>
      </c>
      <c r="U520" t="str">
        <f>_xlfn.XLOOKUP(Table1_1[[#This Row],[Bo''lim]],Bolimlar!A:A,Bolimlar!B:B,"Topilmadi")</f>
        <v>Aziz Karimov</v>
      </c>
      <c r="V520">
        <f>IF(P520="Ha",1,0)</f>
        <v>0</v>
      </c>
      <c r="W520" t="str">
        <f>IF(T520&lt;1,"1 yildan kam",IF(T520&lt;3,"1-3 yil","3 yildan ko'p"))</f>
        <v>1-3 yil</v>
      </c>
    </row>
    <row r="521" spans="1:23" x14ac:dyDescent="0.3">
      <c r="A521" t="s">
        <v>1082</v>
      </c>
      <c r="B521" t="s">
        <v>1083</v>
      </c>
      <c r="C521" t="s">
        <v>20</v>
      </c>
      <c r="D521" s="5">
        <v>38407</v>
      </c>
      <c r="E521" s="5">
        <v>45958</v>
      </c>
      <c r="F521" t="s">
        <v>1226</v>
      </c>
      <c r="G521" t="s">
        <v>57</v>
      </c>
      <c r="H521" t="s">
        <v>33</v>
      </c>
      <c r="I521" t="s">
        <v>24</v>
      </c>
      <c r="J521">
        <v>4860000</v>
      </c>
      <c r="K521">
        <v>4</v>
      </c>
      <c r="L521">
        <v>5</v>
      </c>
      <c r="M521">
        <v>0</v>
      </c>
      <c r="N521" t="s">
        <v>25</v>
      </c>
      <c r="O521" t="s">
        <v>26</v>
      </c>
      <c r="P521" t="s">
        <v>36</v>
      </c>
      <c r="Q521" s="5"/>
      <c r="S521">
        <f>DATEDIF(D521,DATE(2026,9,30),"Y")</f>
        <v>21</v>
      </c>
      <c r="T521" s="6">
        <f>(IF(Q521="",DATE(2026,9,30),Q521)-E521)/365.25</f>
        <v>0.92265571526351808</v>
      </c>
      <c r="U521" t="str">
        <f>_xlfn.XLOOKUP(Table1_1[[#This Row],[Bo''lim]],Bolimlar!A:A,Bolimlar!B:B,"Topilmadi")</f>
        <v>Madina Abdullayeva</v>
      </c>
      <c r="V521">
        <f>IF(P521="Ha",1,0)</f>
        <v>0</v>
      </c>
      <c r="W521" t="str">
        <f>IF(T521&lt;1,"1 yildan kam",IF(T521&lt;3,"1-3 yil","3 yildan ko'p"))</f>
        <v>1 yildan kam</v>
      </c>
    </row>
    <row r="522" spans="1:23" x14ac:dyDescent="0.3">
      <c r="A522" t="s">
        <v>471</v>
      </c>
      <c r="B522" t="s">
        <v>472</v>
      </c>
      <c r="C522" t="s">
        <v>20</v>
      </c>
      <c r="D522" s="5">
        <v>28833</v>
      </c>
      <c r="E522" s="5">
        <v>45519</v>
      </c>
      <c r="F522" t="s">
        <v>1300</v>
      </c>
      <c r="G522" t="s">
        <v>52</v>
      </c>
      <c r="H522" t="s">
        <v>68</v>
      </c>
      <c r="I522" t="s">
        <v>24</v>
      </c>
      <c r="J522">
        <v>4850000</v>
      </c>
      <c r="K522">
        <v>5</v>
      </c>
      <c r="L522">
        <v>3</v>
      </c>
      <c r="M522">
        <v>16</v>
      </c>
      <c r="N522" t="s">
        <v>41</v>
      </c>
      <c r="O522" t="s">
        <v>26</v>
      </c>
      <c r="P522" t="s">
        <v>27</v>
      </c>
      <c r="Q522" s="5">
        <v>46257</v>
      </c>
      <c r="R522" t="s">
        <v>155</v>
      </c>
      <c r="S522">
        <f>DATEDIF(D522,DATE(2026,9,30),"Y")</f>
        <v>47</v>
      </c>
      <c r="T522" s="6">
        <f>(IF(Q522="",DATE(2026,9,30),Q522)-E522)/365.25</f>
        <v>2.020533880903491</v>
      </c>
      <c r="U522" t="str">
        <f>_xlfn.XLOOKUP(Table1_1[[#This Row],[Bo''lim]],Bolimlar!A:A,Bolimlar!B:B,"Topilmadi")</f>
        <v>Shahlo Ismoilova</v>
      </c>
      <c r="V522">
        <f>IF(P522="Ha",1,0)</f>
        <v>1</v>
      </c>
      <c r="W522" t="str">
        <f>IF(T522&lt;1,"1 yildan kam",IF(T522&lt;3,"1-3 yil","3 yildan ko'p"))</f>
        <v>1-3 yil</v>
      </c>
    </row>
    <row r="523" spans="1:23" x14ac:dyDescent="0.3">
      <c r="A523" t="s">
        <v>527</v>
      </c>
      <c r="B523" t="s">
        <v>528</v>
      </c>
      <c r="C523" t="s">
        <v>31</v>
      </c>
      <c r="D523" s="5">
        <v>35567</v>
      </c>
      <c r="E523" s="5">
        <v>43476</v>
      </c>
      <c r="F523" t="s">
        <v>21</v>
      </c>
      <c r="G523" t="s">
        <v>32</v>
      </c>
      <c r="H523" t="s">
        <v>33</v>
      </c>
      <c r="I523" t="s">
        <v>24</v>
      </c>
      <c r="J523">
        <v>4840000</v>
      </c>
      <c r="K523">
        <v>1</v>
      </c>
      <c r="L523">
        <v>3</v>
      </c>
      <c r="M523">
        <v>6</v>
      </c>
      <c r="N523" t="s">
        <v>41</v>
      </c>
      <c r="O523" t="s">
        <v>35</v>
      </c>
      <c r="P523" t="s">
        <v>36</v>
      </c>
      <c r="Q523" s="5"/>
      <c r="S523">
        <f>DATEDIF(D523,DATE(2026,9,30),"Y")</f>
        <v>29</v>
      </c>
      <c r="T523" s="6">
        <f>(IF(Q523="",DATE(2026,9,30),Q523)-E523)/365.25</f>
        <v>7.7180013689253935</v>
      </c>
      <c r="U523" t="str">
        <f>_xlfn.XLOOKUP(Table1_1[[#This Row],[Bo''lim]],Bolimlar!A:A,Bolimlar!B:B,"Topilmadi")</f>
        <v>Jasur Yusupov</v>
      </c>
      <c r="V523">
        <f>IF(P523="Ha",1,0)</f>
        <v>0</v>
      </c>
      <c r="W523" t="str">
        <f>IF(T523&lt;1,"1 yildan kam",IF(T523&lt;3,"1-3 yil","3 yildan ko'p"))</f>
        <v>3 yildan ko'p</v>
      </c>
    </row>
    <row r="524" spans="1:23" x14ac:dyDescent="0.3">
      <c r="A524" t="s">
        <v>326</v>
      </c>
      <c r="B524" t="s">
        <v>159</v>
      </c>
      <c r="C524" t="s">
        <v>31</v>
      </c>
      <c r="D524" s="5">
        <v>34296</v>
      </c>
      <c r="E524" s="5">
        <v>45475</v>
      </c>
      <c r="F524" t="s">
        <v>1226</v>
      </c>
      <c r="G524" t="s">
        <v>60</v>
      </c>
      <c r="H524" t="s">
        <v>33</v>
      </c>
      <c r="I524" t="s">
        <v>24</v>
      </c>
      <c r="J524">
        <v>4830000</v>
      </c>
      <c r="K524">
        <v>4</v>
      </c>
      <c r="L524">
        <v>2</v>
      </c>
      <c r="M524">
        <v>2</v>
      </c>
      <c r="N524" t="s">
        <v>41</v>
      </c>
      <c r="O524" t="s">
        <v>53</v>
      </c>
      <c r="P524" t="s">
        <v>36</v>
      </c>
      <c r="Q524" s="5"/>
      <c r="S524">
        <f>DATEDIF(D524,DATE(2026,9,30),"Y")</f>
        <v>32</v>
      </c>
      <c r="T524" s="6">
        <f>(IF(Q524="",DATE(2026,9,30),Q524)-E524)/365.25</f>
        <v>2.2450376454483232</v>
      </c>
      <c r="U524" t="str">
        <f>_xlfn.XLOOKUP(Table1_1[[#This Row],[Bo''lim]],Bolimlar!A:A,Bolimlar!B:B,"Topilmadi")</f>
        <v>Madina Abdullayeva</v>
      </c>
      <c r="V524">
        <f>IF(P524="Ha",1,0)</f>
        <v>0</v>
      </c>
      <c r="W524" t="str">
        <f>IF(T524&lt;1,"1 yildan kam",IF(T524&lt;3,"1-3 yil","3 yildan ko'p"))</f>
        <v>1-3 yil</v>
      </c>
    </row>
    <row r="525" spans="1:23" x14ac:dyDescent="0.3">
      <c r="A525" t="s">
        <v>385</v>
      </c>
      <c r="B525" t="s">
        <v>386</v>
      </c>
      <c r="C525" t="s">
        <v>31</v>
      </c>
      <c r="D525" s="5">
        <v>33311</v>
      </c>
      <c r="E525" s="5">
        <v>45745</v>
      </c>
      <c r="F525" t="s">
        <v>1300</v>
      </c>
      <c r="G525" t="s">
        <v>52</v>
      </c>
      <c r="H525" t="s">
        <v>68</v>
      </c>
      <c r="I525" t="s">
        <v>24</v>
      </c>
      <c r="J525">
        <v>4830000</v>
      </c>
      <c r="K525">
        <v>5</v>
      </c>
      <c r="L525">
        <v>2</v>
      </c>
      <c r="M525">
        <v>4</v>
      </c>
      <c r="N525" t="s">
        <v>41</v>
      </c>
      <c r="O525" t="s">
        <v>35</v>
      </c>
      <c r="P525" t="s">
        <v>36</v>
      </c>
      <c r="Q525" s="5"/>
      <c r="S525">
        <f>DATEDIF(D525,DATE(2026,9,30),"Y")</f>
        <v>35</v>
      </c>
      <c r="T525" s="6">
        <f>(IF(Q525="",DATE(2026,9,30),Q525)-E525)/365.25</f>
        <v>1.5058179329226558</v>
      </c>
      <c r="U525" t="str">
        <f>_xlfn.XLOOKUP(Table1_1[[#This Row],[Bo''lim]],Bolimlar!A:A,Bolimlar!B:B,"Topilmadi")</f>
        <v>Shahlo Ismoilova</v>
      </c>
      <c r="V525">
        <f>IF(P525="Ha",1,0)</f>
        <v>0</v>
      </c>
      <c r="W525" t="str">
        <f>IF(T525&lt;1,"1 yildan kam",IF(T525&lt;3,"1-3 yil","3 yildan ko'p"))</f>
        <v>1-3 yil</v>
      </c>
    </row>
    <row r="526" spans="1:23" x14ac:dyDescent="0.3">
      <c r="A526" t="s">
        <v>859</v>
      </c>
      <c r="B526" t="s">
        <v>708</v>
      </c>
      <c r="C526" t="s">
        <v>31</v>
      </c>
      <c r="D526" s="5">
        <v>38822</v>
      </c>
      <c r="E526" s="5">
        <v>46206</v>
      </c>
      <c r="F526" t="s">
        <v>21</v>
      </c>
      <c r="G526" t="s">
        <v>103</v>
      </c>
      <c r="H526" t="s">
        <v>33</v>
      </c>
      <c r="I526" t="s">
        <v>24</v>
      </c>
      <c r="J526">
        <v>4830000</v>
      </c>
      <c r="K526">
        <v>3</v>
      </c>
      <c r="L526">
        <v>4</v>
      </c>
      <c r="M526">
        <v>0</v>
      </c>
      <c r="N526" t="s">
        <v>41</v>
      </c>
      <c r="O526" t="s">
        <v>35</v>
      </c>
      <c r="P526" t="s">
        <v>36</v>
      </c>
      <c r="Q526" s="5"/>
      <c r="S526">
        <f>DATEDIF(D526,DATE(2026,9,30),"Y")</f>
        <v>20</v>
      </c>
      <c r="T526" s="6">
        <f>(IF(Q526="",DATE(2026,9,30),Q526)-E526)/365.25</f>
        <v>0.24366872005475701</v>
      </c>
      <c r="U526" t="str">
        <f>_xlfn.XLOOKUP(Table1_1[[#This Row],[Bo''lim]],Bolimlar!A:A,Bolimlar!B:B,"Topilmadi")</f>
        <v>Jasur Yusupov</v>
      </c>
      <c r="V526">
        <f>IF(P526="Ha",1,0)</f>
        <v>0</v>
      </c>
      <c r="W526" t="str">
        <f>IF(T526&lt;1,"1 yildan kam",IF(T526&lt;3,"1-3 yil","3 yildan ko'p"))</f>
        <v>1 yildan kam</v>
      </c>
    </row>
    <row r="527" spans="1:23" x14ac:dyDescent="0.3">
      <c r="A527" t="s">
        <v>799</v>
      </c>
      <c r="B527" t="s">
        <v>345</v>
      </c>
      <c r="C527" t="s">
        <v>31</v>
      </c>
      <c r="D527" s="5">
        <v>32249</v>
      </c>
      <c r="E527" s="5">
        <v>45874</v>
      </c>
      <c r="F527" t="s">
        <v>1035</v>
      </c>
      <c r="G527" t="s">
        <v>65</v>
      </c>
      <c r="H527" t="s">
        <v>33</v>
      </c>
      <c r="I527" t="s">
        <v>24</v>
      </c>
      <c r="J527">
        <v>4820000</v>
      </c>
      <c r="K527">
        <v>2</v>
      </c>
      <c r="L527">
        <v>4</v>
      </c>
      <c r="M527">
        <v>9</v>
      </c>
      <c r="N527" t="s">
        <v>25</v>
      </c>
      <c r="O527" t="s">
        <v>26</v>
      </c>
      <c r="P527" t="s">
        <v>36</v>
      </c>
      <c r="Q527" s="5"/>
      <c r="S527">
        <f>DATEDIF(D527,DATE(2026,9,30),"Y")</f>
        <v>38</v>
      </c>
      <c r="T527" s="6">
        <f>(IF(Q527="",DATE(2026,9,30),Q527)-E527)/365.25</f>
        <v>1.1526351813826146</v>
      </c>
      <c r="U527" t="str">
        <f>_xlfn.XLOOKUP(Table1_1[[#This Row],[Bo''lim]],Bolimlar!A:A,Bolimlar!B:B,"Topilmadi")</f>
        <v>Aziz Karimov</v>
      </c>
      <c r="V527">
        <f>IF(P527="Ha",1,0)</f>
        <v>0</v>
      </c>
      <c r="W527" t="str">
        <f>IF(T527&lt;1,"1 yildan kam",IF(T527&lt;3,"1-3 yil","3 yildan ko'p"))</f>
        <v>1-3 yil</v>
      </c>
    </row>
    <row r="528" spans="1:23" x14ac:dyDescent="0.3">
      <c r="A528" t="s">
        <v>1185</v>
      </c>
      <c r="B528" t="s">
        <v>941</v>
      </c>
      <c r="C528" t="s">
        <v>31</v>
      </c>
      <c r="D528" s="5">
        <v>34624</v>
      </c>
      <c r="E528" s="5">
        <v>44356</v>
      </c>
      <c r="F528" t="s">
        <v>1300</v>
      </c>
      <c r="G528" t="s">
        <v>52</v>
      </c>
      <c r="H528" t="s">
        <v>68</v>
      </c>
      <c r="I528" t="s">
        <v>34</v>
      </c>
      <c r="J528">
        <v>4820000</v>
      </c>
      <c r="K528">
        <v>3</v>
      </c>
      <c r="L528">
        <v>4</v>
      </c>
      <c r="M528">
        <v>3</v>
      </c>
      <c r="N528" t="s">
        <v>41</v>
      </c>
      <c r="O528" t="s">
        <v>35</v>
      </c>
      <c r="P528" t="s">
        <v>36</v>
      </c>
      <c r="Q528" s="5"/>
      <c r="S528">
        <f>DATEDIF(D528,DATE(2026,9,30),"Y")</f>
        <v>31</v>
      </c>
      <c r="T528" s="6">
        <f>(IF(Q528="",DATE(2026,9,30),Q528)-E528)/365.25</f>
        <v>5.3086926762491444</v>
      </c>
      <c r="U528" t="str">
        <f>_xlfn.XLOOKUP(Table1_1[[#This Row],[Bo''lim]],Bolimlar!A:A,Bolimlar!B:B,"Topilmadi")</f>
        <v>Shahlo Ismoilova</v>
      </c>
      <c r="V528">
        <f>IF(P528="Ha",1,0)</f>
        <v>0</v>
      </c>
      <c r="W528" t="str">
        <f>IF(T528&lt;1,"1 yildan kam",IF(T528&lt;3,"1-3 yil","3 yildan ko'p"))</f>
        <v>3 yildan ko'p</v>
      </c>
    </row>
    <row r="529" spans="1:23" x14ac:dyDescent="0.3">
      <c r="A529" t="s">
        <v>94</v>
      </c>
      <c r="B529" t="s">
        <v>95</v>
      </c>
      <c r="C529" t="s">
        <v>20</v>
      </c>
      <c r="D529" s="5">
        <v>36217</v>
      </c>
      <c r="E529" s="5">
        <v>44775</v>
      </c>
      <c r="F529" t="s">
        <v>1035</v>
      </c>
      <c r="G529" t="s">
        <v>73</v>
      </c>
      <c r="H529" t="s">
        <v>33</v>
      </c>
      <c r="I529" t="s">
        <v>96</v>
      </c>
      <c r="J529">
        <v>4810000</v>
      </c>
      <c r="K529">
        <v>3</v>
      </c>
      <c r="L529">
        <v>4</v>
      </c>
      <c r="M529">
        <v>42</v>
      </c>
      <c r="N529" t="s">
        <v>25</v>
      </c>
      <c r="O529" t="s">
        <v>26</v>
      </c>
      <c r="P529" t="s">
        <v>36</v>
      </c>
      <c r="Q529" s="5"/>
      <c r="S529">
        <f>DATEDIF(D529,DATE(2026,9,30),"Y")</f>
        <v>27</v>
      </c>
      <c r="T529" s="6">
        <f>(IF(Q529="",DATE(2026,9,30),Q529)-E529)/365.25</f>
        <v>4.1615331964407938</v>
      </c>
      <c r="U529" t="str">
        <f>_xlfn.XLOOKUP(Table1_1[[#This Row],[Bo''lim]],Bolimlar!A:A,Bolimlar!B:B,"Topilmadi")</f>
        <v>Aziz Karimov</v>
      </c>
      <c r="V529">
        <f>IF(P529="Ha",1,0)</f>
        <v>0</v>
      </c>
      <c r="W529" t="str">
        <f>IF(T529&lt;1,"1 yildan kam",IF(T529&lt;3,"1-3 yil","3 yildan ko'p"))</f>
        <v>3 yildan ko'p</v>
      </c>
    </row>
    <row r="530" spans="1:23" x14ac:dyDescent="0.3">
      <c r="A530" t="s">
        <v>132</v>
      </c>
      <c r="B530" t="s">
        <v>133</v>
      </c>
      <c r="C530" t="s">
        <v>20</v>
      </c>
      <c r="D530" s="5">
        <v>34286</v>
      </c>
      <c r="E530" s="5">
        <v>43664</v>
      </c>
      <c r="F530" t="s">
        <v>1035</v>
      </c>
      <c r="G530" t="s">
        <v>79</v>
      </c>
      <c r="H530" t="s">
        <v>33</v>
      </c>
      <c r="I530" t="s">
        <v>24</v>
      </c>
      <c r="J530">
        <v>4810000</v>
      </c>
      <c r="K530">
        <v>3</v>
      </c>
      <c r="L530">
        <v>2</v>
      </c>
      <c r="M530">
        <v>28</v>
      </c>
      <c r="N530" t="s">
        <v>88</v>
      </c>
      <c r="O530" t="s">
        <v>35</v>
      </c>
      <c r="P530" t="s">
        <v>36</v>
      </c>
      <c r="Q530" s="5"/>
      <c r="S530">
        <f>DATEDIF(D530,DATE(2026,9,30),"Y")</f>
        <v>32</v>
      </c>
      <c r="T530" s="6">
        <f>(IF(Q530="",DATE(2026,9,30),Q530)-E530)/365.25</f>
        <v>7.2032854209445585</v>
      </c>
      <c r="U530" t="str">
        <f>_xlfn.XLOOKUP(Table1_1[[#This Row],[Bo''lim]],Bolimlar!A:A,Bolimlar!B:B,"Topilmadi")</f>
        <v>Aziz Karimov</v>
      </c>
      <c r="V530">
        <f>IF(P530="Ha",1,0)</f>
        <v>0</v>
      </c>
      <c r="W530" t="str">
        <f>IF(T530&lt;1,"1 yildan kam",IF(T530&lt;3,"1-3 yil","3 yildan ko'p"))</f>
        <v>3 yildan ko'p</v>
      </c>
    </row>
    <row r="531" spans="1:23" x14ac:dyDescent="0.3">
      <c r="A531" t="s">
        <v>815</v>
      </c>
      <c r="B531" t="s">
        <v>172</v>
      </c>
      <c r="C531" t="s">
        <v>31</v>
      </c>
      <c r="D531" s="5">
        <v>32796</v>
      </c>
      <c r="E531" s="5">
        <v>44331</v>
      </c>
      <c r="F531" t="s">
        <v>245</v>
      </c>
      <c r="G531" t="s">
        <v>127</v>
      </c>
      <c r="H531" t="s">
        <v>33</v>
      </c>
      <c r="I531" t="s">
        <v>24</v>
      </c>
      <c r="J531">
        <v>4800000</v>
      </c>
      <c r="K531">
        <v>4</v>
      </c>
      <c r="L531">
        <v>4</v>
      </c>
      <c r="M531">
        <v>6</v>
      </c>
      <c r="N531" t="s">
        <v>41</v>
      </c>
      <c r="O531" t="s">
        <v>35</v>
      </c>
      <c r="P531" t="s">
        <v>36</v>
      </c>
      <c r="Q531" s="5"/>
      <c r="S531">
        <f>DATEDIF(D531,DATE(2026,9,30),"Y")</f>
        <v>36</v>
      </c>
      <c r="T531" s="6">
        <f>(IF(Q531="",DATE(2026,9,30),Q531)-E531)/365.25</f>
        <v>5.377138945927447</v>
      </c>
      <c r="U531" t="str">
        <f>_xlfn.XLOOKUP(Table1_1[[#This Row],[Bo''lim]],Bolimlar!A:A,Bolimlar!B:B,"Topilmadi")</f>
        <v>Dilnoza Rahimova</v>
      </c>
      <c r="V531">
        <f>IF(P531="Ha",1,0)</f>
        <v>0</v>
      </c>
      <c r="W531" t="str">
        <f>IF(T531&lt;1,"1 yildan kam",IF(T531&lt;3,"1-3 yil","3 yildan ko'p"))</f>
        <v>3 yildan ko'p</v>
      </c>
    </row>
    <row r="532" spans="1:23" x14ac:dyDescent="0.3">
      <c r="A532" t="s">
        <v>1165</v>
      </c>
      <c r="B532" t="s">
        <v>1166</v>
      </c>
      <c r="C532" t="s">
        <v>20</v>
      </c>
      <c r="D532" s="5">
        <v>34390</v>
      </c>
      <c r="E532" s="5">
        <v>43778</v>
      </c>
      <c r="F532" t="s">
        <v>1035</v>
      </c>
      <c r="G532" t="s">
        <v>79</v>
      </c>
      <c r="H532" t="s">
        <v>33</v>
      </c>
      <c r="I532" t="s">
        <v>24</v>
      </c>
      <c r="J532">
        <v>4800000</v>
      </c>
      <c r="K532">
        <v>3</v>
      </c>
      <c r="L532">
        <v>2</v>
      </c>
      <c r="M532">
        <v>30</v>
      </c>
      <c r="N532" t="s">
        <v>41</v>
      </c>
      <c r="O532" t="s">
        <v>35</v>
      </c>
      <c r="P532" t="s">
        <v>27</v>
      </c>
      <c r="Q532" s="5">
        <v>45916</v>
      </c>
      <c r="R532" t="s">
        <v>111</v>
      </c>
      <c r="S532">
        <f>DATEDIF(D532,DATE(2026,9,30),"Y")</f>
        <v>32</v>
      </c>
      <c r="T532" s="6">
        <f>(IF(Q532="",DATE(2026,9,30),Q532)-E532)/365.25</f>
        <v>5.8535249828884321</v>
      </c>
      <c r="U532" t="str">
        <f>_xlfn.XLOOKUP(Table1_1[[#This Row],[Bo''lim]],Bolimlar!A:A,Bolimlar!B:B,"Topilmadi")</f>
        <v>Aziz Karimov</v>
      </c>
      <c r="V532">
        <f>IF(P532="Ha",1,0)</f>
        <v>1</v>
      </c>
      <c r="W532" t="str">
        <f>IF(T532&lt;1,"1 yildan kam",IF(T532&lt;3,"1-3 yil","3 yildan ko'p"))</f>
        <v>3 yildan ko'p</v>
      </c>
    </row>
    <row r="533" spans="1:23" x14ac:dyDescent="0.3">
      <c r="A533" t="s">
        <v>302</v>
      </c>
      <c r="B533" t="s">
        <v>161</v>
      </c>
      <c r="C533" t="s">
        <v>20</v>
      </c>
      <c r="D533" s="5">
        <v>37142</v>
      </c>
      <c r="E533" s="5">
        <v>45873</v>
      </c>
      <c r="F533" t="s">
        <v>1300</v>
      </c>
      <c r="G533" t="s">
        <v>93</v>
      </c>
      <c r="H533" t="s">
        <v>68</v>
      </c>
      <c r="I533" t="s">
        <v>82</v>
      </c>
      <c r="J533">
        <v>4790000</v>
      </c>
      <c r="K533">
        <v>3</v>
      </c>
      <c r="L533">
        <v>4</v>
      </c>
      <c r="M533">
        <v>29</v>
      </c>
      <c r="N533" t="s">
        <v>25</v>
      </c>
      <c r="O533" t="s">
        <v>26</v>
      </c>
      <c r="P533" t="s">
        <v>36</v>
      </c>
      <c r="Q533" s="5"/>
      <c r="S533">
        <f>DATEDIF(D533,DATE(2026,9,30),"Y")</f>
        <v>25</v>
      </c>
      <c r="T533" s="6">
        <f>(IF(Q533="",DATE(2026,9,30),Q533)-E533)/365.25</f>
        <v>1.1553730321697468</v>
      </c>
      <c r="U533" t="str">
        <f>_xlfn.XLOOKUP(Table1_1[[#This Row],[Bo''lim]],Bolimlar!A:A,Bolimlar!B:B,"Topilmadi")</f>
        <v>Shahlo Ismoilova</v>
      </c>
      <c r="V533">
        <f>IF(P533="Ha",1,0)</f>
        <v>0</v>
      </c>
      <c r="W533" t="str">
        <f>IF(T533&lt;1,"1 yildan kam",IF(T533&lt;3,"1-3 yil","3 yildan ko'p"))</f>
        <v>1-3 yil</v>
      </c>
    </row>
    <row r="534" spans="1:23" x14ac:dyDescent="0.3">
      <c r="A534" t="s">
        <v>259</v>
      </c>
      <c r="B534" t="s">
        <v>260</v>
      </c>
      <c r="C534" t="s">
        <v>31</v>
      </c>
      <c r="D534" s="5">
        <v>35199</v>
      </c>
      <c r="E534" s="5">
        <v>43659</v>
      </c>
      <c r="F534" t="s">
        <v>1035</v>
      </c>
      <c r="G534" t="s">
        <v>73</v>
      </c>
      <c r="H534" t="s">
        <v>33</v>
      </c>
      <c r="I534" t="s">
        <v>24</v>
      </c>
      <c r="J534">
        <v>4780000</v>
      </c>
      <c r="K534">
        <v>5</v>
      </c>
      <c r="L534">
        <v>2</v>
      </c>
      <c r="M534">
        <v>11</v>
      </c>
      <c r="N534" t="s">
        <v>25</v>
      </c>
      <c r="O534" t="s">
        <v>35</v>
      </c>
      <c r="P534" t="s">
        <v>36</v>
      </c>
      <c r="Q534" s="5"/>
      <c r="S534">
        <f>DATEDIF(D534,DATE(2026,9,30),"Y")</f>
        <v>30</v>
      </c>
      <c r="T534" s="6">
        <f>(IF(Q534="",DATE(2026,9,30),Q534)-E534)/365.25</f>
        <v>7.2169746748802188</v>
      </c>
      <c r="U534" t="str">
        <f>_xlfn.XLOOKUP(Table1_1[[#This Row],[Bo''lim]],Bolimlar!A:A,Bolimlar!B:B,"Topilmadi")</f>
        <v>Aziz Karimov</v>
      </c>
      <c r="V534">
        <f>IF(P534="Ha",1,0)</f>
        <v>0</v>
      </c>
      <c r="W534" t="str">
        <f>IF(T534&lt;1,"1 yildan kam",IF(T534&lt;3,"1-3 yil","3 yildan ko'p"))</f>
        <v>3 yildan ko'p</v>
      </c>
    </row>
    <row r="535" spans="1:23" x14ac:dyDescent="0.3">
      <c r="A535" t="s">
        <v>782</v>
      </c>
      <c r="B535" t="s">
        <v>260</v>
      </c>
      <c r="C535" t="s">
        <v>31</v>
      </c>
      <c r="D535" s="5">
        <v>31539</v>
      </c>
      <c r="E535" s="5">
        <v>46016</v>
      </c>
      <c r="F535" t="s">
        <v>1226</v>
      </c>
      <c r="G535" t="s">
        <v>60</v>
      </c>
      <c r="H535" t="s">
        <v>33</v>
      </c>
      <c r="I535" t="s">
        <v>82</v>
      </c>
      <c r="J535">
        <v>4760000</v>
      </c>
      <c r="K535">
        <v>4</v>
      </c>
      <c r="L535">
        <v>4</v>
      </c>
      <c r="M535">
        <v>9</v>
      </c>
      <c r="N535" t="s">
        <v>25</v>
      </c>
      <c r="O535" t="s">
        <v>26</v>
      </c>
      <c r="P535" t="s">
        <v>36</v>
      </c>
      <c r="Q535" s="5"/>
      <c r="S535">
        <f>DATEDIF(D535,DATE(2026,9,30),"Y")</f>
        <v>40</v>
      </c>
      <c r="T535" s="6">
        <f>(IF(Q535="",DATE(2026,9,30),Q535)-E535)/365.25</f>
        <v>0.76386036960985626</v>
      </c>
      <c r="U535" t="str">
        <f>_xlfn.XLOOKUP(Table1_1[[#This Row],[Bo''lim]],Bolimlar!A:A,Bolimlar!B:B,"Topilmadi")</f>
        <v>Madina Abdullayeva</v>
      </c>
      <c r="V535">
        <f>IF(P535="Ha",1,0)</f>
        <v>0</v>
      </c>
      <c r="W535" t="str">
        <f>IF(T535&lt;1,"1 yildan kam",IF(T535&lt;3,"1-3 yil","3 yildan ko'p"))</f>
        <v>1 yildan kam</v>
      </c>
    </row>
    <row r="536" spans="1:23" x14ac:dyDescent="0.3">
      <c r="A536" t="s">
        <v>604</v>
      </c>
      <c r="B536" t="s">
        <v>159</v>
      </c>
      <c r="C536" t="s">
        <v>31</v>
      </c>
      <c r="D536" s="5">
        <v>30734</v>
      </c>
      <c r="E536" s="5">
        <v>44288</v>
      </c>
      <c r="F536" t="s">
        <v>1035</v>
      </c>
      <c r="G536" t="s">
        <v>73</v>
      </c>
      <c r="H536" t="s">
        <v>33</v>
      </c>
      <c r="I536" t="s">
        <v>206</v>
      </c>
      <c r="J536">
        <v>4750000</v>
      </c>
      <c r="K536">
        <v>5</v>
      </c>
      <c r="L536">
        <v>3</v>
      </c>
      <c r="M536">
        <v>32</v>
      </c>
      <c r="N536" t="s">
        <v>88</v>
      </c>
      <c r="O536" t="s">
        <v>26</v>
      </c>
      <c r="P536" t="s">
        <v>36</v>
      </c>
      <c r="Q536" s="5"/>
      <c r="S536">
        <f>DATEDIF(D536,DATE(2026,9,30),"Y")</f>
        <v>42</v>
      </c>
      <c r="T536" s="6">
        <f>(IF(Q536="",DATE(2026,9,30),Q536)-E536)/365.25</f>
        <v>5.4948665297741277</v>
      </c>
      <c r="U536" t="str">
        <f>_xlfn.XLOOKUP(Table1_1[[#This Row],[Bo''lim]],Bolimlar!A:A,Bolimlar!B:B,"Topilmadi")</f>
        <v>Aziz Karimov</v>
      </c>
      <c r="V536">
        <f>IF(P536="Ha",1,0)</f>
        <v>0</v>
      </c>
      <c r="W536" t="str">
        <f>IF(T536&lt;1,"1 yildan kam",IF(T536&lt;3,"1-3 yil","3 yildan ko'p"))</f>
        <v>3 yildan ko'p</v>
      </c>
    </row>
    <row r="537" spans="1:23" x14ac:dyDescent="0.3">
      <c r="A537" t="s">
        <v>506</v>
      </c>
      <c r="B537" t="s">
        <v>507</v>
      </c>
      <c r="C537" t="s">
        <v>20</v>
      </c>
      <c r="D537" s="5">
        <v>35649</v>
      </c>
      <c r="E537" s="5">
        <v>46214</v>
      </c>
      <c r="F537" t="s">
        <v>245</v>
      </c>
      <c r="G537" t="s">
        <v>127</v>
      </c>
      <c r="H537" t="s">
        <v>33</v>
      </c>
      <c r="I537" t="s">
        <v>34</v>
      </c>
      <c r="J537">
        <v>4740000</v>
      </c>
      <c r="K537">
        <v>1</v>
      </c>
      <c r="L537">
        <v>2</v>
      </c>
      <c r="M537">
        <v>7</v>
      </c>
      <c r="N537" t="s">
        <v>41</v>
      </c>
      <c r="O537" t="s">
        <v>26</v>
      </c>
      <c r="P537" t="s">
        <v>36</v>
      </c>
      <c r="Q537" s="5"/>
      <c r="S537">
        <f>DATEDIF(D537,DATE(2026,9,30),"Y")</f>
        <v>29</v>
      </c>
      <c r="T537" s="6">
        <f>(IF(Q537="",DATE(2026,9,30),Q537)-E537)/365.25</f>
        <v>0.22176591375770022</v>
      </c>
      <c r="U537" t="str">
        <f>_xlfn.XLOOKUP(Table1_1[[#This Row],[Bo''lim]],Bolimlar!A:A,Bolimlar!B:B,"Topilmadi")</f>
        <v>Dilnoza Rahimova</v>
      </c>
      <c r="V537">
        <f>IF(P537="Ha",1,0)</f>
        <v>0</v>
      </c>
      <c r="W537" t="str">
        <f>IF(T537&lt;1,"1 yildan kam",IF(T537&lt;3,"1-3 yil","3 yildan ko'p"))</f>
        <v>1 yildan kam</v>
      </c>
    </row>
    <row r="538" spans="1:23" x14ac:dyDescent="0.3">
      <c r="A538" t="s">
        <v>530</v>
      </c>
      <c r="B538" t="s">
        <v>298</v>
      </c>
      <c r="C538" t="s">
        <v>20</v>
      </c>
      <c r="D538" s="5">
        <v>31112</v>
      </c>
      <c r="E538" s="5">
        <v>43615</v>
      </c>
      <c r="F538" t="s">
        <v>1300</v>
      </c>
      <c r="G538" t="s">
        <v>93</v>
      </c>
      <c r="H538" t="s">
        <v>68</v>
      </c>
      <c r="I538" t="s">
        <v>24</v>
      </c>
      <c r="J538">
        <v>4730000</v>
      </c>
      <c r="K538">
        <v>3</v>
      </c>
      <c r="L538">
        <v>3</v>
      </c>
      <c r="M538">
        <v>20</v>
      </c>
      <c r="N538" t="s">
        <v>25</v>
      </c>
      <c r="O538" t="s">
        <v>35</v>
      </c>
      <c r="P538" t="s">
        <v>36</v>
      </c>
      <c r="Q538" s="5"/>
      <c r="S538">
        <f>DATEDIF(D538,DATE(2026,9,30),"Y")</f>
        <v>41</v>
      </c>
      <c r="T538" s="6">
        <f>(IF(Q538="",DATE(2026,9,30),Q538)-E538)/365.25</f>
        <v>7.3374401095140316</v>
      </c>
      <c r="U538" t="str">
        <f>_xlfn.XLOOKUP(Table1_1[[#This Row],[Bo''lim]],Bolimlar!A:A,Bolimlar!B:B,"Topilmadi")</f>
        <v>Shahlo Ismoilova</v>
      </c>
      <c r="V538">
        <f>IF(P538="Ha",1,0)</f>
        <v>0</v>
      </c>
      <c r="W538" t="str">
        <f>IF(T538&lt;1,"1 yildan kam",IF(T538&lt;3,"1-3 yil","3 yildan ko'p"))</f>
        <v>3 yildan ko'p</v>
      </c>
    </row>
    <row r="539" spans="1:23" x14ac:dyDescent="0.3">
      <c r="A539" t="s">
        <v>1085</v>
      </c>
      <c r="B539" t="s">
        <v>347</v>
      </c>
      <c r="C539" t="s">
        <v>20</v>
      </c>
      <c r="D539" s="5">
        <v>32684</v>
      </c>
      <c r="E539" s="5">
        <v>43664</v>
      </c>
      <c r="F539" t="s">
        <v>245</v>
      </c>
      <c r="G539" t="s">
        <v>90</v>
      </c>
      <c r="H539" t="s">
        <v>33</v>
      </c>
      <c r="I539" t="s">
        <v>24</v>
      </c>
      <c r="J539">
        <v>4720000</v>
      </c>
      <c r="K539">
        <v>3</v>
      </c>
      <c r="L539">
        <v>5</v>
      </c>
      <c r="M539">
        <v>10</v>
      </c>
      <c r="N539" t="s">
        <v>41</v>
      </c>
      <c r="O539" t="s">
        <v>35</v>
      </c>
      <c r="P539" t="s">
        <v>36</v>
      </c>
      <c r="Q539" s="5"/>
      <c r="S539">
        <f>DATEDIF(D539,DATE(2026,9,30),"Y")</f>
        <v>37</v>
      </c>
      <c r="T539" s="6">
        <f>(IF(Q539="",DATE(2026,9,30),Q539)-E539)/365.25</f>
        <v>7.2032854209445585</v>
      </c>
      <c r="U539" t="str">
        <f>_xlfn.XLOOKUP(Table1_1[[#This Row],[Bo''lim]],Bolimlar!A:A,Bolimlar!B:B,"Topilmadi")</f>
        <v>Dilnoza Rahimova</v>
      </c>
      <c r="V539">
        <f>IF(P539="Ha",1,0)</f>
        <v>0</v>
      </c>
      <c r="W539" t="str">
        <f>IF(T539&lt;1,"1 yildan kam",IF(T539&lt;3,"1-3 yil","3 yildan ko'p"))</f>
        <v>3 yildan ko'p</v>
      </c>
    </row>
    <row r="540" spans="1:23" x14ac:dyDescent="0.3">
      <c r="A540" t="s">
        <v>58</v>
      </c>
      <c r="B540" t="s">
        <v>59</v>
      </c>
      <c r="C540" t="s">
        <v>31</v>
      </c>
      <c r="D540" s="5">
        <v>30281</v>
      </c>
      <c r="E540" s="5">
        <v>43097</v>
      </c>
      <c r="F540" t="s">
        <v>1226</v>
      </c>
      <c r="G540" t="s">
        <v>60</v>
      </c>
      <c r="H540" t="s">
        <v>33</v>
      </c>
      <c r="I540" t="s">
        <v>24</v>
      </c>
      <c r="J540">
        <v>4700000</v>
      </c>
      <c r="K540">
        <v>2</v>
      </c>
      <c r="L540">
        <v>1</v>
      </c>
      <c r="M540">
        <v>0</v>
      </c>
      <c r="N540" t="s">
        <v>41</v>
      </c>
      <c r="O540" t="s">
        <v>26</v>
      </c>
      <c r="P540" t="s">
        <v>27</v>
      </c>
      <c r="Q540" s="5">
        <v>46006</v>
      </c>
      <c r="R540" t="s">
        <v>61</v>
      </c>
      <c r="S540">
        <f>DATEDIF(D540,DATE(2026,9,30),"Y")</f>
        <v>43</v>
      </c>
      <c r="T540" s="6">
        <f>(IF(Q540="",DATE(2026,9,30),Q540)-E540)/365.25</f>
        <v>7.9644079397672831</v>
      </c>
      <c r="U540" t="str">
        <f>_xlfn.XLOOKUP(Table1_1[[#This Row],[Bo''lim]],Bolimlar!A:A,Bolimlar!B:B,"Topilmadi")</f>
        <v>Madina Abdullayeva</v>
      </c>
      <c r="V540">
        <f>IF(P540="Ha",1,0)</f>
        <v>1</v>
      </c>
      <c r="W540" t="str">
        <f>IF(T540&lt;1,"1 yildan kam",IF(T540&lt;3,"1-3 yil","3 yildan ko'p"))</f>
        <v>3 yildan ko'p</v>
      </c>
    </row>
    <row r="541" spans="1:23" x14ac:dyDescent="0.3">
      <c r="A541" t="s">
        <v>1178</v>
      </c>
      <c r="B541" t="s">
        <v>896</v>
      </c>
      <c r="C541" t="s">
        <v>31</v>
      </c>
      <c r="D541" s="5">
        <v>34279</v>
      </c>
      <c r="E541" s="5">
        <v>45466</v>
      </c>
      <c r="F541" t="s">
        <v>39</v>
      </c>
      <c r="G541" t="s">
        <v>40</v>
      </c>
      <c r="H541" t="s">
        <v>33</v>
      </c>
      <c r="I541" t="s">
        <v>82</v>
      </c>
      <c r="J541">
        <v>4700000</v>
      </c>
      <c r="K541">
        <v>4</v>
      </c>
      <c r="L541">
        <v>3</v>
      </c>
      <c r="M541">
        <v>15</v>
      </c>
      <c r="N541" t="s">
        <v>41</v>
      </c>
      <c r="O541" t="s">
        <v>26</v>
      </c>
      <c r="P541" t="s">
        <v>36</v>
      </c>
      <c r="Q541" s="5"/>
      <c r="S541">
        <f>DATEDIF(D541,DATE(2026,9,30),"Y")</f>
        <v>32</v>
      </c>
      <c r="T541" s="6">
        <f>(IF(Q541="",DATE(2026,9,30),Q541)-E541)/365.25</f>
        <v>2.2696783025325118</v>
      </c>
      <c r="U541" t="str">
        <f>_xlfn.XLOOKUP(Table1_1[[#This Row],[Bo''lim]],Bolimlar!A:A,Bolimlar!B:B,"Topilmadi")</f>
        <v>Nodira Tursunova</v>
      </c>
      <c r="V541">
        <f>IF(P541="Ha",1,0)</f>
        <v>0</v>
      </c>
      <c r="W541" t="str">
        <f>IF(T541&lt;1,"1 yildan kam",IF(T541&lt;3,"1-3 yil","3 yildan ko'p"))</f>
        <v>1-3 yil</v>
      </c>
    </row>
    <row r="542" spans="1:23" x14ac:dyDescent="0.3">
      <c r="A542" t="s">
        <v>903</v>
      </c>
      <c r="B542" t="s">
        <v>113</v>
      </c>
      <c r="C542" t="s">
        <v>20</v>
      </c>
      <c r="D542" s="5">
        <v>33860</v>
      </c>
      <c r="E542" s="5">
        <v>45038</v>
      </c>
      <c r="F542" t="s">
        <v>39</v>
      </c>
      <c r="G542" t="s">
        <v>40</v>
      </c>
      <c r="H542" t="s">
        <v>33</v>
      </c>
      <c r="I542" t="s">
        <v>24</v>
      </c>
      <c r="J542">
        <v>4690000</v>
      </c>
      <c r="K542">
        <v>3</v>
      </c>
      <c r="L542">
        <v>4</v>
      </c>
      <c r="M542">
        <v>15</v>
      </c>
      <c r="N542" t="s">
        <v>88</v>
      </c>
      <c r="O542" t="s">
        <v>26</v>
      </c>
      <c r="P542" t="s">
        <v>36</v>
      </c>
      <c r="Q542" s="5"/>
      <c r="S542">
        <f>DATEDIF(D542,DATE(2026,9,30),"Y")</f>
        <v>34</v>
      </c>
      <c r="T542" s="6">
        <f>(IF(Q542="",DATE(2026,9,30),Q542)-E542)/365.25</f>
        <v>3.4414784394250515</v>
      </c>
      <c r="U542" t="str">
        <f>_xlfn.XLOOKUP(Table1_1[[#This Row],[Bo''lim]],Bolimlar!A:A,Bolimlar!B:B,"Topilmadi")</f>
        <v>Nodira Tursunova</v>
      </c>
      <c r="V542">
        <f>IF(P542="Ha",1,0)</f>
        <v>0</v>
      </c>
      <c r="W542" t="str">
        <f>IF(T542&lt;1,"1 yildan kam",IF(T542&lt;3,"1-3 yil","3 yildan ko'p"))</f>
        <v>3 yildan ko'p</v>
      </c>
    </row>
    <row r="543" spans="1:23" x14ac:dyDescent="0.3">
      <c r="A543" t="s">
        <v>943</v>
      </c>
      <c r="B543" t="s">
        <v>435</v>
      </c>
      <c r="C543" t="s">
        <v>31</v>
      </c>
      <c r="D543" s="5">
        <v>34509</v>
      </c>
      <c r="E543" s="5">
        <v>42541</v>
      </c>
      <c r="F543" t="s">
        <v>1035</v>
      </c>
      <c r="G543" t="s">
        <v>79</v>
      </c>
      <c r="H543" t="s">
        <v>33</v>
      </c>
      <c r="I543" t="s">
        <v>24</v>
      </c>
      <c r="J543">
        <v>4690000</v>
      </c>
      <c r="K543">
        <v>4</v>
      </c>
      <c r="L543">
        <v>4</v>
      </c>
      <c r="M543">
        <v>38</v>
      </c>
      <c r="N543" t="s">
        <v>25</v>
      </c>
      <c r="P543" t="s">
        <v>36</v>
      </c>
      <c r="Q543" s="5"/>
      <c r="S543">
        <f>DATEDIF(D543,DATE(2026,9,30),"Y")</f>
        <v>32</v>
      </c>
      <c r="T543" s="6">
        <f>(IF(Q543="",DATE(2026,9,30),Q543)-E543)/365.25</f>
        <v>10.277891854893909</v>
      </c>
      <c r="U543" t="str">
        <f>_xlfn.XLOOKUP(Table1_1[[#This Row],[Bo''lim]],Bolimlar!A:A,Bolimlar!B:B,"Topilmadi")</f>
        <v>Aziz Karimov</v>
      </c>
      <c r="V543">
        <f>IF(P543="Ha",1,0)</f>
        <v>0</v>
      </c>
      <c r="W543" t="str">
        <f>IF(T543&lt;1,"1 yildan kam",IF(T543&lt;3,"1-3 yil","3 yildan ko'p"))</f>
        <v>3 yildan ko'p</v>
      </c>
    </row>
    <row r="544" spans="1:23" x14ac:dyDescent="0.3">
      <c r="A544" t="s">
        <v>1064</v>
      </c>
      <c r="B544" t="s">
        <v>1029</v>
      </c>
      <c r="C544" t="s">
        <v>20</v>
      </c>
      <c r="D544" s="5">
        <v>35937</v>
      </c>
      <c r="E544" s="5">
        <v>44909</v>
      </c>
      <c r="F544" t="s">
        <v>1226</v>
      </c>
      <c r="G544" t="s">
        <v>57</v>
      </c>
      <c r="H544" t="s">
        <v>33</v>
      </c>
      <c r="I544" t="s">
        <v>24</v>
      </c>
      <c r="J544">
        <v>4690000</v>
      </c>
      <c r="K544">
        <v>2</v>
      </c>
      <c r="L544">
        <v>1</v>
      </c>
      <c r="M544">
        <v>2</v>
      </c>
      <c r="N544" t="s">
        <v>88</v>
      </c>
      <c r="O544" t="s">
        <v>35</v>
      </c>
      <c r="P544" t="s">
        <v>36</v>
      </c>
      <c r="Q544" s="5"/>
      <c r="S544">
        <f>DATEDIF(D544,DATE(2026,9,30),"Y")</f>
        <v>28</v>
      </c>
      <c r="T544" s="6">
        <f>(IF(Q544="",DATE(2026,9,30),Q544)-E544)/365.25</f>
        <v>3.7946611909650922</v>
      </c>
      <c r="U544" t="str">
        <f>_xlfn.XLOOKUP(Table1_1[[#This Row],[Bo''lim]],Bolimlar!A:A,Bolimlar!B:B,"Topilmadi")</f>
        <v>Madina Abdullayeva</v>
      </c>
      <c r="V544">
        <f>IF(P544="Ha",1,0)</f>
        <v>0</v>
      </c>
      <c r="W544" t="str">
        <f>IF(T544&lt;1,"1 yildan kam",IF(T544&lt;3,"1-3 yil","3 yildan ko'p"))</f>
        <v>3 yildan ko'p</v>
      </c>
    </row>
    <row r="545" spans="1:23" x14ac:dyDescent="0.3">
      <c r="A545" t="s">
        <v>1127</v>
      </c>
      <c r="B545" t="s">
        <v>221</v>
      </c>
      <c r="C545" t="s">
        <v>20</v>
      </c>
      <c r="D545" s="5">
        <v>32284</v>
      </c>
      <c r="E545" s="5">
        <v>45449</v>
      </c>
      <c r="F545" t="s">
        <v>245</v>
      </c>
      <c r="G545" t="s">
        <v>48</v>
      </c>
      <c r="H545" t="s">
        <v>33</v>
      </c>
      <c r="I545" t="s">
        <v>24</v>
      </c>
      <c r="J545">
        <v>4690000</v>
      </c>
      <c r="K545">
        <v>1</v>
      </c>
      <c r="L545">
        <v>5</v>
      </c>
      <c r="M545">
        <v>17</v>
      </c>
      <c r="N545" t="s">
        <v>25</v>
      </c>
      <c r="O545" t="s">
        <v>53</v>
      </c>
      <c r="P545" t="s">
        <v>36</v>
      </c>
      <c r="Q545" s="5"/>
      <c r="S545">
        <f>DATEDIF(D545,DATE(2026,9,30),"Y")</f>
        <v>38</v>
      </c>
      <c r="T545" s="6">
        <f>(IF(Q545="",DATE(2026,9,30),Q545)-E545)/365.25</f>
        <v>2.3162217659137578</v>
      </c>
      <c r="U545" t="str">
        <f>_xlfn.XLOOKUP(Table1_1[[#This Row],[Bo''lim]],Bolimlar!A:A,Bolimlar!B:B,"Topilmadi")</f>
        <v>Dilnoza Rahimova</v>
      </c>
      <c r="V545">
        <f>IF(P545="Ha",1,0)</f>
        <v>0</v>
      </c>
      <c r="W545" t="str">
        <f>IF(T545&lt;1,"1 yildan kam",IF(T545&lt;3,"1-3 yil","3 yildan ko'p"))</f>
        <v>1-3 yil</v>
      </c>
    </row>
    <row r="546" spans="1:23" x14ac:dyDescent="0.3">
      <c r="A546" t="s">
        <v>767</v>
      </c>
      <c r="B546" t="s">
        <v>768</v>
      </c>
      <c r="C546" t="s">
        <v>20</v>
      </c>
      <c r="D546" s="5">
        <v>37420</v>
      </c>
      <c r="E546" s="5">
        <v>45945</v>
      </c>
      <c r="F546" t="s">
        <v>1300</v>
      </c>
      <c r="G546" t="s">
        <v>93</v>
      </c>
      <c r="H546" t="s">
        <v>68</v>
      </c>
      <c r="I546" t="s">
        <v>24</v>
      </c>
      <c r="J546">
        <v>4670000</v>
      </c>
      <c r="K546">
        <v>4</v>
      </c>
      <c r="L546">
        <v>3</v>
      </c>
      <c r="M546">
        <v>21</v>
      </c>
      <c r="N546" t="s">
        <v>25</v>
      </c>
      <c r="O546" t="s">
        <v>35</v>
      </c>
      <c r="P546" t="s">
        <v>36</v>
      </c>
      <c r="Q546" s="5"/>
      <c r="S546">
        <f>DATEDIF(D546,DATE(2026,9,30),"Y")</f>
        <v>24</v>
      </c>
      <c r="T546" s="6">
        <f>(IF(Q546="",DATE(2026,9,30),Q546)-E546)/365.25</f>
        <v>0.95824777549623541</v>
      </c>
      <c r="U546" t="str">
        <f>_xlfn.XLOOKUP(Table1_1[[#This Row],[Bo''lim]],Bolimlar!A:A,Bolimlar!B:B,"Topilmadi")</f>
        <v>Shahlo Ismoilova</v>
      </c>
      <c r="V546">
        <f>IF(P546="Ha",1,0)</f>
        <v>0</v>
      </c>
      <c r="W546" t="str">
        <f>IF(T546&lt;1,"1 yildan kam",IF(T546&lt;3,"1-3 yil","3 yildan ko'p"))</f>
        <v>1 yildan kam</v>
      </c>
    </row>
    <row r="547" spans="1:23" x14ac:dyDescent="0.3">
      <c r="A547" t="s">
        <v>825</v>
      </c>
      <c r="B547" t="s">
        <v>826</v>
      </c>
      <c r="C547" t="s">
        <v>31</v>
      </c>
      <c r="D547" s="5">
        <v>34004</v>
      </c>
      <c r="E547" s="5">
        <v>45454</v>
      </c>
      <c r="F547" t="s">
        <v>1226</v>
      </c>
      <c r="G547" t="s">
        <v>60</v>
      </c>
      <c r="H547" t="s">
        <v>33</v>
      </c>
      <c r="I547" t="s">
        <v>82</v>
      </c>
      <c r="J547">
        <v>4670000</v>
      </c>
      <c r="K547">
        <v>3</v>
      </c>
      <c r="L547">
        <v>4</v>
      </c>
      <c r="M547">
        <v>3</v>
      </c>
      <c r="N547" t="s">
        <v>41</v>
      </c>
      <c r="O547" t="s">
        <v>35</v>
      </c>
      <c r="P547" t="s">
        <v>36</v>
      </c>
      <c r="Q547" s="5"/>
      <c r="S547">
        <f>DATEDIF(D547,DATE(2026,9,30),"Y")</f>
        <v>33</v>
      </c>
      <c r="T547" s="6">
        <f>(IF(Q547="",DATE(2026,9,30),Q547)-E547)/365.25</f>
        <v>2.3025325119780971</v>
      </c>
      <c r="U547" t="str">
        <f>_xlfn.XLOOKUP(Table1_1[[#This Row],[Bo''lim]],Bolimlar!A:A,Bolimlar!B:B,"Topilmadi")</f>
        <v>Madina Abdullayeva</v>
      </c>
      <c r="V547">
        <f>IF(P547="Ha",1,0)</f>
        <v>0</v>
      </c>
      <c r="W547" t="str">
        <f>IF(T547&lt;1,"1 yildan kam",IF(T547&lt;3,"1-3 yil","3 yildan ko'p"))</f>
        <v>1-3 yil</v>
      </c>
    </row>
    <row r="548" spans="1:23" x14ac:dyDescent="0.3">
      <c r="A548" t="s">
        <v>1088</v>
      </c>
      <c r="B548" t="s">
        <v>50</v>
      </c>
      <c r="C548" t="s">
        <v>31</v>
      </c>
      <c r="D548" s="5">
        <v>33374</v>
      </c>
      <c r="E548" s="5">
        <v>46079</v>
      </c>
      <c r="F548" t="s">
        <v>21</v>
      </c>
      <c r="G548" t="s">
        <v>32</v>
      </c>
      <c r="H548" t="s">
        <v>33</v>
      </c>
      <c r="I548" t="s">
        <v>82</v>
      </c>
      <c r="J548">
        <v>4650000</v>
      </c>
      <c r="L548">
        <v>3</v>
      </c>
      <c r="M548">
        <v>6</v>
      </c>
      <c r="N548" t="s">
        <v>41</v>
      </c>
      <c r="O548" t="s">
        <v>26</v>
      </c>
      <c r="P548" t="s">
        <v>27</v>
      </c>
      <c r="Q548" s="5">
        <v>46222</v>
      </c>
      <c r="R548" t="s">
        <v>111</v>
      </c>
      <c r="S548">
        <f>DATEDIF(D548,DATE(2026,9,30),"Y")</f>
        <v>35</v>
      </c>
      <c r="T548" s="6">
        <f>(IF(Q548="",DATE(2026,9,30),Q548)-E548)/365.25</f>
        <v>0.39151266255989048</v>
      </c>
      <c r="U548" t="str">
        <f>_xlfn.XLOOKUP(Table1_1[[#This Row],[Bo''lim]],Bolimlar!A:A,Bolimlar!B:B,"Topilmadi")</f>
        <v>Jasur Yusupov</v>
      </c>
      <c r="V548">
        <f>IF(P548="Ha",1,0)</f>
        <v>1</v>
      </c>
      <c r="W548" t="str">
        <f>IF(T548&lt;1,"1 yildan kam",IF(T548&lt;3,"1-3 yil","3 yildan ko'p"))</f>
        <v>1 yildan kam</v>
      </c>
    </row>
    <row r="549" spans="1:23" x14ac:dyDescent="0.3">
      <c r="A549" t="s">
        <v>138</v>
      </c>
      <c r="B549" t="s">
        <v>139</v>
      </c>
      <c r="C549" t="s">
        <v>20</v>
      </c>
      <c r="D549" s="5">
        <v>32048</v>
      </c>
      <c r="E549" s="5">
        <v>43132</v>
      </c>
      <c r="F549" t="s">
        <v>21</v>
      </c>
      <c r="G549" t="s">
        <v>103</v>
      </c>
      <c r="H549" t="s">
        <v>33</v>
      </c>
      <c r="I549" t="s">
        <v>104</v>
      </c>
      <c r="J549">
        <v>4630000</v>
      </c>
      <c r="K549">
        <v>3</v>
      </c>
      <c r="L549">
        <v>4</v>
      </c>
      <c r="M549">
        <v>12</v>
      </c>
      <c r="N549" t="s">
        <v>88</v>
      </c>
      <c r="O549" t="s">
        <v>26</v>
      </c>
      <c r="P549" t="s">
        <v>36</v>
      </c>
      <c r="Q549" s="5"/>
      <c r="S549">
        <f>DATEDIF(D549,DATE(2026,9,30),"Y")</f>
        <v>39</v>
      </c>
      <c r="T549" s="6">
        <f>(IF(Q549="",DATE(2026,9,30),Q549)-E549)/365.25</f>
        <v>8.6598220396988363</v>
      </c>
      <c r="U549" t="str">
        <f>_xlfn.XLOOKUP(Table1_1[[#This Row],[Bo''lim]],Bolimlar!A:A,Bolimlar!B:B,"Topilmadi")</f>
        <v>Jasur Yusupov</v>
      </c>
      <c r="V549">
        <f>IF(P549="Ha",1,0)</f>
        <v>0</v>
      </c>
      <c r="W549" t="str">
        <f>IF(T549&lt;1,"1 yildan kam",IF(T549&lt;3,"1-3 yil","3 yildan ko'p"))</f>
        <v>3 yildan ko'p</v>
      </c>
    </row>
    <row r="550" spans="1:23" x14ac:dyDescent="0.3">
      <c r="A550" t="s">
        <v>874</v>
      </c>
      <c r="B550" t="s">
        <v>418</v>
      </c>
      <c r="C550" t="s">
        <v>31</v>
      </c>
      <c r="D550" s="5">
        <v>38819</v>
      </c>
      <c r="E550" s="5">
        <v>46209</v>
      </c>
      <c r="F550" t="s">
        <v>21</v>
      </c>
      <c r="G550" t="s">
        <v>22</v>
      </c>
      <c r="H550" t="s">
        <v>33</v>
      </c>
      <c r="I550" t="s">
        <v>24</v>
      </c>
      <c r="J550">
        <v>4620000</v>
      </c>
      <c r="K550">
        <v>3</v>
      </c>
      <c r="L550">
        <v>4</v>
      </c>
      <c r="M550">
        <v>21</v>
      </c>
      <c r="N550" t="s">
        <v>41</v>
      </c>
      <c r="O550" t="s">
        <v>26</v>
      </c>
      <c r="P550" t="s">
        <v>27</v>
      </c>
      <c r="Q550" s="5">
        <v>46285</v>
      </c>
      <c r="R550" t="s">
        <v>235</v>
      </c>
      <c r="S550">
        <f>DATEDIF(D550,DATE(2026,9,30),"Y")</f>
        <v>20</v>
      </c>
      <c r="T550" s="6">
        <f>(IF(Q550="",DATE(2026,9,30),Q550)-E550)/365.25</f>
        <v>0.20807665982203971</v>
      </c>
      <c r="U550" t="str">
        <f>_xlfn.XLOOKUP(Table1_1[[#This Row],[Bo''lim]],Bolimlar!A:A,Bolimlar!B:B,"Topilmadi")</f>
        <v>Jasur Yusupov</v>
      </c>
      <c r="V550">
        <f>IF(P550="Ha",1,0)</f>
        <v>1</v>
      </c>
      <c r="W550" t="str">
        <f>IF(T550&lt;1,"1 yildan kam",IF(T550&lt;3,"1-3 yil","3 yildan ko'p"))</f>
        <v>1 yildan kam</v>
      </c>
    </row>
    <row r="551" spans="1:23" x14ac:dyDescent="0.3">
      <c r="A551" t="s">
        <v>525</v>
      </c>
      <c r="B551" t="s">
        <v>526</v>
      </c>
      <c r="C551" t="s">
        <v>20</v>
      </c>
      <c r="D551" s="5">
        <v>33820</v>
      </c>
      <c r="E551" s="5">
        <v>45467</v>
      </c>
      <c r="F551" t="s">
        <v>1035</v>
      </c>
      <c r="G551" t="s">
        <v>73</v>
      </c>
      <c r="H551" t="s">
        <v>33</v>
      </c>
      <c r="I551" t="s">
        <v>24</v>
      </c>
      <c r="J551">
        <v>4610000</v>
      </c>
      <c r="K551">
        <v>4</v>
      </c>
      <c r="L551">
        <v>2</v>
      </c>
      <c r="M551">
        <v>30</v>
      </c>
      <c r="N551" t="s">
        <v>25</v>
      </c>
      <c r="P551" t="s">
        <v>36</v>
      </c>
      <c r="Q551" s="5"/>
      <c r="S551">
        <f>DATEDIF(D551,DATE(2026,9,30),"Y")</f>
        <v>34</v>
      </c>
      <c r="T551" s="6">
        <f>(IF(Q551="",DATE(2026,9,30),Q551)-E551)/365.25</f>
        <v>2.2669404517453797</v>
      </c>
      <c r="U551" t="str">
        <f>_xlfn.XLOOKUP(Table1_1[[#This Row],[Bo''lim]],Bolimlar!A:A,Bolimlar!B:B,"Topilmadi")</f>
        <v>Aziz Karimov</v>
      </c>
      <c r="V551">
        <f>IF(P551="Ha",1,0)</f>
        <v>0</v>
      </c>
      <c r="W551" t="str">
        <f>IF(T551&lt;1,"1 yildan kam",IF(T551&lt;3,"1-3 yil","3 yildan ko'p"))</f>
        <v>1-3 yil</v>
      </c>
    </row>
    <row r="552" spans="1:23" x14ac:dyDescent="0.3">
      <c r="A552" t="s">
        <v>678</v>
      </c>
      <c r="B552" t="s">
        <v>63</v>
      </c>
      <c r="C552" t="s">
        <v>31</v>
      </c>
      <c r="D552" s="5">
        <v>35759</v>
      </c>
      <c r="E552" s="5">
        <v>45281</v>
      </c>
      <c r="F552" t="s">
        <v>39</v>
      </c>
      <c r="G552" t="s">
        <v>170</v>
      </c>
      <c r="H552" t="s">
        <v>33</v>
      </c>
      <c r="I552" t="s">
        <v>24</v>
      </c>
      <c r="J552">
        <v>4610000</v>
      </c>
      <c r="K552">
        <v>4</v>
      </c>
      <c r="L552">
        <v>5</v>
      </c>
      <c r="M552">
        <v>12</v>
      </c>
      <c r="N552" t="s">
        <v>25</v>
      </c>
      <c r="O552" t="s">
        <v>26</v>
      </c>
      <c r="P552" t="s">
        <v>36</v>
      </c>
      <c r="Q552" s="5"/>
      <c r="S552">
        <f>DATEDIF(D552,DATE(2026,9,30),"Y")</f>
        <v>28</v>
      </c>
      <c r="T552" s="6">
        <f>(IF(Q552="",DATE(2026,9,30),Q552)-E552)/365.25</f>
        <v>2.7761806981519506</v>
      </c>
      <c r="U552" t="str">
        <f>_xlfn.XLOOKUP(Table1_1[[#This Row],[Bo''lim]],Bolimlar!A:A,Bolimlar!B:B,"Topilmadi")</f>
        <v>Nodira Tursunova</v>
      </c>
      <c r="V552">
        <f>IF(P552="Ha",1,0)</f>
        <v>0</v>
      </c>
      <c r="W552" t="str">
        <f>IF(T552&lt;1,"1 yildan kam",IF(T552&lt;3,"1-3 yil","3 yildan ko'p"))</f>
        <v>1-3 yil</v>
      </c>
    </row>
    <row r="553" spans="1:23" x14ac:dyDescent="0.3">
      <c r="A553" t="s">
        <v>760</v>
      </c>
      <c r="B553" t="s">
        <v>210</v>
      </c>
      <c r="C553" t="s">
        <v>31</v>
      </c>
      <c r="D553" s="5">
        <v>33735</v>
      </c>
      <c r="E553" s="5">
        <v>44926</v>
      </c>
      <c r="F553" t="s">
        <v>245</v>
      </c>
      <c r="G553" t="s">
        <v>90</v>
      </c>
      <c r="H553" t="s">
        <v>33</v>
      </c>
      <c r="I553" t="s">
        <v>24</v>
      </c>
      <c r="J553">
        <v>4610000</v>
      </c>
      <c r="K553">
        <v>4</v>
      </c>
      <c r="L553">
        <v>1</v>
      </c>
      <c r="M553">
        <v>22</v>
      </c>
      <c r="N553" t="s">
        <v>25</v>
      </c>
      <c r="O553" t="s">
        <v>26</v>
      </c>
      <c r="P553" t="s">
        <v>36</v>
      </c>
      <c r="Q553" s="5"/>
      <c r="S553">
        <f>DATEDIF(D553,DATE(2026,9,30),"Y")</f>
        <v>34</v>
      </c>
      <c r="T553" s="6">
        <f>(IF(Q553="",DATE(2026,9,30),Q553)-E553)/365.25</f>
        <v>3.7481177275838466</v>
      </c>
      <c r="U553" t="str">
        <f>_xlfn.XLOOKUP(Table1_1[[#This Row],[Bo''lim]],Bolimlar!A:A,Bolimlar!B:B,"Topilmadi")</f>
        <v>Dilnoza Rahimova</v>
      </c>
      <c r="V553">
        <f>IF(P553="Ha",1,0)</f>
        <v>0</v>
      </c>
      <c r="W553" t="str">
        <f>IF(T553&lt;1,"1 yildan kam",IF(T553&lt;3,"1-3 yil","3 yildan ko'p"))</f>
        <v>3 yildan ko'p</v>
      </c>
    </row>
    <row r="554" spans="1:23" x14ac:dyDescent="0.3">
      <c r="A554" t="s">
        <v>175</v>
      </c>
      <c r="B554" t="s">
        <v>19</v>
      </c>
      <c r="C554" t="s">
        <v>20</v>
      </c>
      <c r="D554" s="5">
        <v>33523</v>
      </c>
      <c r="E554" s="5">
        <v>42725</v>
      </c>
      <c r="F554" t="s">
        <v>21</v>
      </c>
      <c r="G554" t="s">
        <v>22</v>
      </c>
      <c r="H554" t="s">
        <v>33</v>
      </c>
      <c r="I554" t="s">
        <v>82</v>
      </c>
      <c r="J554">
        <v>4600000</v>
      </c>
      <c r="K554">
        <v>4</v>
      </c>
      <c r="L554">
        <v>3</v>
      </c>
      <c r="M554">
        <v>14</v>
      </c>
      <c r="N554" t="s">
        <v>25</v>
      </c>
      <c r="O554" t="s">
        <v>35</v>
      </c>
      <c r="P554" t="s">
        <v>36</v>
      </c>
      <c r="Q554" s="5"/>
      <c r="S554">
        <f>DATEDIF(D554,DATE(2026,9,30),"Y")</f>
        <v>34</v>
      </c>
      <c r="T554" s="6">
        <f>(IF(Q554="",DATE(2026,9,30),Q554)-E554)/365.25</f>
        <v>9.7741273100616013</v>
      </c>
      <c r="U554" t="str">
        <f>_xlfn.XLOOKUP(Table1_1[[#This Row],[Bo''lim]],Bolimlar!A:A,Bolimlar!B:B,"Topilmadi")</f>
        <v>Jasur Yusupov</v>
      </c>
      <c r="V554">
        <f>IF(P554="Ha",1,0)</f>
        <v>0</v>
      </c>
      <c r="W554" t="str">
        <f>IF(T554&lt;1,"1 yildan kam",IF(T554&lt;3,"1-3 yil","3 yildan ko'p"))</f>
        <v>3 yildan ko'p</v>
      </c>
    </row>
    <row r="555" spans="1:23" x14ac:dyDescent="0.3">
      <c r="A555" t="s">
        <v>893</v>
      </c>
      <c r="B555" t="s">
        <v>492</v>
      </c>
      <c r="C555" t="s">
        <v>20</v>
      </c>
      <c r="D555" s="5">
        <v>32734</v>
      </c>
      <c r="E555" s="5">
        <v>45891</v>
      </c>
      <c r="F555" t="s">
        <v>1035</v>
      </c>
      <c r="G555" t="s">
        <v>65</v>
      </c>
      <c r="H555" t="s">
        <v>33</v>
      </c>
      <c r="I555" t="s">
        <v>24</v>
      </c>
      <c r="J555">
        <v>4600000</v>
      </c>
      <c r="K555">
        <v>3</v>
      </c>
      <c r="L555">
        <v>4</v>
      </c>
      <c r="M555">
        <v>13</v>
      </c>
      <c r="N555" t="s">
        <v>25</v>
      </c>
      <c r="O555" t="s">
        <v>53</v>
      </c>
      <c r="P555" t="s">
        <v>27</v>
      </c>
      <c r="Q555" s="5">
        <v>46215</v>
      </c>
      <c r="R555" t="s">
        <v>155</v>
      </c>
      <c r="S555">
        <f>DATEDIF(D555,DATE(2026,9,30),"Y")</f>
        <v>37</v>
      </c>
      <c r="T555" s="6">
        <f>(IF(Q555="",DATE(2026,9,30),Q555)-E555)/365.25</f>
        <v>0.88706365503080087</v>
      </c>
      <c r="U555" t="str">
        <f>_xlfn.XLOOKUP(Table1_1[[#This Row],[Bo''lim]],Bolimlar!A:A,Bolimlar!B:B,"Topilmadi")</f>
        <v>Aziz Karimov</v>
      </c>
      <c r="V555">
        <f>IF(P555="Ha",1,0)</f>
        <v>1</v>
      </c>
      <c r="W555" t="str">
        <f>IF(T555&lt;1,"1 yildan kam",IF(T555&lt;3,"1-3 yil","3 yildan ko'p"))</f>
        <v>1 yildan kam</v>
      </c>
    </row>
    <row r="556" spans="1:23" x14ac:dyDescent="0.3">
      <c r="A556" t="s">
        <v>1145</v>
      </c>
      <c r="B556" t="s">
        <v>513</v>
      </c>
      <c r="C556" t="s">
        <v>20</v>
      </c>
      <c r="D556" s="5">
        <v>35867</v>
      </c>
      <c r="E556" s="5">
        <v>44429</v>
      </c>
      <c r="F556" t="s">
        <v>245</v>
      </c>
      <c r="G556" t="s">
        <v>90</v>
      </c>
      <c r="H556" t="s">
        <v>33</v>
      </c>
      <c r="I556" t="s">
        <v>104</v>
      </c>
      <c r="J556">
        <v>4600000</v>
      </c>
      <c r="K556">
        <v>5</v>
      </c>
      <c r="L556">
        <v>3</v>
      </c>
      <c r="M556">
        <v>6</v>
      </c>
      <c r="N556" t="s">
        <v>41</v>
      </c>
      <c r="O556" t="s">
        <v>26</v>
      </c>
      <c r="P556" t="s">
        <v>36</v>
      </c>
      <c r="Q556" s="5"/>
      <c r="S556">
        <f>DATEDIF(D556,DATE(2026,9,30),"Y")</f>
        <v>28</v>
      </c>
      <c r="T556" s="6">
        <f>(IF(Q556="",DATE(2026,9,30),Q556)-E556)/365.25</f>
        <v>5.1088295687885008</v>
      </c>
      <c r="U556" t="str">
        <f>_xlfn.XLOOKUP(Table1_1[[#This Row],[Bo''lim]],Bolimlar!A:A,Bolimlar!B:B,"Topilmadi")</f>
        <v>Dilnoza Rahimova</v>
      </c>
      <c r="V556">
        <f>IF(P556="Ha",1,0)</f>
        <v>0</v>
      </c>
      <c r="W556" t="str">
        <f>IF(T556&lt;1,"1 yildan kam",IF(T556&lt;3,"1-3 yil","3 yildan ko'p"))</f>
        <v>3 yildan ko'p</v>
      </c>
    </row>
    <row r="557" spans="1:23" x14ac:dyDescent="0.3">
      <c r="A557" t="s">
        <v>1040</v>
      </c>
      <c r="B557" t="s">
        <v>751</v>
      </c>
      <c r="C557" t="s">
        <v>31</v>
      </c>
      <c r="D557" s="5">
        <v>31733</v>
      </c>
      <c r="E557" s="5">
        <v>46120</v>
      </c>
      <c r="F557" t="s">
        <v>21</v>
      </c>
      <c r="G557" t="s">
        <v>32</v>
      </c>
      <c r="H557" t="s">
        <v>33</v>
      </c>
      <c r="I557" t="s">
        <v>82</v>
      </c>
      <c r="J557">
        <v>4590000</v>
      </c>
      <c r="K557">
        <v>4</v>
      </c>
      <c r="L557">
        <v>4</v>
      </c>
      <c r="M557">
        <v>14</v>
      </c>
      <c r="N557" t="s">
        <v>41</v>
      </c>
      <c r="O557" t="s">
        <v>26</v>
      </c>
      <c r="P557" t="s">
        <v>36</v>
      </c>
      <c r="Q557" s="5"/>
      <c r="S557">
        <f>DATEDIF(D557,DATE(2026,9,30),"Y")</f>
        <v>39</v>
      </c>
      <c r="T557" s="6">
        <f>(IF(Q557="",DATE(2026,9,30),Q557)-E557)/365.25</f>
        <v>0.4791238877481177</v>
      </c>
      <c r="U557" t="str">
        <f>_xlfn.XLOOKUP(Table1_1[[#This Row],[Bo''lim]],Bolimlar!A:A,Bolimlar!B:B,"Topilmadi")</f>
        <v>Jasur Yusupov</v>
      </c>
      <c r="V557">
        <f>IF(P557="Ha",1,0)</f>
        <v>0</v>
      </c>
      <c r="W557" t="str">
        <f>IF(T557&lt;1,"1 yildan kam",IF(T557&lt;3,"1-3 yil","3 yildan ko'p"))</f>
        <v>1 yildan kam</v>
      </c>
    </row>
    <row r="558" spans="1:23" x14ac:dyDescent="0.3">
      <c r="A558" t="s">
        <v>715</v>
      </c>
      <c r="B558" t="s">
        <v>113</v>
      </c>
      <c r="C558" t="s">
        <v>20</v>
      </c>
      <c r="D558" s="5">
        <v>35071</v>
      </c>
      <c r="E558" s="5">
        <v>44424</v>
      </c>
      <c r="F558" t="s">
        <v>1226</v>
      </c>
      <c r="G558" t="s">
        <v>142</v>
      </c>
      <c r="H558" t="s">
        <v>33</v>
      </c>
      <c r="I558" t="s">
        <v>34</v>
      </c>
      <c r="J558">
        <v>4580000</v>
      </c>
      <c r="K558">
        <v>3</v>
      </c>
      <c r="L558">
        <v>4</v>
      </c>
      <c r="M558">
        <v>23</v>
      </c>
      <c r="N558" t="s">
        <v>41</v>
      </c>
      <c r="O558" t="s">
        <v>26</v>
      </c>
      <c r="P558" t="s">
        <v>36</v>
      </c>
      <c r="Q558" s="5"/>
      <c r="S558">
        <f>DATEDIF(D558,DATE(2026,9,30),"Y")</f>
        <v>30</v>
      </c>
      <c r="T558" s="6">
        <f>(IF(Q558="",DATE(2026,9,30),Q558)-E558)/365.25</f>
        <v>5.1225188227241611</v>
      </c>
      <c r="U558" t="str">
        <f>_xlfn.XLOOKUP(Table1_1[[#This Row],[Bo''lim]],Bolimlar!A:A,Bolimlar!B:B,"Topilmadi")</f>
        <v>Madina Abdullayeva</v>
      </c>
      <c r="V558">
        <f>IF(P558="Ha",1,0)</f>
        <v>0</v>
      </c>
      <c r="W558" t="str">
        <f>IF(T558&lt;1,"1 yildan kam",IF(T558&lt;3,"1-3 yil","3 yildan ko'p"))</f>
        <v>3 yildan ko'p</v>
      </c>
    </row>
    <row r="559" spans="1:23" x14ac:dyDescent="0.3">
      <c r="A559" t="s">
        <v>944</v>
      </c>
      <c r="B559" t="s">
        <v>682</v>
      </c>
      <c r="C559" t="s">
        <v>20</v>
      </c>
      <c r="D559" s="5">
        <v>38918</v>
      </c>
      <c r="E559" s="5">
        <v>46264</v>
      </c>
      <c r="F559" t="s">
        <v>1035</v>
      </c>
      <c r="G559" t="s">
        <v>79</v>
      </c>
      <c r="H559" t="s">
        <v>33</v>
      </c>
      <c r="I559" t="s">
        <v>24</v>
      </c>
      <c r="J559">
        <v>4580000</v>
      </c>
      <c r="K559">
        <v>4</v>
      </c>
      <c r="L559">
        <v>3</v>
      </c>
      <c r="M559">
        <v>26</v>
      </c>
      <c r="N559" t="s">
        <v>41</v>
      </c>
      <c r="O559" t="s">
        <v>35</v>
      </c>
      <c r="P559" t="s">
        <v>36</v>
      </c>
      <c r="Q559" s="5"/>
      <c r="S559">
        <f>DATEDIF(D559,DATE(2026,9,30),"Y")</f>
        <v>20</v>
      </c>
      <c r="T559" s="6">
        <f>(IF(Q559="",DATE(2026,9,30),Q559)-E559)/365.25</f>
        <v>8.4873374401095145E-2</v>
      </c>
      <c r="U559" t="str">
        <f>_xlfn.XLOOKUP(Table1_1[[#This Row],[Bo''lim]],Bolimlar!A:A,Bolimlar!B:B,"Topilmadi")</f>
        <v>Aziz Karimov</v>
      </c>
      <c r="V559">
        <f>IF(P559="Ha",1,0)</f>
        <v>0</v>
      </c>
      <c r="W559" t="str">
        <f>IF(T559&lt;1,"1 yildan kam",IF(T559&lt;3,"1-3 yil","3 yildan ko'p"))</f>
        <v>1 yildan kam</v>
      </c>
    </row>
    <row r="560" spans="1:23" x14ac:dyDescent="0.3">
      <c r="A560" t="s">
        <v>562</v>
      </c>
      <c r="B560" t="s">
        <v>563</v>
      </c>
      <c r="C560" t="s">
        <v>31</v>
      </c>
      <c r="D560" s="5">
        <v>39037</v>
      </c>
      <c r="E560" s="5">
        <v>46284</v>
      </c>
      <c r="F560" t="s">
        <v>1035</v>
      </c>
      <c r="G560" t="s">
        <v>65</v>
      </c>
      <c r="H560" t="s">
        <v>33</v>
      </c>
      <c r="I560" t="s">
        <v>104</v>
      </c>
      <c r="J560">
        <v>4570000</v>
      </c>
      <c r="K560">
        <v>3</v>
      </c>
      <c r="L560">
        <v>3</v>
      </c>
      <c r="M560">
        <v>13</v>
      </c>
      <c r="N560" t="s">
        <v>41</v>
      </c>
      <c r="O560" t="s">
        <v>35</v>
      </c>
      <c r="P560" t="s">
        <v>36</v>
      </c>
      <c r="Q560" s="5"/>
      <c r="S560">
        <f>DATEDIF(D560,DATE(2026,9,30),"Y")</f>
        <v>19</v>
      </c>
      <c r="T560" s="6">
        <f>(IF(Q560="",DATE(2026,9,30),Q560)-E560)/365.25</f>
        <v>3.0116358658453114E-2</v>
      </c>
      <c r="U560" t="str">
        <f>_xlfn.XLOOKUP(Table1_1[[#This Row],[Bo''lim]],Bolimlar!A:A,Bolimlar!B:B,"Topilmadi")</f>
        <v>Aziz Karimov</v>
      </c>
      <c r="V560">
        <f>IF(P560="Ha",1,0)</f>
        <v>0</v>
      </c>
      <c r="W560" t="str">
        <f>IF(T560&lt;1,"1 yildan kam",IF(T560&lt;3,"1-3 yil","3 yildan ko'p"))</f>
        <v>1 yildan kam</v>
      </c>
    </row>
    <row r="561" spans="1:23" x14ac:dyDescent="0.3">
      <c r="A561" t="s">
        <v>1177</v>
      </c>
      <c r="B561" t="s">
        <v>619</v>
      </c>
      <c r="C561" t="s">
        <v>20</v>
      </c>
      <c r="D561" s="5">
        <v>34821</v>
      </c>
      <c r="E561" s="5">
        <v>44852</v>
      </c>
      <c r="F561" t="s">
        <v>1300</v>
      </c>
      <c r="G561" t="s">
        <v>52</v>
      </c>
      <c r="H561" t="s">
        <v>68</v>
      </c>
      <c r="I561" t="s">
        <v>24</v>
      </c>
      <c r="J561">
        <v>4570000</v>
      </c>
      <c r="K561">
        <v>3</v>
      </c>
      <c r="L561">
        <v>4</v>
      </c>
      <c r="M561">
        <v>22</v>
      </c>
      <c r="N561" t="s">
        <v>41</v>
      </c>
      <c r="O561" t="s">
        <v>53</v>
      </c>
      <c r="P561" t="s">
        <v>36</v>
      </c>
      <c r="Q561" s="5"/>
      <c r="S561">
        <f>DATEDIF(D561,DATE(2026,9,30),"Y")</f>
        <v>31</v>
      </c>
      <c r="T561" s="6">
        <f>(IF(Q561="",DATE(2026,9,30),Q561)-E561)/365.25</f>
        <v>3.9507186858316223</v>
      </c>
      <c r="U561" t="str">
        <f>_xlfn.XLOOKUP(Table1_1[[#This Row],[Bo''lim]],Bolimlar!A:A,Bolimlar!B:B,"Topilmadi")</f>
        <v>Shahlo Ismoilova</v>
      </c>
      <c r="V561">
        <f>IF(P561="Ha",1,0)</f>
        <v>0</v>
      </c>
      <c r="W561" t="str">
        <f>IF(T561&lt;1,"1 yildan kam",IF(T561&lt;3,"1-3 yil","3 yildan ko'p"))</f>
        <v>3 yildan ko'p</v>
      </c>
    </row>
    <row r="562" spans="1:23" x14ac:dyDescent="0.3">
      <c r="A562" t="s">
        <v>698</v>
      </c>
      <c r="B562" t="s">
        <v>320</v>
      </c>
      <c r="C562" t="s">
        <v>20</v>
      </c>
      <c r="D562" s="5">
        <v>35644</v>
      </c>
      <c r="E562" s="5">
        <v>45877</v>
      </c>
      <c r="F562" t="s">
        <v>1300</v>
      </c>
      <c r="G562" t="s">
        <v>93</v>
      </c>
      <c r="H562" t="s">
        <v>68</v>
      </c>
      <c r="I562" t="s">
        <v>24</v>
      </c>
      <c r="J562">
        <v>4560000</v>
      </c>
      <c r="K562">
        <v>3</v>
      </c>
      <c r="L562">
        <v>1</v>
      </c>
      <c r="M562">
        <v>25</v>
      </c>
      <c r="N562" t="s">
        <v>41</v>
      </c>
      <c r="O562" t="s">
        <v>26</v>
      </c>
      <c r="P562" t="s">
        <v>36</v>
      </c>
      <c r="Q562" s="5"/>
      <c r="S562">
        <f>DATEDIF(D562,DATE(2026,9,30),"Y")</f>
        <v>29</v>
      </c>
      <c r="T562" s="6">
        <f>(IF(Q562="",DATE(2026,9,30),Q562)-E562)/365.25</f>
        <v>1.1444216290212184</v>
      </c>
      <c r="U562" t="str">
        <f>_xlfn.XLOOKUP(Table1_1[[#This Row],[Bo''lim]],Bolimlar!A:A,Bolimlar!B:B,"Topilmadi")</f>
        <v>Shahlo Ismoilova</v>
      </c>
      <c r="V562">
        <f>IF(P562="Ha",1,0)</f>
        <v>0</v>
      </c>
      <c r="W562" t="str">
        <f>IF(T562&lt;1,"1 yildan kam",IF(T562&lt;3,"1-3 yil","3 yildan ko'p"))</f>
        <v>1-3 yil</v>
      </c>
    </row>
    <row r="563" spans="1:23" x14ac:dyDescent="0.3">
      <c r="A563" t="s">
        <v>685</v>
      </c>
      <c r="B563" t="s">
        <v>169</v>
      </c>
      <c r="C563" t="s">
        <v>31</v>
      </c>
      <c r="D563" s="5">
        <v>30042</v>
      </c>
      <c r="E563" s="5">
        <v>45636</v>
      </c>
      <c r="F563" t="s">
        <v>1035</v>
      </c>
      <c r="G563" t="s">
        <v>65</v>
      </c>
      <c r="H563" t="s">
        <v>33</v>
      </c>
      <c r="I563" t="s">
        <v>24</v>
      </c>
      <c r="J563">
        <v>4550000</v>
      </c>
      <c r="K563">
        <v>4</v>
      </c>
      <c r="L563">
        <v>4</v>
      </c>
      <c r="M563">
        <v>10</v>
      </c>
      <c r="N563" t="s">
        <v>88</v>
      </c>
      <c r="O563" t="s">
        <v>26</v>
      </c>
      <c r="P563" t="s">
        <v>36</v>
      </c>
      <c r="Q563" s="5"/>
      <c r="S563">
        <f>DATEDIF(D563,DATE(2026,9,30),"Y")</f>
        <v>44</v>
      </c>
      <c r="T563" s="6">
        <f>(IF(Q563="",DATE(2026,9,30),Q563)-E563)/365.25</f>
        <v>1.8042436687200547</v>
      </c>
      <c r="U563" t="str">
        <f>_xlfn.XLOOKUP(Table1_1[[#This Row],[Bo''lim]],Bolimlar!A:A,Bolimlar!B:B,"Topilmadi")</f>
        <v>Aziz Karimov</v>
      </c>
      <c r="V563">
        <f>IF(P563="Ha",1,0)</f>
        <v>0</v>
      </c>
      <c r="W563" t="str">
        <f>IF(T563&lt;1,"1 yildan kam",IF(T563&lt;3,"1-3 yil","3 yildan ko'p"))</f>
        <v>1-3 yil</v>
      </c>
    </row>
    <row r="564" spans="1:23" x14ac:dyDescent="0.3">
      <c r="A564" t="s">
        <v>508</v>
      </c>
      <c r="B564" t="s">
        <v>481</v>
      </c>
      <c r="C564" t="s">
        <v>31</v>
      </c>
      <c r="D564" s="5">
        <v>36023</v>
      </c>
      <c r="E564" s="5">
        <v>44637</v>
      </c>
      <c r="F564" t="s">
        <v>1226</v>
      </c>
      <c r="G564" t="s">
        <v>57</v>
      </c>
      <c r="H564" t="s">
        <v>33</v>
      </c>
      <c r="I564" t="s">
        <v>24</v>
      </c>
      <c r="J564">
        <v>4540000</v>
      </c>
      <c r="K564">
        <v>3</v>
      </c>
      <c r="L564">
        <v>3</v>
      </c>
      <c r="M564">
        <v>7</v>
      </c>
      <c r="N564" t="s">
        <v>88</v>
      </c>
      <c r="O564" t="s">
        <v>26</v>
      </c>
      <c r="P564" t="s">
        <v>36</v>
      </c>
      <c r="Q564" s="5"/>
      <c r="S564">
        <f>DATEDIF(D564,DATE(2026,9,30),"Y")</f>
        <v>28</v>
      </c>
      <c r="T564" s="6">
        <f>(IF(Q564="",DATE(2026,9,30),Q564)-E564)/365.25</f>
        <v>4.5393566050650236</v>
      </c>
      <c r="U564" t="str">
        <f>_xlfn.XLOOKUP(Table1_1[[#This Row],[Bo''lim]],Bolimlar!A:A,Bolimlar!B:B,"Topilmadi")</f>
        <v>Madina Abdullayeva</v>
      </c>
      <c r="V564">
        <f>IF(P564="Ha",1,0)</f>
        <v>0</v>
      </c>
      <c r="W564" t="str">
        <f>IF(T564&lt;1,"1 yildan kam",IF(T564&lt;3,"1-3 yil","3 yildan ko'p"))</f>
        <v>3 yildan ko'p</v>
      </c>
    </row>
    <row r="565" spans="1:23" x14ac:dyDescent="0.3">
      <c r="A565" t="s">
        <v>1141</v>
      </c>
      <c r="B565" t="s">
        <v>754</v>
      </c>
      <c r="C565" t="s">
        <v>20</v>
      </c>
      <c r="D565" s="5">
        <v>32253</v>
      </c>
      <c r="E565" s="5">
        <v>46071</v>
      </c>
      <c r="F565" t="s">
        <v>1300</v>
      </c>
      <c r="G565" t="s">
        <v>52</v>
      </c>
      <c r="H565" t="s">
        <v>68</v>
      </c>
      <c r="I565" t="s">
        <v>96</v>
      </c>
      <c r="J565">
        <v>4540000</v>
      </c>
      <c r="K565">
        <v>5</v>
      </c>
      <c r="L565">
        <v>3</v>
      </c>
      <c r="M565">
        <v>8</v>
      </c>
      <c r="N565" t="s">
        <v>88</v>
      </c>
      <c r="O565" t="s">
        <v>35</v>
      </c>
      <c r="P565" t="s">
        <v>36</v>
      </c>
      <c r="Q565" s="5"/>
      <c r="S565">
        <f>DATEDIF(D565,DATE(2026,9,30),"Y")</f>
        <v>38</v>
      </c>
      <c r="T565" s="6">
        <f>(IF(Q565="",DATE(2026,9,30),Q565)-E565)/365.25</f>
        <v>0.61327857631759064</v>
      </c>
      <c r="U565" t="str">
        <f>_xlfn.XLOOKUP(Table1_1[[#This Row],[Bo''lim]],Bolimlar!A:A,Bolimlar!B:B,"Topilmadi")</f>
        <v>Shahlo Ismoilova</v>
      </c>
      <c r="V565">
        <f>IF(P565="Ha",1,0)</f>
        <v>0</v>
      </c>
      <c r="W565" t="str">
        <f>IF(T565&lt;1,"1 yildan kam",IF(T565&lt;3,"1-3 yil","3 yildan ko'p"))</f>
        <v>1 yildan kam</v>
      </c>
    </row>
    <row r="566" spans="1:23" x14ac:dyDescent="0.3">
      <c r="A566" t="s">
        <v>274</v>
      </c>
      <c r="B566" t="s">
        <v>275</v>
      </c>
      <c r="C566" t="s">
        <v>20</v>
      </c>
      <c r="D566" s="5">
        <v>29893</v>
      </c>
      <c r="E566" s="5">
        <v>43786</v>
      </c>
      <c r="F566" t="s">
        <v>21</v>
      </c>
      <c r="G566" t="s">
        <v>103</v>
      </c>
      <c r="H566" t="s">
        <v>33</v>
      </c>
      <c r="I566" t="s">
        <v>24</v>
      </c>
      <c r="J566">
        <v>4520000</v>
      </c>
      <c r="K566">
        <v>3</v>
      </c>
      <c r="L566">
        <v>3</v>
      </c>
      <c r="M566">
        <v>3</v>
      </c>
      <c r="N566" t="s">
        <v>25</v>
      </c>
      <c r="O566" t="s">
        <v>53</v>
      </c>
      <c r="P566" t="s">
        <v>27</v>
      </c>
      <c r="Q566" s="5">
        <v>46120</v>
      </c>
      <c r="R566" t="s">
        <v>155</v>
      </c>
      <c r="S566">
        <f>DATEDIF(D566,DATE(2026,9,30),"Y")</f>
        <v>44</v>
      </c>
      <c r="T566" s="6">
        <f>(IF(Q566="",DATE(2026,9,30),Q566)-E566)/365.25</f>
        <v>6.3901437371663246</v>
      </c>
      <c r="U566" t="str">
        <f>_xlfn.XLOOKUP(Table1_1[[#This Row],[Bo''lim]],Bolimlar!A:A,Bolimlar!B:B,"Topilmadi")</f>
        <v>Jasur Yusupov</v>
      </c>
      <c r="V566">
        <f>IF(P566="Ha",1,0)</f>
        <v>1</v>
      </c>
      <c r="W566" t="str">
        <f>IF(T566&lt;1,"1 yildan kam",IF(T566&lt;3,"1-3 yil","3 yildan ko'p"))</f>
        <v>3 yildan ko'p</v>
      </c>
    </row>
    <row r="567" spans="1:23" x14ac:dyDescent="0.3">
      <c r="A567" t="s">
        <v>539</v>
      </c>
      <c r="B567" t="s">
        <v>221</v>
      </c>
      <c r="C567" t="s">
        <v>20</v>
      </c>
      <c r="D567" s="5">
        <v>35986</v>
      </c>
      <c r="E567" s="5">
        <v>45640</v>
      </c>
      <c r="F567" t="s">
        <v>1035</v>
      </c>
      <c r="G567" t="s">
        <v>73</v>
      </c>
      <c r="H567" t="s">
        <v>33</v>
      </c>
      <c r="I567" t="s">
        <v>24</v>
      </c>
      <c r="J567">
        <v>4510000</v>
      </c>
      <c r="K567">
        <v>4</v>
      </c>
      <c r="L567">
        <v>4</v>
      </c>
      <c r="M567">
        <v>21</v>
      </c>
      <c r="N567" t="s">
        <v>25</v>
      </c>
      <c r="O567" t="s">
        <v>53</v>
      </c>
      <c r="P567" t="s">
        <v>36</v>
      </c>
      <c r="Q567" s="5"/>
      <c r="S567">
        <f>DATEDIF(D567,DATE(2026,9,30),"Y")</f>
        <v>28</v>
      </c>
      <c r="T567" s="6">
        <f>(IF(Q567="",DATE(2026,9,30),Q567)-E567)/365.25</f>
        <v>1.7932922655715264</v>
      </c>
      <c r="U567" t="str">
        <f>_xlfn.XLOOKUP(Table1_1[[#This Row],[Bo''lim]],Bolimlar!A:A,Bolimlar!B:B,"Topilmadi")</f>
        <v>Aziz Karimov</v>
      </c>
      <c r="V567">
        <f>IF(P567="Ha",1,0)</f>
        <v>0</v>
      </c>
      <c r="W567" t="str">
        <f>IF(T567&lt;1,"1 yildan kam",IF(T567&lt;3,"1-3 yil","3 yildan ko'p"))</f>
        <v>1-3 yil</v>
      </c>
    </row>
    <row r="568" spans="1:23" x14ac:dyDescent="0.3">
      <c r="A568" t="s">
        <v>966</v>
      </c>
      <c r="B568" t="s">
        <v>841</v>
      </c>
      <c r="C568" t="s">
        <v>20</v>
      </c>
      <c r="D568" s="5">
        <v>33923</v>
      </c>
      <c r="E568" s="5">
        <v>44210</v>
      </c>
      <c r="F568" t="s">
        <v>1300</v>
      </c>
      <c r="G568" t="s">
        <v>52</v>
      </c>
      <c r="H568" t="s">
        <v>68</v>
      </c>
      <c r="I568" t="s">
        <v>24</v>
      </c>
      <c r="J568">
        <v>4510000</v>
      </c>
      <c r="K568">
        <v>3</v>
      </c>
      <c r="L568">
        <v>4</v>
      </c>
      <c r="M568">
        <v>16</v>
      </c>
      <c r="N568" t="s">
        <v>25</v>
      </c>
      <c r="O568" t="s">
        <v>26</v>
      </c>
      <c r="P568" t="s">
        <v>36</v>
      </c>
      <c r="Q568" s="5"/>
      <c r="S568">
        <f>DATEDIF(D568,DATE(2026,9,30),"Y")</f>
        <v>33</v>
      </c>
      <c r="T568" s="6">
        <f>(IF(Q568="",DATE(2026,9,30),Q568)-E568)/365.25</f>
        <v>5.7084188911704308</v>
      </c>
      <c r="U568" t="str">
        <f>_xlfn.XLOOKUP(Table1_1[[#This Row],[Bo''lim]],Bolimlar!A:A,Bolimlar!B:B,"Topilmadi")</f>
        <v>Shahlo Ismoilova</v>
      </c>
      <c r="V568">
        <f>IF(P568="Ha",1,0)</f>
        <v>0</v>
      </c>
      <c r="W568" t="str">
        <f>IF(T568&lt;1,"1 yildan kam",IF(T568&lt;3,"1-3 yil","3 yildan ko'p"))</f>
        <v>3 yildan ko'p</v>
      </c>
    </row>
    <row r="569" spans="1:23" x14ac:dyDescent="0.3">
      <c r="A569" t="s">
        <v>1099</v>
      </c>
      <c r="B569" t="s">
        <v>179</v>
      </c>
      <c r="C569" t="s">
        <v>31</v>
      </c>
      <c r="D569" s="5">
        <v>35456</v>
      </c>
      <c r="E569" s="5">
        <v>43734</v>
      </c>
      <c r="F569" t="s">
        <v>1035</v>
      </c>
      <c r="G569" t="s">
        <v>79</v>
      </c>
      <c r="H569" t="s">
        <v>33</v>
      </c>
      <c r="I569" t="s">
        <v>34</v>
      </c>
      <c r="J569">
        <v>4510000</v>
      </c>
      <c r="K569">
        <v>2</v>
      </c>
      <c r="L569">
        <v>5</v>
      </c>
      <c r="M569">
        <v>7</v>
      </c>
      <c r="N569" t="s">
        <v>25</v>
      </c>
      <c r="O569" t="s">
        <v>35</v>
      </c>
      <c r="P569" t="s">
        <v>36</v>
      </c>
      <c r="Q569" s="5"/>
      <c r="S569">
        <f>DATEDIF(D569,DATE(2026,9,30),"Y")</f>
        <v>29</v>
      </c>
      <c r="T569" s="6">
        <f>(IF(Q569="",DATE(2026,9,30),Q569)-E569)/365.25</f>
        <v>7.0116358658453111</v>
      </c>
      <c r="U569" t="str">
        <f>_xlfn.XLOOKUP(Table1_1[[#This Row],[Bo''lim]],Bolimlar!A:A,Bolimlar!B:B,"Topilmadi")</f>
        <v>Aziz Karimov</v>
      </c>
      <c r="V569">
        <f>IF(P569="Ha",1,0)</f>
        <v>0</v>
      </c>
      <c r="W569" t="str">
        <f>IF(T569&lt;1,"1 yildan kam",IF(T569&lt;3,"1-3 yil","3 yildan ko'p"))</f>
        <v>3 yildan ko'p</v>
      </c>
    </row>
    <row r="570" spans="1:23" x14ac:dyDescent="0.3">
      <c r="A570" t="s">
        <v>241</v>
      </c>
      <c r="B570" t="s">
        <v>242</v>
      </c>
      <c r="C570" t="s">
        <v>31</v>
      </c>
      <c r="D570" s="5">
        <v>30493</v>
      </c>
      <c r="E570" s="5">
        <v>45997</v>
      </c>
      <c r="F570" t="s">
        <v>1300</v>
      </c>
      <c r="G570" t="s">
        <v>52</v>
      </c>
      <c r="H570" t="s">
        <v>68</v>
      </c>
      <c r="I570" t="s">
        <v>24</v>
      </c>
      <c r="J570">
        <v>4490000</v>
      </c>
      <c r="K570">
        <v>4</v>
      </c>
      <c r="L570">
        <v>4</v>
      </c>
      <c r="M570">
        <v>21</v>
      </c>
      <c r="N570" t="s">
        <v>41</v>
      </c>
      <c r="O570" t="s">
        <v>26</v>
      </c>
      <c r="P570" t="s">
        <v>36</v>
      </c>
      <c r="Q570" s="5"/>
      <c r="S570">
        <f>DATEDIF(D570,DATE(2026,9,30),"Y")</f>
        <v>43</v>
      </c>
      <c r="T570" s="6">
        <f>(IF(Q570="",DATE(2026,9,30),Q570)-E570)/365.25</f>
        <v>0.81587953456536622</v>
      </c>
      <c r="U570" t="str">
        <f>_xlfn.XLOOKUP(Table1_1[[#This Row],[Bo''lim]],Bolimlar!A:A,Bolimlar!B:B,"Topilmadi")</f>
        <v>Shahlo Ismoilova</v>
      </c>
      <c r="V570">
        <f>IF(P570="Ha",1,0)</f>
        <v>0</v>
      </c>
      <c r="W570" t="str">
        <f>IF(T570&lt;1,"1 yildan kam",IF(T570&lt;3,"1-3 yil","3 yildan ko'p"))</f>
        <v>1 yildan kam</v>
      </c>
    </row>
    <row r="571" spans="1:23" x14ac:dyDescent="0.3">
      <c r="A571" t="s">
        <v>1218</v>
      </c>
      <c r="B571" t="s">
        <v>1219</v>
      </c>
      <c r="C571" t="s">
        <v>20</v>
      </c>
      <c r="D571" s="5">
        <v>30718</v>
      </c>
      <c r="E571" s="5">
        <v>43686</v>
      </c>
      <c r="F571" t="s">
        <v>1300</v>
      </c>
      <c r="G571" t="s">
        <v>52</v>
      </c>
      <c r="H571" t="s">
        <v>68</v>
      </c>
      <c r="I571" t="s">
        <v>82</v>
      </c>
      <c r="J571">
        <v>4490000</v>
      </c>
      <c r="K571">
        <v>4</v>
      </c>
      <c r="L571">
        <v>4</v>
      </c>
      <c r="M571">
        <v>2</v>
      </c>
      <c r="N571" t="s">
        <v>25</v>
      </c>
      <c r="O571" t="s">
        <v>35</v>
      </c>
      <c r="P571" t="s">
        <v>36</v>
      </c>
      <c r="Q571" s="5"/>
      <c r="S571">
        <f>DATEDIF(D571,DATE(2026,9,30),"Y")</f>
        <v>42</v>
      </c>
      <c r="T571" s="6">
        <f>(IF(Q571="",DATE(2026,9,30),Q571)-E571)/365.25</f>
        <v>7.1430527036276521</v>
      </c>
      <c r="U571" t="str">
        <f>_xlfn.XLOOKUP(Table1_1[[#This Row],[Bo''lim]],Bolimlar!A:A,Bolimlar!B:B,"Topilmadi")</f>
        <v>Shahlo Ismoilova</v>
      </c>
      <c r="V571">
        <f>IF(P571="Ha",1,0)</f>
        <v>0</v>
      </c>
      <c r="W571" t="str">
        <f>IF(T571&lt;1,"1 yildan kam",IF(T571&lt;3,"1-3 yil","3 yildan ko'p"))</f>
        <v>3 yildan ko'p</v>
      </c>
    </row>
    <row r="572" spans="1:23" x14ac:dyDescent="0.3">
      <c r="A572" t="s">
        <v>357</v>
      </c>
      <c r="B572" t="s">
        <v>186</v>
      </c>
      <c r="C572" t="s">
        <v>20</v>
      </c>
      <c r="D572" s="5">
        <v>34690</v>
      </c>
      <c r="E572" s="5">
        <v>44362</v>
      </c>
      <c r="F572" t="s">
        <v>1035</v>
      </c>
      <c r="G572" t="s">
        <v>65</v>
      </c>
      <c r="H572" t="s">
        <v>33</v>
      </c>
      <c r="I572" t="s">
        <v>24</v>
      </c>
      <c r="J572">
        <v>4470000</v>
      </c>
      <c r="K572">
        <v>5</v>
      </c>
      <c r="L572">
        <v>4</v>
      </c>
      <c r="M572">
        <v>2</v>
      </c>
      <c r="N572" t="s">
        <v>25</v>
      </c>
      <c r="O572" t="s">
        <v>26</v>
      </c>
      <c r="P572" t="s">
        <v>36</v>
      </c>
      <c r="Q572" s="5"/>
      <c r="S572">
        <f>DATEDIF(D572,DATE(2026,9,30),"Y")</f>
        <v>31</v>
      </c>
      <c r="T572" s="6">
        <f>(IF(Q572="",DATE(2026,9,30),Q572)-E572)/365.25</f>
        <v>5.292265571526352</v>
      </c>
      <c r="U572" t="str">
        <f>_xlfn.XLOOKUP(Table1_1[[#This Row],[Bo''lim]],Bolimlar!A:A,Bolimlar!B:B,"Topilmadi")</f>
        <v>Aziz Karimov</v>
      </c>
      <c r="V572">
        <f>IF(P572="Ha",1,0)</f>
        <v>0</v>
      </c>
      <c r="W572" t="str">
        <f>IF(T572&lt;1,"1 yildan kam",IF(T572&lt;3,"1-3 yil","3 yildan ko'p"))</f>
        <v>3 yildan ko'p</v>
      </c>
    </row>
    <row r="573" spans="1:23" x14ac:dyDescent="0.3">
      <c r="A573" t="s">
        <v>793</v>
      </c>
      <c r="B573" t="s">
        <v>794</v>
      </c>
      <c r="C573" t="s">
        <v>20</v>
      </c>
      <c r="D573" s="5">
        <v>31427</v>
      </c>
      <c r="E573" s="5">
        <v>44713</v>
      </c>
      <c r="F573" t="s">
        <v>1226</v>
      </c>
      <c r="G573" t="s">
        <v>57</v>
      </c>
      <c r="H573" t="s">
        <v>33</v>
      </c>
      <c r="I573" t="s">
        <v>206</v>
      </c>
      <c r="J573">
        <v>4470000</v>
      </c>
      <c r="K573">
        <v>3</v>
      </c>
      <c r="L573">
        <v>2</v>
      </c>
      <c r="M573">
        <v>0</v>
      </c>
      <c r="N573" t="s">
        <v>41</v>
      </c>
      <c r="O573" t="s">
        <v>26</v>
      </c>
      <c r="P573" t="s">
        <v>27</v>
      </c>
      <c r="Q573" s="5">
        <v>45833</v>
      </c>
      <c r="R573" t="s">
        <v>155</v>
      </c>
      <c r="S573">
        <f>DATEDIF(D573,DATE(2026,9,30),"Y")</f>
        <v>40</v>
      </c>
      <c r="T573" s="6">
        <f>(IF(Q573="",DATE(2026,9,30),Q573)-E573)/365.25</f>
        <v>3.0663928815879533</v>
      </c>
      <c r="U573" t="str">
        <f>_xlfn.XLOOKUP(Table1_1[[#This Row],[Bo''lim]],Bolimlar!A:A,Bolimlar!B:B,"Topilmadi")</f>
        <v>Madina Abdullayeva</v>
      </c>
      <c r="V573">
        <f>IF(P573="Ha",1,0)</f>
        <v>1</v>
      </c>
      <c r="W573" t="str">
        <f>IF(T573&lt;1,"1 yildan kam",IF(T573&lt;3,"1-3 yil","3 yildan ko'p"))</f>
        <v>3 yildan ko'p</v>
      </c>
    </row>
    <row r="574" spans="1:23" x14ac:dyDescent="0.3">
      <c r="A574" t="s">
        <v>1091</v>
      </c>
      <c r="B574" t="s">
        <v>1092</v>
      </c>
      <c r="C574" t="s">
        <v>31</v>
      </c>
      <c r="D574" s="5">
        <v>33125</v>
      </c>
      <c r="E574" s="5">
        <v>45729</v>
      </c>
      <c r="F574" t="s">
        <v>1035</v>
      </c>
      <c r="G574" t="s">
        <v>65</v>
      </c>
      <c r="H574" t="s">
        <v>33</v>
      </c>
      <c r="I574" t="s">
        <v>34</v>
      </c>
      <c r="J574">
        <v>4470000</v>
      </c>
      <c r="K574">
        <v>4</v>
      </c>
      <c r="L574">
        <v>4</v>
      </c>
      <c r="M574">
        <v>12</v>
      </c>
      <c r="N574" t="s">
        <v>88</v>
      </c>
      <c r="O574" t="s">
        <v>26</v>
      </c>
      <c r="P574" t="s">
        <v>36</v>
      </c>
      <c r="Q574" s="5"/>
      <c r="S574">
        <f>DATEDIF(D574,DATE(2026,9,30),"Y")</f>
        <v>36</v>
      </c>
      <c r="T574" s="6">
        <f>(IF(Q574="",DATE(2026,9,30),Q574)-E574)/365.25</f>
        <v>1.5496235455167693</v>
      </c>
      <c r="U574" t="str">
        <f>_xlfn.XLOOKUP(Table1_1[[#This Row],[Bo''lim]],Bolimlar!A:A,Bolimlar!B:B,"Topilmadi")</f>
        <v>Aziz Karimov</v>
      </c>
      <c r="V574">
        <f>IF(P574="Ha",1,0)</f>
        <v>0</v>
      </c>
      <c r="W574" t="str">
        <f>IF(T574&lt;1,"1 yildan kam",IF(T574&lt;3,"1-3 yil","3 yildan ko'p"))</f>
        <v>1-3 yil</v>
      </c>
    </row>
    <row r="575" spans="1:23" x14ac:dyDescent="0.3">
      <c r="A575" t="s">
        <v>1001</v>
      </c>
      <c r="B575" t="s">
        <v>1002</v>
      </c>
      <c r="C575" t="s">
        <v>20</v>
      </c>
      <c r="D575" s="5">
        <v>32766</v>
      </c>
      <c r="E575" s="5">
        <v>44638</v>
      </c>
      <c r="F575" t="s">
        <v>484</v>
      </c>
      <c r="G575" t="s">
        <v>115</v>
      </c>
      <c r="H575" t="s">
        <v>33</v>
      </c>
      <c r="I575" t="s">
        <v>44</v>
      </c>
      <c r="J575">
        <v>4460000</v>
      </c>
      <c r="K575">
        <v>3</v>
      </c>
      <c r="L575">
        <v>3</v>
      </c>
      <c r="M575">
        <v>31</v>
      </c>
      <c r="N575" t="s">
        <v>25</v>
      </c>
      <c r="O575" t="s">
        <v>26</v>
      </c>
      <c r="P575" t="s">
        <v>27</v>
      </c>
      <c r="Q575" s="5">
        <v>46024</v>
      </c>
      <c r="R575" t="s">
        <v>401</v>
      </c>
      <c r="S575">
        <f>DATEDIF(D575,DATE(2026,9,30),"Y")</f>
        <v>37</v>
      </c>
      <c r="T575" s="6">
        <f>(IF(Q575="",DATE(2026,9,30),Q575)-E575)/365.25</f>
        <v>3.7946611909650922</v>
      </c>
      <c r="U575" t="str">
        <f>_xlfn.XLOOKUP(Table1_1[[#This Row],[Bo''lim]],Bolimlar!A:A,Bolimlar!B:B,"Topilmadi")</f>
        <v>Sardor Nazarov</v>
      </c>
      <c r="V575">
        <f>IF(P575="Ha",1,0)</f>
        <v>1</v>
      </c>
      <c r="W575" t="str">
        <f>IF(T575&lt;1,"1 yildan kam",IF(T575&lt;3,"1-3 yil","3 yildan ko'p"))</f>
        <v>3 yildan ko'p</v>
      </c>
    </row>
    <row r="576" spans="1:23" x14ac:dyDescent="0.3">
      <c r="A576" t="s">
        <v>97</v>
      </c>
      <c r="B576" t="s">
        <v>98</v>
      </c>
      <c r="C576" t="s">
        <v>20</v>
      </c>
      <c r="D576" s="5">
        <v>33578</v>
      </c>
      <c r="E576" s="5">
        <v>42372</v>
      </c>
      <c r="F576" t="s">
        <v>21</v>
      </c>
      <c r="G576" t="s">
        <v>22</v>
      </c>
      <c r="H576" t="s">
        <v>33</v>
      </c>
      <c r="I576" t="s">
        <v>24</v>
      </c>
      <c r="J576">
        <v>4450000</v>
      </c>
      <c r="K576">
        <v>3</v>
      </c>
      <c r="L576">
        <v>4</v>
      </c>
      <c r="M576">
        <v>13</v>
      </c>
      <c r="N576" t="s">
        <v>41</v>
      </c>
      <c r="O576" t="s">
        <v>35</v>
      </c>
      <c r="P576" t="s">
        <v>36</v>
      </c>
      <c r="Q576" s="5"/>
      <c r="S576">
        <f>DATEDIF(D576,DATE(2026,9,30),"Y")</f>
        <v>34</v>
      </c>
      <c r="T576" s="6">
        <f>(IF(Q576="",DATE(2026,9,30),Q576)-E576)/365.25</f>
        <v>10.740588637919233</v>
      </c>
      <c r="U576" t="str">
        <f>_xlfn.XLOOKUP(Table1_1[[#This Row],[Bo''lim]],Bolimlar!A:A,Bolimlar!B:B,"Topilmadi")</f>
        <v>Jasur Yusupov</v>
      </c>
      <c r="V576">
        <f>IF(P576="Ha",1,0)</f>
        <v>0</v>
      </c>
      <c r="W576" t="str">
        <f>IF(T576&lt;1,"1 yildan kam",IF(T576&lt;3,"1-3 yil","3 yildan ko'p"))</f>
        <v>3 yildan ko'p</v>
      </c>
    </row>
    <row r="577" spans="1:23" x14ac:dyDescent="0.3">
      <c r="A577" t="s">
        <v>809</v>
      </c>
      <c r="B577" t="s">
        <v>810</v>
      </c>
      <c r="C577" t="s">
        <v>20</v>
      </c>
      <c r="D577" s="5">
        <v>34247</v>
      </c>
      <c r="E577" s="5">
        <v>42270</v>
      </c>
      <c r="F577" t="s">
        <v>484</v>
      </c>
      <c r="G577" t="s">
        <v>196</v>
      </c>
      <c r="H577" t="s">
        <v>33</v>
      </c>
      <c r="I577" t="s">
        <v>24</v>
      </c>
      <c r="J577">
        <v>4450000</v>
      </c>
      <c r="K577">
        <v>3</v>
      </c>
      <c r="L577">
        <v>3</v>
      </c>
      <c r="M577">
        <v>18</v>
      </c>
      <c r="N577" t="s">
        <v>41</v>
      </c>
      <c r="O577" t="s">
        <v>53</v>
      </c>
      <c r="P577" t="s">
        <v>36</v>
      </c>
      <c r="Q577" s="5"/>
      <c r="S577">
        <f>DATEDIF(D577,DATE(2026,9,30),"Y")</f>
        <v>32</v>
      </c>
      <c r="T577" s="6">
        <f>(IF(Q577="",DATE(2026,9,30),Q577)-E577)/365.25</f>
        <v>11.019849418206707</v>
      </c>
      <c r="U577" t="str">
        <f>_xlfn.XLOOKUP(Table1_1[[#This Row],[Bo''lim]],Bolimlar!A:A,Bolimlar!B:B,"Topilmadi")</f>
        <v>Sardor Nazarov</v>
      </c>
      <c r="V577">
        <f>IF(P577="Ha",1,0)</f>
        <v>0</v>
      </c>
      <c r="W577" t="str">
        <f>IF(T577&lt;1,"1 yildan kam",IF(T577&lt;3,"1-3 yil","3 yildan ko'p"))</f>
        <v>3 yildan ko'p</v>
      </c>
    </row>
    <row r="578" spans="1:23" x14ac:dyDescent="0.3">
      <c r="A578" t="s">
        <v>253</v>
      </c>
      <c r="B578" t="s">
        <v>254</v>
      </c>
      <c r="C578" t="s">
        <v>31</v>
      </c>
      <c r="D578" s="5">
        <v>37204</v>
      </c>
      <c r="E578" s="5">
        <v>44624</v>
      </c>
      <c r="F578" t="s">
        <v>1300</v>
      </c>
      <c r="G578" t="s">
        <v>93</v>
      </c>
      <c r="H578" t="s">
        <v>68</v>
      </c>
      <c r="I578" t="s">
        <v>34</v>
      </c>
      <c r="J578">
        <v>4440000</v>
      </c>
      <c r="K578">
        <v>4</v>
      </c>
      <c r="L578">
        <v>4</v>
      </c>
      <c r="M578">
        <v>8</v>
      </c>
      <c r="N578" t="s">
        <v>41</v>
      </c>
      <c r="O578" t="s">
        <v>53</v>
      </c>
      <c r="P578" t="s">
        <v>36</v>
      </c>
      <c r="Q578" s="5"/>
      <c r="S578">
        <f>DATEDIF(D578,DATE(2026,9,30),"Y")</f>
        <v>24</v>
      </c>
      <c r="T578" s="6">
        <f>(IF(Q578="",DATE(2026,9,30),Q578)-E578)/365.25</f>
        <v>4.5749486652977414</v>
      </c>
      <c r="U578" t="str">
        <f>_xlfn.XLOOKUP(Table1_1[[#This Row],[Bo''lim]],Bolimlar!A:A,Bolimlar!B:B,"Topilmadi")</f>
        <v>Shahlo Ismoilova</v>
      </c>
      <c r="V578">
        <f>IF(P578="Ha",1,0)</f>
        <v>0</v>
      </c>
      <c r="W578" t="str">
        <f>IF(T578&lt;1,"1 yildan kam",IF(T578&lt;3,"1-3 yil","3 yildan ko'p"))</f>
        <v>3 yildan ko'p</v>
      </c>
    </row>
    <row r="579" spans="1:23" x14ac:dyDescent="0.3">
      <c r="A579" t="s">
        <v>854</v>
      </c>
      <c r="B579" t="s">
        <v>855</v>
      </c>
      <c r="C579" t="s">
        <v>20</v>
      </c>
      <c r="D579" s="5">
        <v>31346</v>
      </c>
      <c r="E579" s="5">
        <v>44580</v>
      </c>
      <c r="F579" t="s">
        <v>39</v>
      </c>
      <c r="G579" t="s">
        <v>40</v>
      </c>
      <c r="H579" t="s">
        <v>33</v>
      </c>
      <c r="I579" t="s">
        <v>34</v>
      </c>
      <c r="J579">
        <v>4440000</v>
      </c>
      <c r="K579">
        <v>4</v>
      </c>
      <c r="L579">
        <v>2</v>
      </c>
      <c r="M579">
        <v>13</v>
      </c>
      <c r="N579" t="s">
        <v>88</v>
      </c>
      <c r="O579" t="s">
        <v>26</v>
      </c>
      <c r="P579" t="s">
        <v>36</v>
      </c>
      <c r="Q579" s="5"/>
      <c r="S579">
        <f>DATEDIF(D579,DATE(2026,9,30),"Y")</f>
        <v>40</v>
      </c>
      <c r="T579" s="6">
        <f>(IF(Q579="",DATE(2026,9,30),Q579)-E579)/365.25</f>
        <v>4.6954140999315541</v>
      </c>
      <c r="U579" t="str">
        <f>_xlfn.XLOOKUP(Table1_1[[#This Row],[Bo''lim]],Bolimlar!A:A,Bolimlar!B:B,"Topilmadi")</f>
        <v>Nodira Tursunova</v>
      </c>
      <c r="V579">
        <f>IF(P579="Ha",1,0)</f>
        <v>0</v>
      </c>
      <c r="W579" t="str">
        <f>IF(T579&lt;1,"1 yildan kam",IF(T579&lt;3,"1-3 yil","3 yildan ko'p"))</f>
        <v>3 yildan ko'p</v>
      </c>
    </row>
    <row r="580" spans="1:23" x14ac:dyDescent="0.3">
      <c r="A580" t="s">
        <v>846</v>
      </c>
      <c r="B580" t="s">
        <v>847</v>
      </c>
      <c r="C580" t="s">
        <v>20</v>
      </c>
      <c r="D580" s="5">
        <v>38864</v>
      </c>
      <c r="E580" s="5">
        <v>46185</v>
      </c>
      <c r="F580" t="s">
        <v>39</v>
      </c>
      <c r="G580" t="s">
        <v>40</v>
      </c>
      <c r="H580" t="s">
        <v>33</v>
      </c>
      <c r="I580" t="s">
        <v>96</v>
      </c>
      <c r="J580">
        <v>4430000</v>
      </c>
      <c r="K580">
        <v>2</v>
      </c>
      <c r="L580">
        <v>4</v>
      </c>
      <c r="M580">
        <v>2</v>
      </c>
      <c r="N580" t="s">
        <v>41</v>
      </c>
      <c r="O580" t="s">
        <v>26</v>
      </c>
      <c r="P580" t="s">
        <v>36</v>
      </c>
      <c r="Q580" s="5"/>
      <c r="S580">
        <f>DATEDIF(D580,DATE(2026,9,30),"Y")</f>
        <v>20</v>
      </c>
      <c r="T580" s="6">
        <f>(IF(Q580="",DATE(2026,9,30),Q580)-E580)/365.25</f>
        <v>0.30116358658453113</v>
      </c>
      <c r="U580" t="str">
        <f>_xlfn.XLOOKUP(Table1_1[[#This Row],[Bo''lim]],Bolimlar!A:A,Bolimlar!B:B,"Topilmadi")</f>
        <v>Nodira Tursunova</v>
      </c>
      <c r="V580">
        <f>IF(P580="Ha",1,0)</f>
        <v>0</v>
      </c>
      <c r="W580" t="str">
        <f>IF(T580&lt;1,"1 yildan kam",IF(T580&lt;3,"1-3 yil","3 yildan ko'p"))</f>
        <v>1 yildan kam</v>
      </c>
    </row>
    <row r="581" spans="1:23" x14ac:dyDescent="0.3">
      <c r="A581" t="s">
        <v>848</v>
      </c>
      <c r="B581" t="s">
        <v>849</v>
      </c>
      <c r="C581" t="s">
        <v>31</v>
      </c>
      <c r="D581" s="5">
        <v>35803</v>
      </c>
      <c r="E581" s="5">
        <v>43808</v>
      </c>
      <c r="F581" t="s">
        <v>1035</v>
      </c>
      <c r="G581" t="s">
        <v>73</v>
      </c>
      <c r="H581" t="s">
        <v>33</v>
      </c>
      <c r="I581" t="s">
        <v>82</v>
      </c>
      <c r="J581">
        <v>4420000</v>
      </c>
      <c r="K581">
        <v>3</v>
      </c>
      <c r="L581">
        <v>2</v>
      </c>
      <c r="M581">
        <v>18</v>
      </c>
      <c r="N581" t="s">
        <v>41</v>
      </c>
      <c r="O581" t="s">
        <v>35</v>
      </c>
      <c r="P581" t="s">
        <v>36</v>
      </c>
      <c r="Q581" s="5"/>
      <c r="S581">
        <f>DATEDIF(D581,DATE(2026,9,30),"Y")</f>
        <v>28</v>
      </c>
      <c r="T581" s="6">
        <f>(IF(Q581="",DATE(2026,9,30),Q581)-E581)/365.25</f>
        <v>6.8090349075975363</v>
      </c>
      <c r="U581" t="str">
        <f>_xlfn.XLOOKUP(Table1_1[[#This Row],[Bo''lim]],Bolimlar!A:A,Bolimlar!B:B,"Topilmadi")</f>
        <v>Aziz Karimov</v>
      </c>
      <c r="V581">
        <f>IF(P581="Ha",1,0)</f>
        <v>0</v>
      </c>
      <c r="W581" t="str">
        <f>IF(T581&lt;1,"1 yildan kam",IF(T581&lt;3,"1-3 yil","3 yildan ko'p"))</f>
        <v>3 yildan ko'p</v>
      </c>
    </row>
    <row r="582" spans="1:23" x14ac:dyDescent="0.3">
      <c r="A582" t="s">
        <v>1084</v>
      </c>
      <c r="B582" t="s">
        <v>824</v>
      </c>
      <c r="C582" t="s">
        <v>31</v>
      </c>
      <c r="D582" s="5">
        <v>35024</v>
      </c>
      <c r="E582" s="5">
        <v>46008</v>
      </c>
      <c r="F582" t="s">
        <v>1035</v>
      </c>
      <c r="G582" t="s">
        <v>73</v>
      </c>
      <c r="H582" t="s">
        <v>33</v>
      </c>
      <c r="I582" t="s">
        <v>24</v>
      </c>
      <c r="J582">
        <v>4410000</v>
      </c>
      <c r="K582">
        <v>5</v>
      </c>
      <c r="L582">
        <v>4</v>
      </c>
      <c r="M582">
        <v>31</v>
      </c>
      <c r="N582" t="s">
        <v>88</v>
      </c>
      <c r="O582" t="s">
        <v>35</v>
      </c>
      <c r="P582" t="s">
        <v>27</v>
      </c>
      <c r="Q582" s="5">
        <v>46272</v>
      </c>
      <c r="R582" t="s">
        <v>111</v>
      </c>
      <c r="S582">
        <f>DATEDIF(D582,DATE(2026,9,30),"Y")</f>
        <v>30</v>
      </c>
      <c r="T582" s="6">
        <f>(IF(Q582="",DATE(2026,9,30),Q582)-E582)/365.25</f>
        <v>0.7227926078028748</v>
      </c>
      <c r="U582" t="str">
        <f>_xlfn.XLOOKUP(Table1_1[[#This Row],[Bo''lim]],Bolimlar!A:A,Bolimlar!B:B,"Topilmadi")</f>
        <v>Aziz Karimov</v>
      </c>
      <c r="V582">
        <f>IF(P582="Ha",1,0)</f>
        <v>1</v>
      </c>
      <c r="W582" t="str">
        <f>IF(T582&lt;1,"1 yildan kam",IF(T582&lt;3,"1-3 yil","3 yildan ko'p"))</f>
        <v>1 yildan kam</v>
      </c>
    </row>
    <row r="583" spans="1:23" x14ac:dyDescent="0.3">
      <c r="A583" t="s">
        <v>340</v>
      </c>
      <c r="B583" t="s">
        <v>341</v>
      </c>
      <c r="C583" t="s">
        <v>31</v>
      </c>
      <c r="D583" s="5">
        <v>36596</v>
      </c>
      <c r="E583" s="5">
        <v>44708</v>
      </c>
      <c r="F583" t="s">
        <v>21</v>
      </c>
      <c r="G583" t="s">
        <v>32</v>
      </c>
      <c r="H583" t="s">
        <v>33</v>
      </c>
      <c r="I583" t="s">
        <v>34</v>
      </c>
      <c r="J583">
        <v>4400000</v>
      </c>
      <c r="K583">
        <v>1</v>
      </c>
      <c r="L583">
        <v>5</v>
      </c>
      <c r="M583">
        <v>35</v>
      </c>
      <c r="N583" t="s">
        <v>25</v>
      </c>
      <c r="O583" t="s">
        <v>35</v>
      </c>
      <c r="P583" t="s">
        <v>27</v>
      </c>
      <c r="Q583" s="5">
        <v>45997</v>
      </c>
      <c r="R583" t="s">
        <v>235</v>
      </c>
      <c r="S583">
        <f>DATEDIF(D583,DATE(2026,9,30),"Y")</f>
        <v>26</v>
      </c>
      <c r="T583" s="6">
        <f>(IF(Q583="",DATE(2026,9,30),Q583)-E583)/365.25</f>
        <v>3.5290896646132786</v>
      </c>
      <c r="U583" t="str">
        <f>_xlfn.XLOOKUP(Table1_1[[#This Row],[Bo''lim]],Bolimlar!A:A,Bolimlar!B:B,"Topilmadi")</f>
        <v>Jasur Yusupov</v>
      </c>
      <c r="V583">
        <f>IF(P583="Ha",1,0)</f>
        <v>1</v>
      </c>
      <c r="W583" t="str">
        <f>IF(T583&lt;1,"1 yildan kam",IF(T583&lt;3,"1-3 yil","3 yildan ko'p"))</f>
        <v>3 yildan ko'p</v>
      </c>
    </row>
    <row r="584" spans="1:23" x14ac:dyDescent="0.3">
      <c r="A584" t="s">
        <v>424</v>
      </c>
      <c r="B584" t="s">
        <v>425</v>
      </c>
      <c r="C584" t="s">
        <v>31</v>
      </c>
      <c r="D584" s="5">
        <v>38461</v>
      </c>
      <c r="E584" s="5">
        <v>45888</v>
      </c>
      <c r="F584" t="s">
        <v>1300</v>
      </c>
      <c r="G584" t="s">
        <v>93</v>
      </c>
      <c r="H584" t="s">
        <v>68</v>
      </c>
      <c r="I584" t="s">
        <v>24</v>
      </c>
      <c r="J584">
        <v>4400000</v>
      </c>
      <c r="K584">
        <v>3</v>
      </c>
      <c r="L584">
        <v>2</v>
      </c>
      <c r="M584">
        <v>19</v>
      </c>
      <c r="N584" t="s">
        <v>41</v>
      </c>
      <c r="O584" t="s">
        <v>26</v>
      </c>
      <c r="P584" t="s">
        <v>27</v>
      </c>
      <c r="Q584" s="5">
        <v>46178</v>
      </c>
      <c r="R584" t="s">
        <v>155</v>
      </c>
      <c r="S584">
        <f>DATEDIF(D584,DATE(2026,9,30),"Y")</f>
        <v>21</v>
      </c>
      <c r="T584" s="6">
        <f>(IF(Q584="",DATE(2026,9,30),Q584)-E584)/365.25</f>
        <v>0.79397672826830934</v>
      </c>
      <c r="U584" t="str">
        <f>_xlfn.XLOOKUP(Table1_1[[#This Row],[Bo''lim]],Bolimlar!A:A,Bolimlar!B:B,"Topilmadi")</f>
        <v>Shahlo Ismoilova</v>
      </c>
      <c r="V584">
        <f>IF(P584="Ha",1,0)</f>
        <v>1</v>
      </c>
      <c r="W584" t="str">
        <f>IF(T584&lt;1,"1 yildan kam",IF(T584&lt;3,"1-3 yil","3 yildan ko'p"))</f>
        <v>1 yildan kam</v>
      </c>
    </row>
    <row r="585" spans="1:23" x14ac:dyDescent="0.3">
      <c r="A585" t="s">
        <v>892</v>
      </c>
      <c r="B585" t="s">
        <v>645</v>
      </c>
      <c r="C585" t="s">
        <v>31</v>
      </c>
      <c r="D585" s="5">
        <v>34690</v>
      </c>
      <c r="E585" s="5">
        <v>45264</v>
      </c>
      <c r="F585" t="s">
        <v>1035</v>
      </c>
      <c r="G585" t="s">
        <v>65</v>
      </c>
      <c r="H585" t="s">
        <v>33</v>
      </c>
      <c r="I585" t="s">
        <v>104</v>
      </c>
      <c r="J585">
        <v>4390000</v>
      </c>
      <c r="K585">
        <v>1</v>
      </c>
      <c r="L585">
        <v>4</v>
      </c>
      <c r="M585">
        <v>37</v>
      </c>
      <c r="N585" t="s">
        <v>41</v>
      </c>
      <c r="O585" t="s">
        <v>53</v>
      </c>
      <c r="P585" t="s">
        <v>36</v>
      </c>
      <c r="Q585" s="5"/>
      <c r="S585">
        <f>DATEDIF(D585,DATE(2026,9,30),"Y")</f>
        <v>31</v>
      </c>
      <c r="T585" s="6">
        <f>(IF(Q585="",DATE(2026,9,30),Q585)-E585)/365.25</f>
        <v>2.8227241615331966</v>
      </c>
      <c r="U585" t="str">
        <f>_xlfn.XLOOKUP(Table1_1[[#This Row],[Bo''lim]],Bolimlar!A:A,Bolimlar!B:B,"Topilmadi")</f>
        <v>Aziz Karimov</v>
      </c>
      <c r="V585">
        <f>IF(P585="Ha",1,0)</f>
        <v>0</v>
      </c>
      <c r="W585" t="str">
        <f>IF(T585&lt;1,"1 yildan kam",IF(T585&lt;3,"1-3 yil","3 yildan ko'p"))</f>
        <v>1-3 yil</v>
      </c>
    </row>
    <row r="586" spans="1:23" x14ac:dyDescent="0.3">
      <c r="A586" t="s">
        <v>967</v>
      </c>
      <c r="B586" t="s">
        <v>647</v>
      </c>
      <c r="C586" t="s">
        <v>20</v>
      </c>
      <c r="D586" s="5">
        <v>33168</v>
      </c>
      <c r="E586" s="5">
        <v>45898</v>
      </c>
      <c r="F586" t="s">
        <v>245</v>
      </c>
      <c r="G586" t="s">
        <v>127</v>
      </c>
      <c r="H586" t="s">
        <v>33</v>
      </c>
      <c r="I586" t="s">
        <v>34</v>
      </c>
      <c r="J586">
        <v>4390000</v>
      </c>
      <c r="K586">
        <v>3</v>
      </c>
      <c r="L586">
        <v>5</v>
      </c>
      <c r="M586">
        <v>22</v>
      </c>
      <c r="N586" t="s">
        <v>88</v>
      </c>
      <c r="O586" t="s">
        <v>26</v>
      </c>
      <c r="P586" t="s">
        <v>36</v>
      </c>
      <c r="Q586" s="5"/>
      <c r="S586">
        <f>DATEDIF(D586,DATE(2026,9,30),"Y")</f>
        <v>35</v>
      </c>
      <c r="T586" s="6">
        <f>(IF(Q586="",DATE(2026,9,30),Q586)-E586)/365.25</f>
        <v>1.0869267624914443</v>
      </c>
      <c r="U586" t="str">
        <f>_xlfn.XLOOKUP(Table1_1[[#This Row],[Bo''lim]],Bolimlar!A:A,Bolimlar!B:B,"Topilmadi")</f>
        <v>Dilnoza Rahimova</v>
      </c>
      <c r="V586">
        <f>IF(P586="Ha",1,0)</f>
        <v>0</v>
      </c>
      <c r="W586" t="str">
        <f>IF(T586&lt;1,"1 yildan kam",IF(T586&lt;3,"1-3 yil","3 yildan ko'p"))</f>
        <v>1-3 yil</v>
      </c>
    </row>
    <row r="587" spans="1:23" x14ac:dyDescent="0.3">
      <c r="A587" t="s">
        <v>1075</v>
      </c>
      <c r="B587" t="s">
        <v>1076</v>
      </c>
      <c r="C587" t="s">
        <v>20</v>
      </c>
      <c r="D587" s="5">
        <v>33222</v>
      </c>
      <c r="E587" s="5">
        <v>44688</v>
      </c>
      <c r="F587" t="s">
        <v>39</v>
      </c>
      <c r="G587" t="s">
        <v>170</v>
      </c>
      <c r="H587" t="s">
        <v>33</v>
      </c>
      <c r="I587" t="s">
        <v>24</v>
      </c>
      <c r="J587">
        <v>4390000</v>
      </c>
      <c r="K587">
        <v>3</v>
      </c>
      <c r="L587">
        <v>3</v>
      </c>
      <c r="M587">
        <v>8</v>
      </c>
      <c r="N587" t="s">
        <v>25</v>
      </c>
      <c r="O587" t="s">
        <v>35</v>
      </c>
      <c r="P587" t="s">
        <v>36</v>
      </c>
      <c r="Q587" s="5"/>
      <c r="S587">
        <f>DATEDIF(D587,DATE(2026,9,30),"Y")</f>
        <v>35</v>
      </c>
      <c r="T587" s="6">
        <f>(IF(Q587="",DATE(2026,9,30),Q587)-E587)/365.25</f>
        <v>4.3997262149212863</v>
      </c>
      <c r="U587" t="str">
        <f>_xlfn.XLOOKUP(Table1_1[[#This Row],[Bo''lim]],Bolimlar!A:A,Bolimlar!B:B,"Topilmadi")</f>
        <v>Nodira Tursunova</v>
      </c>
      <c r="V587">
        <f>IF(P587="Ha",1,0)</f>
        <v>0</v>
      </c>
      <c r="W587" t="str">
        <f>IF(T587&lt;1,"1 yildan kam",IF(T587&lt;3,"1-3 yil","3 yildan ko'p"))</f>
        <v>3 yildan ko'p</v>
      </c>
    </row>
    <row r="588" spans="1:23" x14ac:dyDescent="0.3">
      <c r="A588" t="s">
        <v>732</v>
      </c>
      <c r="B588" t="s">
        <v>294</v>
      </c>
      <c r="C588" t="s">
        <v>31</v>
      </c>
      <c r="D588" s="5">
        <v>33136</v>
      </c>
      <c r="E588" s="5">
        <v>46036</v>
      </c>
      <c r="F588" t="s">
        <v>1035</v>
      </c>
      <c r="G588" t="s">
        <v>79</v>
      </c>
      <c r="H588" t="s">
        <v>33</v>
      </c>
      <c r="I588" t="s">
        <v>96</v>
      </c>
      <c r="J588">
        <v>4370000</v>
      </c>
      <c r="K588">
        <v>3</v>
      </c>
      <c r="L588">
        <v>4</v>
      </c>
      <c r="M588">
        <v>35</v>
      </c>
      <c r="N588" t="s">
        <v>41</v>
      </c>
      <c r="O588" t="s">
        <v>35</v>
      </c>
      <c r="P588" t="s">
        <v>36</v>
      </c>
      <c r="Q588" s="5"/>
      <c r="S588">
        <f>DATEDIF(D588,DATE(2026,9,30),"Y")</f>
        <v>36</v>
      </c>
      <c r="T588" s="6">
        <f>(IF(Q588="",DATE(2026,9,30),Q588)-E588)/365.25</f>
        <v>0.70910335386721424</v>
      </c>
      <c r="U588" t="str">
        <f>_xlfn.XLOOKUP(Table1_1[[#This Row],[Bo''lim]],Bolimlar!A:A,Bolimlar!B:B,"Topilmadi")</f>
        <v>Aziz Karimov</v>
      </c>
      <c r="V588">
        <f>IF(P588="Ha",1,0)</f>
        <v>0</v>
      </c>
      <c r="W588" t="str">
        <f>IF(T588&lt;1,"1 yildan kam",IF(T588&lt;3,"1-3 yil","3 yildan ko'p"))</f>
        <v>1 yildan kam</v>
      </c>
    </row>
    <row r="589" spans="1:23" x14ac:dyDescent="0.3">
      <c r="A589" t="s">
        <v>599</v>
      </c>
      <c r="B589" t="s">
        <v>600</v>
      </c>
      <c r="C589" t="s">
        <v>20</v>
      </c>
      <c r="D589" s="5">
        <v>35443</v>
      </c>
      <c r="E589" s="5">
        <v>43544</v>
      </c>
      <c r="F589" t="s">
        <v>21</v>
      </c>
      <c r="G589" t="s">
        <v>103</v>
      </c>
      <c r="H589" t="s">
        <v>33</v>
      </c>
      <c r="I589" t="s">
        <v>104</v>
      </c>
      <c r="J589">
        <v>4360000</v>
      </c>
      <c r="K589">
        <v>3</v>
      </c>
      <c r="L589">
        <v>3</v>
      </c>
      <c r="M589">
        <v>4</v>
      </c>
      <c r="N589" t="s">
        <v>25</v>
      </c>
      <c r="O589" t="s">
        <v>26</v>
      </c>
      <c r="P589" t="s">
        <v>36</v>
      </c>
      <c r="Q589" s="5"/>
      <c r="S589">
        <f>DATEDIF(D589,DATE(2026,9,30),"Y")</f>
        <v>29</v>
      </c>
      <c r="T589" s="6">
        <f>(IF(Q589="",DATE(2026,9,30),Q589)-E589)/365.25</f>
        <v>7.5318275154004111</v>
      </c>
      <c r="U589" t="str">
        <f>_xlfn.XLOOKUP(Table1_1[[#This Row],[Bo''lim]],Bolimlar!A:A,Bolimlar!B:B,"Topilmadi")</f>
        <v>Jasur Yusupov</v>
      </c>
      <c r="V589">
        <f>IF(P589="Ha",1,0)</f>
        <v>0</v>
      </c>
      <c r="W589" t="str">
        <f>IF(T589&lt;1,"1 yildan kam",IF(T589&lt;3,"1-3 yil","3 yildan ko'p"))</f>
        <v>3 yildan ko'p</v>
      </c>
    </row>
    <row r="590" spans="1:23" x14ac:dyDescent="0.3">
      <c r="A590" t="s">
        <v>611</v>
      </c>
      <c r="B590" t="s">
        <v>161</v>
      </c>
      <c r="C590" t="s">
        <v>20</v>
      </c>
      <c r="D590" s="5">
        <v>34414</v>
      </c>
      <c r="E590" s="5">
        <v>42797</v>
      </c>
      <c r="F590" t="s">
        <v>1035</v>
      </c>
      <c r="G590" t="s">
        <v>73</v>
      </c>
      <c r="H590" t="s">
        <v>33</v>
      </c>
      <c r="I590" t="s">
        <v>24</v>
      </c>
      <c r="J590">
        <v>4350000</v>
      </c>
      <c r="K590">
        <v>3</v>
      </c>
      <c r="L590">
        <v>1</v>
      </c>
      <c r="M590">
        <v>19</v>
      </c>
      <c r="N590" t="s">
        <v>88</v>
      </c>
      <c r="O590" t="s">
        <v>26</v>
      </c>
      <c r="P590" t="s">
        <v>36</v>
      </c>
      <c r="Q590" s="5"/>
      <c r="S590">
        <f>DATEDIF(D590,DATE(2026,9,30),"Y")</f>
        <v>32</v>
      </c>
      <c r="T590" s="6">
        <f>(IF(Q590="",DATE(2026,9,30),Q590)-E590)/365.25</f>
        <v>9.5770020533880906</v>
      </c>
      <c r="U590" t="str">
        <f>_xlfn.XLOOKUP(Table1_1[[#This Row],[Bo''lim]],Bolimlar!A:A,Bolimlar!B:B,"Topilmadi")</f>
        <v>Aziz Karimov</v>
      </c>
      <c r="V590">
        <f>IF(P590="Ha",1,0)</f>
        <v>0</v>
      </c>
      <c r="W590" t="str">
        <f>IF(T590&lt;1,"1 yildan kam",IF(T590&lt;3,"1-3 yil","3 yildan ko'p"))</f>
        <v>3 yildan ko'p</v>
      </c>
    </row>
    <row r="591" spans="1:23" x14ac:dyDescent="0.3">
      <c r="A591" t="s">
        <v>1170</v>
      </c>
      <c r="B591" t="s">
        <v>1171</v>
      </c>
      <c r="C591" t="s">
        <v>31</v>
      </c>
      <c r="D591" s="5">
        <v>37489</v>
      </c>
      <c r="E591" s="5">
        <v>46142</v>
      </c>
      <c r="F591" t="s">
        <v>1035</v>
      </c>
      <c r="G591" t="s">
        <v>65</v>
      </c>
      <c r="H591" t="s">
        <v>33</v>
      </c>
      <c r="I591" t="s">
        <v>104</v>
      </c>
      <c r="J591">
        <v>4350000</v>
      </c>
      <c r="K591">
        <v>1</v>
      </c>
      <c r="L591">
        <v>2</v>
      </c>
      <c r="M591">
        <v>25</v>
      </c>
      <c r="N591" t="s">
        <v>25</v>
      </c>
      <c r="O591" t="s">
        <v>35</v>
      </c>
      <c r="P591" t="s">
        <v>27</v>
      </c>
      <c r="Q591" s="5">
        <v>46276</v>
      </c>
      <c r="R591" t="s">
        <v>61</v>
      </c>
      <c r="S591">
        <f>DATEDIF(D591,DATE(2026,9,30),"Y")</f>
        <v>24</v>
      </c>
      <c r="T591" s="6">
        <f>(IF(Q591="",DATE(2026,9,30),Q591)-E591)/365.25</f>
        <v>0.36687200547570159</v>
      </c>
      <c r="U591" t="str">
        <f>_xlfn.XLOOKUP(Table1_1[[#This Row],[Bo''lim]],Bolimlar!A:A,Bolimlar!B:B,"Topilmadi")</f>
        <v>Aziz Karimov</v>
      </c>
      <c r="V591">
        <f>IF(P591="Ha",1,0)</f>
        <v>1</v>
      </c>
      <c r="W591" t="str">
        <f>IF(T591&lt;1,"1 yildan kam",IF(T591&lt;3,"1-3 yil","3 yildan ko'p"))</f>
        <v>1 yildan kam</v>
      </c>
    </row>
    <row r="592" spans="1:23" x14ac:dyDescent="0.3">
      <c r="A592" t="s">
        <v>844</v>
      </c>
      <c r="B592" t="s">
        <v>808</v>
      </c>
      <c r="C592" t="s">
        <v>20</v>
      </c>
      <c r="D592" s="5">
        <v>32663</v>
      </c>
      <c r="E592" s="5">
        <v>42812</v>
      </c>
      <c r="F592" t="s">
        <v>484</v>
      </c>
      <c r="G592" t="s">
        <v>115</v>
      </c>
      <c r="H592" t="s">
        <v>33</v>
      </c>
      <c r="I592" t="s">
        <v>24</v>
      </c>
      <c r="J592">
        <v>4330000</v>
      </c>
      <c r="K592">
        <v>3</v>
      </c>
      <c r="L592">
        <v>5</v>
      </c>
      <c r="M592">
        <v>6</v>
      </c>
      <c r="N592" t="s">
        <v>41</v>
      </c>
      <c r="O592" t="s">
        <v>53</v>
      </c>
      <c r="P592" t="s">
        <v>36</v>
      </c>
      <c r="Q592" s="5"/>
      <c r="S592">
        <f>DATEDIF(D592,DATE(2026,9,30),"Y")</f>
        <v>37</v>
      </c>
      <c r="T592" s="6">
        <f>(IF(Q592="",DATE(2026,9,30),Q592)-E592)/365.25</f>
        <v>9.5359342915811087</v>
      </c>
      <c r="U592" t="str">
        <f>_xlfn.XLOOKUP(Table1_1[[#This Row],[Bo''lim]],Bolimlar!A:A,Bolimlar!B:B,"Topilmadi")</f>
        <v>Sardor Nazarov</v>
      </c>
      <c r="V592">
        <f>IF(P592="Ha",1,0)</f>
        <v>0</v>
      </c>
      <c r="W592" t="str">
        <f>IF(T592&lt;1,"1 yildan kam",IF(T592&lt;3,"1-3 yil","3 yildan ko'p"))</f>
        <v>3 yildan ko'p</v>
      </c>
    </row>
    <row r="593" spans="1:23" x14ac:dyDescent="0.3">
      <c r="A593" t="s">
        <v>1161</v>
      </c>
      <c r="B593" t="s">
        <v>95</v>
      </c>
      <c r="C593" t="s">
        <v>20</v>
      </c>
      <c r="D593" s="5">
        <v>34207</v>
      </c>
      <c r="E593" s="5">
        <v>45093</v>
      </c>
      <c r="F593" t="s">
        <v>1035</v>
      </c>
      <c r="G593" t="s">
        <v>65</v>
      </c>
      <c r="H593" t="s">
        <v>33</v>
      </c>
      <c r="I593" t="s">
        <v>24</v>
      </c>
      <c r="J593">
        <v>4320000</v>
      </c>
      <c r="K593">
        <v>3</v>
      </c>
      <c r="L593">
        <v>3</v>
      </c>
      <c r="M593">
        <v>19</v>
      </c>
      <c r="N593" t="s">
        <v>88</v>
      </c>
      <c r="P593" t="s">
        <v>36</v>
      </c>
      <c r="Q593" s="5"/>
      <c r="S593">
        <f>DATEDIF(D593,DATE(2026,9,30),"Y")</f>
        <v>33</v>
      </c>
      <c r="T593" s="6">
        <f>(IF(Q593="",DATE(2026,9,30),Q593)-E593)/365.25</f>
        <v>3.2908966461327855</v>
      </c>
      <c r="U593" t="str">
        <f>_xlfn.XLOOKUP(Table1_1[[#This Row],[Bo''lim]],Bolimlar!A:A,Bolimlar!B:B,"Topilmadi")</f>
        <v>Aziz Karimov</v>
      </c>
      <c r="V593">
        <f>IF(P593="Ha",1,0)</f>
        <v>0</v>
      </c>
      <c r="W593" t="str">
        <f>IF(T593&lt;1,"1 yildan kam",IF(T593&lt;3,"1-3 yil","3 yildan ko'p"))</f>
        <v>3 yildan ko'p</v>
      </c>
    </row>
    <row r="594" spans="1:23" x14ac:dyDescent="0.3">
      <c r="A594" t="s">
        <v>112</v>
      </c>
      <c r="B594" t="s">
        <v>113</v>
      </c>
      <c r="C594" t="s">
        <v>20</v>
      </c>
      <c r="D594" s="5">
        <v>34843</v>
      </c>
      <c r="E594" s="5">
        <v>45843</v>
      </c>
      <c r="F594" t="s">
        <v>484</v>
      </c>
      <c r="G594" t="s">
        <v>115</v>
      </c>
      <c r="H594" t="s">
        <v>33</v>
      </c>
      <c r="I594" t="s">
        <v>34</v>
      </c>
      <c r="J594">
        <v>4310000</v>
      </c>
      <c r="K594">
        <v>4</v>
      </c>
      <c r="L594">
        <v>4</v>
      </c>
      <c r="M594">
        <v>8</v>
      </c>
      <c r="N594" t="s">
        <v>41</v>
      </c>
      <c r="O594" t="s">
        <v>26</v>
      </c>
      <c r="P594" t="s">
        <v>36</v>
      </c>
      <c r="Q594" s="5"/>
      <c r="S594">
        <f>DATEDIF(D594,DATE(2026,9,30),"Y")</f>
        <v>31</v>
      </c>
      <c r="T594" s="6">
        <f>(IF(Q594="",DATE(2026,9,30),Q594)-E594)/365.25</f>
        <v>1.2375085557837098</v>
      </c>
      <c r="U594" t="str">
        <f>_xlfn.XLOOKUP(Table1_1[[#This Row],[Bo''lim]],Bolimlar!A:A,Bolimlar!B:B,"Topilmadi")</f>
        <v>Sardor Nazarov</v>
      </c>
      <c r="V594">
        <f>IF(P594="Ha",1,0)</f>
        <v>0</v>
      </c>
      <c r="W594" t="str">
        <f>IF(T594&lt;1,"1 yildan kam",IF(T594&lt;3,"1-3 yil","3 yildan ko'p"))</f>
        <v>1-3 yil</v>
      </c>
    </row>
    <row r="595" spans="1:23" x14ac:dyDescent="0.3">
      <c r="A595" t="s">
        <v>761</v>
      </c>
      <c r="B595" t="s">
        <v>762</v>
      </c>
      <c r="C595" t="s">
        <v>31</v>
      </c>
      <c r="D595" s="5">
        <v>32154</v>
      </c>
      <c r="E595" s="5">
        <v>45468</v>
      </c>
      <c r="F595" t="s">
        <v>1035</v>
      </c>
      <c r="G595" t="s">
        <v>73</v>
      </c>
      <c r="H595" t="s">
        <v>33</v>
      </c>
      <c r="I595" t="s">
        <v>24</v>
      </c>
      <c r="J595">
        <v>4310000</v>
      </c>
      <c r="K595">
        <v>2</v>
      </c>
      <c r="L595">
        <v>5</v>
      </c>
      <c r="M595">
        <v>14</v>
      </c>
      <c r="N595" t="s">
        <v>41</v>
      </c>
      <c r="O595" t="s">
        <v>53</v>
      </c>
      <c r="P595" t="s">
        <v>36</v>
      </c>
      <c r="Q595" s="5"/>
      <c r="S595">
        <f>DATEDIF(D595,DATE(2026,9,30),"Y")</f>
        <v>38</v>
      </c>
      <c r="T595" s="6">
        <f>(IF(Q595="",DATE(2026,9,30),Q595)-E595)/365.25</f>
        <v>2.2642026009582477</v>
      </c>
      <c r="U595" t="str">
        <f>_xlfn.XLOOKUP(Table1_1[[#This Row],[Bo''lim]],Bolimlar!A:A,Bolimlar!B:B,"Topilmadi")</f>
        <v>Aziz Karimov</v>
      </c>
      <c r="V595">
        <f>IF(P595="Ha",1,0)</f>
        <v>0</v>
      </c>
      <c r="W595" t="str">
        <f>IF(T595&lt;1,"1 yildan kam",IF(T595&lt;3,"1-3 yil","3 yildan ko'p"))</f>
        <v>1-3 yil</v>
      </c>
    </row>
    <row r="596" spans="1:23" x14ac:dyDescent="0.3">
      <c r="A596" t="s">
        <v>980</v>
      </c>
      <c r="B596" t="s">
        <v>695</v>
      </c>
      <c r="C596" t="s">
        <v>31</v>
      </c>
      <c r="D596" s="5">
        <v>38164</v>
      </c>
      <c r="E596" s="5">
        <v>46262</v>
      </c>
      <c r="F596" t="s">
        <v>1035</v>
      </c>
      <c r="G596" t="s">
        <v>73</v>
      </c>
      <c r="H596" t="s">
        <v>33</v>
      </c>
      <c r="I596" t="s">
        <v>96</v>
      </c>
      <c r="J596">
        <v>4310000</v>
      </c>
      <c r="K596">
        <v>3</v>
      </c>
      <c r="L596">
        <v>3</v>
      </c>
      <c r="M596">
        <v>9</v>
      </c>
      <c r="N596" t="s">
        <v>25</v>
      </c>
      <c r="O596" t="s">
        <v>35</v>
      </c>
      <c r="P596" t="s">
        <v>36</v>
      </c>
      <c r="Q596" s="5"/>
      <c r="S596">
        <f>DATEDIF(D596,DATE(2026,9,30),"Y")</f>
        <v>22</v>
      </c>
      <c r="T596" s="6">
        <f>(IF(Q596="",DATE(2026,9,30),Q596)-E596)/365.25</f>
        <v>9.034907597535935E-2</v>
      </c>
      <c r="U596" t="str">
        <f>_xlfn.XLOOKUP(Table1_1[[#This Row],[Bo''lim]],Bolimlar!A:A,Bolimlar!B:B,"Topilmadi")</f>
        <v>Aziz Karimov</v>
      </c>
      <c r="V596">
        <f>IF(P596="Ha",1,0)</f>
        <v>0</v>
      </c>
      <c r="W596" t="str">
        <f>IF(T596&lt;1,"1 yildan kam",IF(T596&lt;3,"1-3 yil","3 yildan ko'p"))</f>
        <v>1 yildan kam</v>
      </c>
    </row>
    <row r="597" spans="1:23" x14ac:dyDescent="0.3">
      <c r="A597" t="s">
        <v>805</v>
      </c>
      <c r="B597" t="s">
        <v>806</v>
      </c>
      <c r="C597" t="s">
        <v>31</v>
      </c>
      <c r="D597" s="5">
        <v>33294</v>
      </c>
      <c r="E597" s="5">
        <v>45493</v>
      </c>
      <c r="F597" t="s">
        <v>21</v>
      </c>
      <c r="G597" t="s">
        <v>32</v>
      </c>
      <c r="H597" t="s">
        <v>33</v>
      </c>
      <c r="I597" t="s">
        <v>24</v>
      </c>
      <c r="J597">
        <v>4300000</v>
      </c>
      <c r="K597">
        <v>3</v>
      </c>
      <c r="L597">
        <v>3</v>
      </c>
      <c r="M597">
        <v>13</v>
      </c>
      <c r="N597" t="s">
        <v>41</v>
      </c>
      <c r="O597" t="s">
        <v>26</v>
      </c>
      <c r="P597" t="s">
        <v>36</v>
      </c>
      <c r="Q597" s="5"/>
      <c r="S597">
        <f>DATEDIF(D597,DATE(2026,9,30),"Y")</f>
        <v>35</v>
      </c>
      <c r="T597" s="6">
        <f>(IF(Q597="",DATE(2026,9,30),Q597)-E597)/365.25</f>
        <v>2.1957563312799451</v>
      </c>
      <c r="U597" t="str">
        <f>_xlfn.XLOOKUP(Table1_1[[#This Row],[Bo''lim]],Bolimlar!A:A,Bolimlar!B:B,"Topilmadi")</f>
        <v>Jasur Yusupov</v>
      </c>
      <c r="V597">
        <f>IF(P597="Ha",1,0)</f>
        <v>0</v>
      </c>
      <c r="W597" t="str">
        <f>IF(T597&lt;1,"1 yildan kam",IF(T597&lt;3,"1-3 yil","3 yildan ko'p"))</f>
        <v>1-3 yil</v>
      </c>
    </row>
    <row r="598" spans="1:23" x14ac:dyDescent="0.3">
      <c r="A598" t="s">
        <v>840</v>
      </c>
      <c r="B598" t="s">
        <v>841</v>
      </c>
      <c r="C598" t="s">
        <v>20</v>
      </c>
      <c r="D598" s="5">
        <v>36797</v>
      </c>
      <c r="E598" s="5">
        <v>44741</v>
      </c>
      <c r="F598" t="s">
        <v>245</v>
      </c>
      <c r="G598" t="s">
        <v>48</v>
      </c>
      <c r="H598" t="s">
        <v>33</v>
      </c>
      <c r="I598" t="s">
        <v>24</v>
      </c>
      <c r="J598">
        <v>4300000</v>
      </c>
      <c r="K598">
        <v>3</v>
      </c>
      <c r="L598">
        <v>4</v>
      </c>
      <c r="M598">
        <v>16</v>
      </c>
      <c r="N598" t="s">
        <v>41</v>
      </c>
      <c r="O598" t="s">
        <v>53</v>
      </c>
      <c r="P598" t="s">
        <v>36</v>
      </c>
      <c r="Q598" s="5"/>
      <c r="S598">
        <f>DATEDIF(D598,DATE(2026,9,30),"Y")</f>
        <v>26</v>
      </c>
      <c r="T598" s="6">
        <f>(IF(Q598="",DATE(2026,9,30),Q598)-E598)/365.25</f>
        <v>4.2546201232032859</v>
      </c>
      <c r="U598" t="str">
        <f>_xlfn.XLOOKUP(Table1_1[[#This Row],[Bo''lim]],Bolimlar!A:A,Bolimlar!B:B,"Topilmadi")</f>
        <v>Dilnoza Rahimova</v>
      </c>
      <c r="V598">
        <f>IF(P598="Ha",1,0)</f>
        <v>0</v>
      </c>
      <c r="W598" t="str">
        <f>IF(T598&lt;1,"1 yildan kam",IF(T598&lt;3,"1-3 yil","3 yildan ko'p"))</f>
        <v>3 yildan ko'p</v>
      </c>
    </row>
    <row r="599" spans="1:23" x14ac:dyDescent="0.3">
      <c r="A599" t="s">
        <v>350</v>
      </c>
      <c r="B599" t="s">
        <v>192</v>
      </c>
      <c r="C599" t="s">
        <v>20</v>
      </c>
      <c r="D599" s="5">
        <v>35232</v>
      </c>
      <c r="E599" s="5">
        <v>44497</v>
      </c>
      <c r="F599" t="s">
        <v>484</v>
      </c>
      <c r="G599" t="s">
        <v>115</v>
      </c>
      <c r="H599" t="s">
        <v>33</v>
      </c>
      <c r="I599" t="s">
        <v>24</v>
      </c>
      <c r="J599">
        <v>4290000</v>
      </c>
      <c r="K599">
        <v>1</v>
      </c>
      <c r="L599">
        <v>2</v>
      </c>
      <c r="M599">
        <v>34</v>
      </c>
      <c r="N599" t="s">
        <v>25</v>
      </c>
      <c r="O599" t="s">
        <v>26</v>
      </c>
      <c r="P599" t="s">
        <v>36</v>
      </c>
      <c r="Q599" s="5"/>
      <c r="S599">
        <f>DATEDIF(D599,DATE(2026,9,30),"Y")</f>
        <v>30</v>
      </c>
      <c r="T599" s="6">
        <f>(IF(Q599="",DATE(2026,9,30),Q599)-E599)/365.25</f>
        <v>4.9226557152635184</v>
      </c>
      <c r="U599" t="str">
        <f>_xlfn.XLOOKUP(Table1_1[[#This Row],[Bo''lim]],Bolimlar!A:A,Bolimlar!B:B,"Topilmadi")</f>
        <v>Sardor Nazarov</v>
      </c>
      <c r="V599">
        <f>IF(P599="Ha",1,0)</f>
        <v>0</v>
      </c>
      <c r="W599" t="str">
        <f>IF(T599&lt;1,"1 yildan kam",IF(T599&lt;3,"1-3 yil","3 yildan ko'p"))</f>
        <v>3 yildan ko'p</v>
      </c>
    </row>
    <row r="600" spans="1:23" x14ac:dyDescent="0.3">
      <c r="A600" t="s">
        <v>772</v>
      </c>
      <c r="B600" t="s">
        <v>773</v>
      </c>
      <c r="C600" t="s">
        <v>31</v>
      </c>
      <c r="D600" s="5">
        <v>33038</v>
      </c>
      <c r="E600" s="5">
        <v>45202</v>
      </c>
      <c r="F600" t="s">
        <v>245</v>
      </c>
      <c r="G600" t="s">
        <v>90</v>
      </c>
      <c r="H600" t="s">
        <v>33</v>
      </c>
      <c r="I600" t="s">
        <v>24</v>
      </c>
      <c r="J600">
        <v>4290000</v>
      </c>
      <c r="L600">
        <v>4</v>
      </c>
      <c r="M600">
        <v>10</v>
      </c>
      <c r="N600" t="s">
        <v>41</v>
      </c>
      <c r="O600" t="s">
        <v>53</v>
      </c>
      <c r="P600" t="s">
        <v>36</v>
      </c>
      <c r="Q600" s="5"/>
      <c r="S600">
        <f>DATEDIF(D600,DATE(2026,9,30),"Y")</f>
        <v>36</v>
      </c>
      <c r="T600" s="6">
        <f>(IF(Q600="",DATE(2026,9,30),Q600)-E600)/365.25</f>
        <v>2.9924709103353866</v>
      </c>
      <c r="U600" t="str">
        <f>_xlfn.XLOOKUP(Table1_1[[#This Row],[Bo''lim]],Bolimlar!A:A,Bolimlar!B:B,"Topilmadi")</f>
        <v>Dilnoza Rahimova</v>
      </c>
      <c r="V600">
        <f>IF(P600="Ha",1,0)</f>
        <v>0</v>
      </c>
      <c r="W600" t="str">
        <f>IF(T600&lt;1,"1 yildan kam",IF(T600&lt;3,"1-3 yil","3 yildan ko'p"))</f>
        <v>1-3 yil</v>
      </c>
    </row>
    <row r="601" spans="1:23" x14ac:dyDescent="0.3">
      <c r="A601" t="s">
        <v>372</v>
      </c>
      <c r="B601" t="s">
        <v>373</v>
      </c>
      <c r="C601" t="s">
        <v>31</v>
      </c>
      <c r="D601" s="5">
        <v>33522</v>
      </c>
      <c r="E601" s="5">
        <v>44938</v>
      </c>
      <c r="F601" t="s">
        <v>484</v>
      </c>
      <c r="G601" t="s">
        <v>115</v>
      </c>
      <c r="H601" t="s">
        <v>33</v>
      </c>
      <c r="I601" t="s">
        <v>24</v>
      </c>
      <c r="J601">
        <v>4280000</v>
      </c>
      <c r="K601">
        <v>4</v>
      </c>
      <c r="L601">
        <v>5</v>
      </c>
      <c r="M601">
        <v>16</v>
      </c>
      <c r="N601" t="s">
        <v>41</v>
      </c>
      <c r="P601" t="s">
        <v>36</v>
      </c>
      <c r="Q601" s="5"/>
      <c r="S601">
        <f>DATEDIF(D601,DATE(2026,9,30),"Y")</f>
        <v>34</v>
      </c>
      <c r="T601" s="6">
        <f>(IF(Q601="",DATE(2026,9,30),Q601)-E601)/365.25</f>
        <v>3.7152635181382614</v>
      </c>
      <c r="U601" t="str">
        <f>_xlfn.XLOOKUP(Table1_1[[#This Row],[Bo''lim]],Bolimlar!A:A,Bolimlar!B:B,"Topilmadi")</f>
        <v>Sardor Nazarov</v>
      </c>
      <c r="V601">
        <f>IF(P601="Ha",1,0)</f>
        <v>0</v>
      </c>
      <c r="W601" t="str">
        <f>IF(T601&lt;1,"1 yildan kam",IF(T601&lt;3,"1-3 yil","3 yildan ko'p"))</f>
        <v>3 yildan ko'p</v>
      </c>
    </row>
    <row r="602" spans="1:23" x14ac:dyDescent="0.3">
      <c r="A602" t="s">
        <v>566</v>
      </c>
      <c r="B602" t="s">
        <v>503</v>
      </c>
      <c r="C602" t="s">
        <v>31</v>
      </c>
      <c r="D602" s="5">
        <v>31869</v>
      </c>
      <c r="E602" s="5">
        <v>43030</v>
      </c>
      <c r="F602" t="s">
        <v>484</v>
      </c>
      <c r="G602" t="s">
        <v>196</v>
      </c>
      <c r="H602" t="s">
        <v>33</v>
      </c>
      <c r="I602" t="s">
        <v>24</v>
      </c>
      <c r="J602">
        <v>4270000</v>
      </c>
      <c r="K602">
        <v>4</v>
      </c>
      <c r="L602">
        <v>4</v>
      </c>
      <c r="M602">
        <v>11</v>
      </c>
      <c r="N602" t="s">
        <v>41</v>
      </c>
      <c r="O602" t="s">
        <v>26</v>
      </c>
      <c r="P602" t="s">
        <v>27</v>
      </c>
      <c r="Q602" s="5">
        <v>45785</v>
      </c>
      <c r="R602" t="s">
        <v>28</v>
      </c>
      <c r="S602">
        <f>DATEDIF(D602,DATE(2026,9,30),"Y")</f>
        <v>39</v>
      </c>
      <c r="T602" s="6">
        <f>(IF(Q602="",DATE(2026,9,30),Q602)-E602)/365.25</f>
        <v>7.5427789185489393</v>
      </c>
      <c r="U602" t="str">
        <f>_xlfn.XLOOKUP(Table1_1[[#This Row],[Bo''lim]],Bolimlar!A:A,Bolimlar!B:B,"Topilmadi")</f>
        <v>Sardor Nazarov</v>
      </c>
      <c r="V602">
        <f>IF(P602="Ha",1,0)</f>
        <v>1</v>
      </c>
      <c r="W602" t="str">
        <f>IF(T602&lt;1,"1 yildan kam",IF(T602&lt;3,"1-3 yil","3 yildan ko'p"))</f>
        <v>3 yildan ko'p</v>
      </c>
    </row>
    <row r="603" spans="1:23" x14ac:dyDescent="0.3">
      <c r="A603" t="s">
        <v>1235</v>
      </c>
      <c r="B603" t="s">
        <v>978</v>
      </c>
      <c r="C603" t="s">
        <v>31</v>
      </c>
      <c r="D603" s="5">
        <v>33166</v>
      </c>
      <c r="E603" s="5">
        <v>46259</v>
      </c>
      <c r="F603" t="s">
        <v>484</v>
      </c>
      <c r="G603" t="s">
        <v>115</v>
      </c>
      <c r="H603" t="s">
        <v>33</v>
      </c>
      <c r="I603" t="s">
        <v>206</v>
      </c>
      <c r="J603">
        <v>4270000</v>
      </c>
      <c r="K603">
        <v>1</v>
      </c>
      <c r="L603">
        <v>2</v>
      </c>
      <c r="M603">
        <v>22</v>
      </c>
      <c r="N603" t="s">
        <v>88</v>
      </c>
      <c r="O603" t="s">
        <v>53</v>
      </c>
      <c r="P603" t="s">
        <v>36</v>
      </c>
      <c r="Q603" s="5"/>
      <c r="S603">
        <f>DATEDIF(D603,DATE(2026,9,30),"Y")</f>
        <v>35</v>
      </c>
      <c r="T603" s="6">
        <f>(IF(Q603="",DATE(2026,9,30),Q603)-E603)/365.25</f>
        <v>9.856262833675565E-2</v>
      </c>
      <c r="U603" t="str">
        <f>_xlfn.XLOOKUP(Table1_1[[#This Row],[Bo''lim]],Bolimlar!A:A,Bolimlar!B:B,"Topilmadi")</f>
        <v>Sardor Nazarov</v>
      </c>
      <c r="V603">
        <f>IF(P603="Ha",1,0)</f>
        <v>0</v>
      </c>
      <c r="W603" t="str">
        <f>IF(T603&lt;1,"1 yildan kam",IF(T603&lt;3,"1-3 yil","3 yildan ko'p"))</f>
        <v>1 yildan kam</v>
      </c>
    </row>
    <row r="604" spans="1:23" x14ac:dyDescent="0.3">
      <c r="A604" t="s">
        <v>974</v>
      </c>
      <c r="B604" t="s">
        <v>822</v>
      </c>
      <c r="C604" t="s">
        <v>20</v>
      </c>
      <c r="D604" s="5">
        <v>32938</v>
      </c>
      <c r="E604" s="5">
        <v>45044</v>
      </c>
      <c r="F604" t="s">
        <v>1035</v>
      </c>
      <c r="G604" t="s">
        <v>73</v>
      </c>
      <c r="H604" t="s">
        <v>33</v>
      </c>
      <c r="I604" t="s">
        <v>24</v>
      </c>
      <c r="J604">
        <v>4240000</v>
      </c>
      <c r="K604">
        <v>3</v>
      </c>
      <c r="L604">
        <v>4</v>
      </c>
      <c r="M604">
        <v>29</v>
      </c>
      <c r="N604" t="s">
        <v>25</v>
      </c>
      <c r="O604" t="s">
        <v>53</v>
      </c>
      <c r="P604" t="s">
        <v>36</v>
      </c>
      <c r="Q604" s="5"/>
      <c r="S604">
        <f>DATEDIF(D604,DATE(2026,9,30),"Y")</f>
        <v>36</v>
      </c>
      <c r="T604" s="6">
        <f>(IF(Q604="",DATE(2026,9,30),Q604)-E604)/365.25</f>
        <v>3.4250513347022586</v>
      </c>
      <c r="U604" t="str">
        <f>_xlfn.XLOOKUP(Table1_1[[#This Row],[Bo''lim]],Bolimlar!A:A,Bolimlar!B:B,"Topilmadi")</f>
        <v>Aziz Karimov</v>
      </c>
      <c r="V604">
        <f>IF(P604="Ha",1,0)</f>
        <v>0</v>
      </c>
      <c r="W604" t="str">
        <f>IF(T604&lt;1,"1 yildan kam",IF(T604&lt;3,"1-3 yil","3 yildan ko'p"))</f>
        <v>3 yildan ko'p</v>
      </c>
    </row>
    <row r="605" spans="1:23" x14ac:dyDescent="0.3">
      <c r="A605" t="s">
        <v>660</v>
      </c>
      <c r="B605" t="s">
        <v>661</v>
      </c>
      <c r="C605" t="s">
        <v>31</v>
      </c>
      <c r="D605" s="5">
        <v>37135</v>
      </c>
      <c r="E605" s="5">
        <v>45248</v>
      </c>
      <c r="F605" t="s">
        <v>1035</v>
      </c>
      <c r="G605" t="s">
        <v>79</v>
      </c>
      <c r="H605" t="s">
        <v>33</v>
      </c>
      <c r="I605" t="s">
        <v>24</v>
      </c>
      <c r="J605">
        <v>4230000</v>
      </c>
      <c r="K605">
        <v>3</v>
      </c>
      <c r="L605">
        <v>3</v>
      </c>
      <c r="M605">
        <v>10</v>
      </c>
      <c r="N605" t="s">
        <v>41</v>
      </c>
      <c r="O605" t="s">
        <v>26</v>
      </c>
      <c r="P605" t="s">
        <v>36</v>
      </c>
      <c r="Q605" s="5"/>
      <c r="S605">
        <f>DATEDIF(D605,DATE(2026,9,30),"Y")</f>
        <v>25</v>
      </c>
      <c r="T605" s="6">
        <f>(IF(Q605="",DATE(2026,9,30),Q605)-E605)/365.25</f>
        <v>2.8665297741273101</v>
      </c>
      <c r="U605" t="str">
        <f>_xlfn.XLOOKUP(Table1_1[[#This Row],[Bo''lim]],Bolimlar!A:A,Bolimlar!B:B,"Topilmadi")</f>
        <v>Aziz Karimov</v>
      </c>
      <c r="V605">
        <f>IF(P605="Ha",1,0)</f>
        <v>0</v>
      </c>
      <c r="W605" t="str">
        <f>IF(T605&lt;1,"1 yildan kam",IF(T605&lt;3,"1-3 yil","3 yildan ko'p"))</f>
        <v>1-3 yil</v>
      </c>
    </row>
    <row r="606" spans="1:23" x14ac:dyDescent="0.3">
      <c r="A606" t="s">
        <v>1116</v>
      </c>
      <c r="B606" t="s">
        <v>425</v>
      </c>
      <c r="C606" t="s">
        <v>31</v>
      </c>
      <c r="D606" s="5">
        <v>35528</v>
      </c>
      <c r="E606" s="5">
        <v>44234</v>
      </c>
      <c r="F606" t="s">
        <v>1226</v>
      </c>
      <c r="G606" t="s">
        <v>57</v>
      </c>
      <c r="H606" t="s">
        <v>33</v>
      </c>
      <c r="I606" t="s">
        <v>24</v>
      </c>
      <c r="J606">
        <v>4220000</v>
      </c>
      <c r="K606">
        <v>3</v>
      </c>
      <c r="L606">
        <v>4</v>
      </c>
      <c r="M606">
        <v>0</v>
      </c>
      <c r="N606" t="s">
        <v>41</v>
      </c>
      <c r="O606" t="s">
        <v>35</v>
      </c>
      <c r="P606" t="s">
        <v>36</v>
      </c>
      <c r="Q606" s="5"/>
      <c r="S606">
        <f>DATEDIF(D606,DATE(2026,9,30),"Y")</f>
        <v>29</v>
      </c>
      <c r="T606" s="6">
        <f>(IF(Q606="",DATE(2026,9,30),Q606)-E606)/365.25</f>
        <v>5.6427104722792611</v>
      </c>
      <c r="U606" t="str">
        <f>_xlfn.XLOOKUP(Table1_1[[#This Row],[Bo''lim]],Bolimlar!A:A,Bolimlar!B:B,"Topilmadi")</f>
        <v>Madina Abdullayeva</v>
      </c>
      <c r="V606">
        <f>IF(P606="Ha",1,0)</f>
        <v>0</v>
      </c>
      <c r="W606" t="str">
        <f>IF(T606&lt;1,"1 yildan kam",IF(T606&lt;3,"1-3 yil","3 yildan ko'p"))</f>
        <v>3 yildan ko'p</v>
      </c>
    </row>
    <row r="607" spans="1:23" x14ac:dyDescent="0.3">
      <c r="A607" t="s">
        <v>185</v>
      </c>
      <c r="B607" t="s">
        <v>186</v>
      </c>
      <c r="C607" t="s">
        <v>20</v>
      </c>
      <c r="D607" s="5">
        <v>32725</v>
      </c>
      <c r="E607" s="5">
        <v>43915</v>
      </c>
      <c r="F607" t="s">
        <v>245</v>
      </c>
      <c r="G607" t="s">
        <v>127</v>
      </c>
      <c r="H607" t="s">
        <v>33</v>
      </c>
      <c r="I607" t="s">
        <v>96</v>
      </c>
      <c r="J607">
        <v>4210000</v>
      </c>
      <c r="K607">
        <v>3</v>
      </c>
      <c r="L607">
        <v>1</v>
      </c>
      <c r="M607">
        <v>7</v>
      </c>
      <c r="N607" t="s">
        <v>41</v>
      </c>
      <c r="O607" t="s">
        <v>35</v>
      </c>
      <c r="P607" t="s">
        <v>27</v>
      </c>
      <c r="Q607" s="5">
        <v>45942</v>
      </c>
      <c r="R607" t="s">
        <v>61</v>
      </c>
      <c r="S607">
        <f>DATEDIF(D607,DATE(2026,9,30),"Y")</f>
        <v>37</v>
      </c>
      <c r="T607" s="6">
        <f>(IF(Q607="",DATE(2026,9,30),Q607)-E607)/365.25</f>
        <v>5.5496235455167691</v>
      </c>
      <c r="U607" t="str">
        <f>_xlfn.XLOOKUP(Table1_1[[#This Row],[Bo''lim]],Bolimlar!A:A,Bolimlar!B:B,"Topilmadi")</f>
        <v>Dilnoza Rahimova</v>
      </c>
      <c r="V607">
        <f>IF(P607="Ha",1,0)</f>
        <v>1</v>
      </c>
      <c r="W607" t="str">
        <f>IF(T607&lt;1,"1 yildan kam",IF(T607&lt;3,"1-3 yil","3 yildan ko'p"))</f>
        <v>3 yildan ko'p</v>
      </c>
    </row>
    <row r="608" spans="1:23" x14ac:dyDescent="0.3">
      <c r="A608" t="s">
        <v>769</v>
      </c>
      <c r="B608" t="s">
        <v>770</v>
      </c>
      <c r="C608" t="s">
        <v>20</v>
      </c>
      <c r="D608" s="5">
        <v>35262</v>
      </c>
      <c r="E608" s="5">
        <v>43465</v>
      </c>
      <c r="F608" t="s">
        <v>1035</v>
      </c>
      <c r="G608" t="s">
        <v>65</v>
      </c>
      <c r="H608" t="s">
        <v>33</v>
      </c>
      <c r="I608" t="s">
        <v>82</v>
      </c>
      <c r="J608">
        <v>4200000</v>
      </c>
      <c r="K608">
        <v>5</v>
      </c>
      <c r="L608">
        <v>2</v>
      </c>
      <c r="M608">
        <v>20</v>
      </c>
      <c r="N608" t="s">
        <v>41</v>
      </c>
      <c r="O608" t="s">
        <v>35</v>
      </c>
      <c r="P608" t="s">
        <v>36</v>
      </c>
      <c r="Q608" s="5"/>
      <c r="S608">
        <f>DATEDIF(D608,DATE(2026,9,30),"Y")</f>
        <v>30</v>
      </c>
      <c r="T608" s="6">
        <f>(IF(Q608="",DATE(2026,9,30),Q608)-E608)/365.25</f>
        <v>7.7481177275838471</v>
      </c>
      <c r="U608" t="str">
        <f>_xlfn.XLOOKUP(Table1_1[[#This Row],[Bo''lim]],Bolimlar!A:A,Bolimlar!B:B,"Topilmadi")</f>
        <v>Aziz Karimov</v>
      </c>
      <c r="V608">
        <f>IF(P608="Ha",1,0)</f>
        <v>0</v>
      </c>
      <c r="W608" t="str">
        <f>IF(T608&lt;1,"1 yildan kam",IF(T608&lt;3,"1-3 yil","3 yildan ko'p"))</f>
        <v>3 yildan ko'p</v>
      </c>
    </row>
    <row r="609" spans="1:23" x14ac:dyDescent="0.3">
      <c r="A609" t="s">
        <v>908</v>
      </c>
      <c r="B609" t="s">
        <v>574</v>
      </c>
      <c r="C609" t="s">
        <v>31</v>
      </c>
      <c r="D609" s="5">
        <v>33515</v>
      </c>
      <c r="E609" s="5">
        <v>45440</v>
      </c>
      <c r="F609" t="s">
        <v>1226</v>
      </c>
      <c r="G609" t="s">
        <v>60</v>
      </c>
      <c r="H609" t="s">
        <v>33</v>
      </c>
      <c r="I609" t="s">
        <v>24</v>
      </c>
      <c r="J609">
        <v>4200000</v>
      </c>
      <c r="K609">
        <v>3</v>
      </c>
      <c r="L609">
        <v>2</v>
      </c>
      <c r="M609">
        <v>0</v>
      </c>
      <c r="N609" t="s">
        <v>88</v>
      </c>
      <c r="O609" t="s">
        <v>35</v>
      </c>
      <c r="P609" t="s">
        <v>36</v>
      </c>
      <c r="Q609" s="5"/>
      <c r="S609">
        <f>DATEDIF(D609,DATE(2026,9,30),"Y")</f>
        <v>34</v>
      </c>
      <c r="T609" s="6">
        <f>(IF(Q609="",DATE(2026,9,30),Q609)-E609)/365.25</f>
        <v>2.3408624229979464</v>
      </c>
      <c r="U609" t="str">
        <f>_xlfn.XLOOKUP(Table1_1[[#This Row],[Bo''lim]],Bolimlar!A:A,Bolimlar!B:B,"Topilmadi")</f>
        <v>Madina Abdullayeva</v>
      </c>
      <c r="V609">
        <f>IF(P609="Ha",1,0)</f>
        <v>0</v>
      </c>
      <c r="W609" t="str">
        <f>IF(T609&lt;1,"1 yildan kam",IF(T609&lt;3,"1-3 yil","3 yildan ko'p"))</f>
        <v>1-3 yil</v>
      </c>
    </row>
    <row r="610" spans="1:23" x14ac:dyDescent="0.3">
      <c r="A610" t="s">
        <v>781</v>
      </c>
      <c r="B610" t="s">
        <v>613</v>
      </c>
      <c r="C610" t="s">
        <v>20</v>
      </c>
      <c r="D610" s="5">
        <v>38772</v>
      </c>
      <c r="E610" s="5">
        <v>46230</v>
      </c>
      <c r="F610" t="s">
        <v>484</v>
      </c>
      <c r="G610" t="s">
        <v>115</v>
      </c>
      <c r="H610" t="s">
        <v>33</v>
      </c>
      <c r="I610" t="s">
        <v>44</v>
      </c>
      <c r="J610">
        <v>4190000</v>
      </c>
      <c r="K610">
        <v>4</v>
      </c>
      <c r="L610">
        <v>2</v>
      </c>
      <c r="M610">
        <v>22</v>
      </c>
      <c r="N610" t="s">
        <v>41</v>
      </c>
      <c r="O610" t="s">
        <v>26</v>
      </c>
      <c r="P610" t="s">
        <v>27</v>
      </c>
      <c r="Q610" s="5">
        <v>46292</v>
      </c>
      <c r="R610" t="s">
        <v>155</v>
      </c>
      <c r="S610">
        <f>DATEDIF(D610,DATE(2026,9,30),"Y")</f>
        <v>20</v>
      </c>
      <c r="T610" s="6">
        <f>(IF(Q610="",DATE(2026,9,30),Q610)-E610)/365.25</f>
        <v>0.16974674880219029</v>
      </c>
      <c r="U610" t="str">
        <f>_xlfn.XLOOKUP(Table1_1[[#This Row],[Bo''lim]],Bolimlar!A:A,Bolimlar!B:B,"Topilmadi")</f>
        <v>Sardor Nazarov</v>
      </c>
      <c r="V610">
        <f>IF(P610="Ha",1,0)</f>
        <v>1</v>
      </c>
      <c r="W610" t="str">
        <f>IF(T610&lt;1,"1 yildan kam",IF(T610&lt;3,"1-3 yil","3 yildan ko'p"))</f>
        <v>1 yildan kam</v>
      </c>
    </row>
    <row r="611" spans="1:23" x14ac:dyDescent="0.3">
      <c r="A611" t="s">
        <v>1246</v>
      </c>
      <c r="B611" t="s">
        <v>784</v>
      </c>
      <c r="C611" t="s">
        <v>31</v>
      </c>
      <c r="D611" s="5">
        <v>33426</v>
      </c>
      <c r="E611" s="5">
        <v>44946</v>
      </c>
      <c r="F611" t="s">
        <v>245</v>
      </c>
      <c r="G611" t="s">
        <v>48</v>
      </c>
      <c r="H611" t="s">
        <v>33</v>
      </c>
      <c r="I611" t="s">
        <v>24</v>
      </c>
      <c r="J611">
        <v>4180000</v>
      </c>
      <c r="K611">
        <v>3</v>
      </c>
      <c r="L611">
        <v>5</v>
      </c>
      <c r="M611">
        <v>0</v>
      </c>
      <c r="N611" t="s">
        <v>25</v>
      </c>
      <c r="O611" t="s">
        <v>53</v>
      </c>
      <c r="P611" t="s">
        <v>36</v>
      </c>
      <c r="Q611" s="5"/>
      <c r="S611">
        <f>DATEDIF(D611,DATE(2026,9,30),"Y")</f>
        <v>35</v>
      </c>
      <c r="T611" s="6">
        <f>(IF(Q611="",DATE(2026,9,30),Q611)-E611)/365.25</f>
        <v>3.6933607118412048</v>
      </c>
      <c r="U611" t="str">
        <f>_xlfn.XLOOKUP(Table1_1[[#This Row],[Bo''lim]],Bolimlar!A:A,Bolimlar!B:B,"Topilmadi")</f>
        <v>Dilnoza Rahimova</v>
      </c>
      <c r="V611">
        <f>IF(P611="Ha",1,0)</f>
        <v>0</v>
      </c>
      <c r="W611" t="str">
        <f>IF(T611&lt;1,"1 yildan kam",IF(T611&lt;3,"1-3 yil","3 yildan ko'p"))</f>
        <v>3 yildan ko'p</v>
      </c>
    </row>
    <row r="612" spans="1:23" x14ac:dyDescent="0.3">
      <c r="A612" t="s">
        <v>120</v>
      </c>
      <c r="B612" t="s">
        <v>121</v>
      </c>
      <c r="C612" t="s">
        <v>31</v>
      </c>
      <c r="D612" s="5">
        <v>33230</v>
      </c>
      <c r="E612" s="5">
        <v>44755</v>
      </c>
      <c r="F612" t="s">
        <v>245</v>
      </c>
      <c r="G612" t="s">
        <v>48</v>
      </c>
      <c r="H612" t="s">
        <v>33</v>
      </c>
      <c r="I612" t="s">
        <v>82</v>
      </c>
      <c r="J612">
        <v>4170000</v>
      </c>
      <c r="K612">
        <v>5</v>
      </c>
      <c r="L612">
        <v>2</v>
      </c>
      <c r="M612">
        <v>18</v>
      </c>
      <c r="N612" t="s">
        <v>41</v>
      </c>
      <c r="O612" t="s">
        <v>26</v>
      </c>
      <c r="P612" t="s">
        <v>36</v>
      </c>
      <c r="Q612" s="5"/>
      <c r="S612">
        <f>DATEDIF(D612,DATE(2026,9,30),"Y")</f>
        <v>35</v>
      </c>
      <c r="T612" s="6">
        <f>(IF(Q612="",DATE(2026,9,30),Q612)-E612)/365.25</f>
        <v>4.216290212183436</v>
      </c>
      <c r="U612" t="str">
        <f>_xlfn.XLOOKUP(Table1_1[[#This Row],[Bo''lim]],Bolimlar!A:A,Bolimlar!B:B,"Topilmadi")</f>
        <v>Dilnoza Rahimova</v>
      </c>
      <c r="V612">
        <f>IF(P612="Ha",1,0)</f>
        <v>0</v>
      </c>
      <c r="W612" t="str">
        <f>IF(T612&lt;1,"1 yildan kam",IF(T612&lt;3,"1-3 yil","3 yildan ko'p"))</f>
        <v>3 yildan ko'p</v>
      </c>
    </row>
    <row r="613" spans="1:23" x14ac:dyDescent="0.3">
      <c r="A613" t="s">
        <v>171</v>
      </c>
      <c r="B613" t="s">
        <v>172</v>
      </c>
      <c r="C613" t="s">
        <v>31</v>
      </c>
      <c r="D613" s="5">
        <v>35874</v>
      </c>
      <c r="E613" s="5">
        <v>45202</v>
      </c>
      <c r="F613" t="s">
        <v>245</v>
      </c>
      <c r="G613" t="s">
        <v>90</v>
      </c>
      <c r="H613" t="s">
        <v>33</v>
      </c>
      <c r="I613" t="s">
        <v>34</v>
      </c>
      <c r="J613">
        <v>4170000</v>
      </c>
      <c r="K613">
        <v>3</v>
      </c>
      <c r="L613">
        <v>4</v>
      </c>
      <c r="M613">
        <v>25</v>
      </c>
      <c r="N613" t="s">
        <v>25</v>
      </c>
      <c r="O613" t="s">
        <v>26</v>
      </c>
      <c r="P613" t="s">
        <v>36</v>
      </c>
      <c r="Q613" s="5"/>
      <c r="S613">
        <f>DATEDIF(D613,DATE(2026,9,30),"Y")</f>
        <v>28</v>
      </c>
      <c r="T613" s="6">
        <f>(IF(Q613="",DATE(2026,9,30),Q613)-E613)/365.25</f>
        <v>2.9924709103353866</v>
      </c>
      <c r="U613" t="str">
        <f>_xlfn.XLOOKUP(Table1_1[[#This Row],[Bo''lim]],Bolimlar!A:A,Bolimlar!B:B,"Topilmadi")</f>
        <v>Dilnoza Rahimova</v>
      </c>
      <c r="V613">
        <f>IF(P613="Ha",1,0)</f>
        <v>0</v>
      </c>
      <c r="W613" t="str">
        <f>IF(T613&lt;1,"1 yildan kam",IF(T613&lt;3,"1-3 yil","3 yildan ko'p"))</f>
        <v>1-3 yil</v>
      </c>
    </row>
    <row r="614" spans="1:23" x14ac:dyDescent="0.3">
      <c r="A614" t="s">
        <v>924</v>
      </c>
      <c r="B614" t="s">
        <v>925</v>
      </c>
      <c r="C614" t="s">
        <v>31</v>
      </c>
      <c r="D614" s="5">
        <v>37383</v>
      </c>
      <c r="E614" s="5">
        <v>45001</v>
      </c>
      <c r="F614" t="s">
        <v>39</v>
      </c>
      <c r="G614" t="s">
        <v>40</v>
      </c>
      <c r="H614" t="s">
        <v>33</v>
      </c>
      <c r="I614" t="s">
        <v>24</v>
      </c>
      <c r="J614">
        <v>4160000</v>
      </c>
      <c r="K614">
        <v>5</v>
      </c>
      <c r="L614">
        <v>2</v>
      </c>
      <c r="M614">
        <v>0</v>
      </c>
      <c r="N614" t="s">
        <v>41</v>
      </c>
      <c r="O614" t="s">
        <v>35</v>
      </c>
      <c r="P614" t="s">
        <v>27</v>
      </c>
      <c r="Q614" s="5">
        <v>46236</v>
      </c>
      <c r="R614" t="s">
        <v>155</v>
      </c>
      <c r="S614">
        <f>DATEDIF(D614,DATE(2026,9,30),"Y")</f>
        <v>24</v>
      </c>
      <c r="T614" s="6">
        <f>(IF(Q614="",DATE(2026,9,30),Q614)-E614)/365.25</f>
        <v>3.3812457221081451</v>
      </c>
      <c r="U614" t="str">
        <f>_xlfn.XLOOKUP(Table1_1[[#This Row],[Bo''lim]],Bolimlar!A:A,Bolimlar!B:B,"Topilmadi")</f>
        <v>Nodira Tursunova</v>
      </c>
      <c r="V614">
        <f>IF(P614="Ha",1,0)</f>
        <v>1</v>
      </c>
      <c r="W614" t="str">
        <f>IF(T614&lt;1,"1 yildan kam",IF(T614&lt;3,"1-3 yil","3 yildan ko'p"))</f>
        <v>3 yildan ko'p</v>
      </c>
    </row>
    <row r="615" spans="1:23" x14ac:dyDescent="0.3">
      <c r="A615" t="s">
        <v>178</v>
      </c>
      <c r="B615" t="s">
        <v>179</v>
      </c>
      <c r="C615" t="s">
        <v>31</v>
      </c>
      <c r="D615" s="5">
        <v>38570</v>
      </c>
      <c r="E615" s="5">
        <v>46136</v>
      </c>
      <c r="F615" t="s">
        <v>1226</v>
      </c>
      <c r="G615" t="s">
        <v>142</v>
      </c>
      <c r="H615" t="s">
        <v>33</v>
      </c>
      <c r="I615" t="s">
        <v>24</v>
      </c>
      <c r="J615">
        <v>4140000</v>
      </c>
      <c r="K615">
        <v>2</v>
      </c>
      <c r="L615">
        <v>2</v>
      </c>
      <c r="M615">
        <v>22</v>
      </c>
      <c r="N615" t="s">
        <v>25</v>
      </c>
      <c r="O615" t="s">
        <v>26</v>
      </c>
      <c r="P615" t="s">
        <v>36</v>
      </c>
      <c r="Q615" s="5"/>
      <c r="S615">
        <f>DATEDIF(D615,DATE(2026,9,30),"Y")</f>
        <v>21</v>
      </c>
      <c r="T615" s="6">
        <f>(IF(Q615="",DATE(2026,9,30),Q615)-E615)/365.25</f>
        <v>0.43531827515400412</v>
      </c>
      <c r="U615" t="str">
        <f>_xlfn.XLOOKUP(Table1_1[[#This Row],[Bo''lim]],Bolimlar!A:A,Bolimlar!B:B,"Topilmadi")</f>
        <v>Madina Abdullayeva</v>
      </c>
      <c r="V615">
        <f>IF(P615="Ha",1,0)</f>
        <v>0</v>
      </c>
      <c r="W615" t="str">
        <f>IF(T615&lt;1,"1 yildan kam",IF(T615&lt;3,"1-3 yil","3 yildan ko'p"))</f>
        <v>1 yildan kam</v>
      </c>
    </row>
    <row r="616" spans="1:23" x14ac:dyDescent="0.3">
      <c r="A616" t="s">
        <v>404</v>
      </c>
      <c r="B616" t="s">
        <v>221</v>
      </c>
      <c r="C616" t="s">
        <v>20</v>
      </c>
      <c r="D616" s="5">
        <v>34017</v>
      </c>
      <c r="E616" s="5">
        <v>44547</v>
      </c>
      <c r="F616" t="s">
        <v>484</v>
      </c>
      <c r="G616" t="s">
        <v>115</v>
      </c>
      <c r="H616" t="s">
        <v>33</v>
      </c>
      <c r="I616" t="s">
        <v>24</v>
      </c>
      <c r="J616">
        <v>4130000</v>
      </c>
      <c r="K616">
        <v>4</v>
      </c>
      <c r="L616">
        <v>3</v>
      </c>
      <c r="M616">
        <v>30</v>
      </c>
      <c r="N616" t="s">
        <v>25</v>
      </c>
      <c r="O616" t="s">
        <v>26</v>
      </c>
      <c r="P616" t="s">
        <v>36</v>
      </c>
      <c r="Q616" s="5"/>
      <c r="S616">
        <f>DATEDIF(D616,DATE(2026,9,30),"Y")</f>
        <v>33</v>
      </c>
      <c r="T616" s="6">
        <f>(IF(Q616="",DATE(2026,9,30),Q616)-E616)/365.25</f>
        <v>4.7857631759069132</v>
      </c>
      <c r="U616" t="str">
        <f>_xlfn.XLOOKUP(Table1_1[[#This Row],[Bo''lim]],Bolimlar!A:A,Bolimlar!B:B,"Topilmadi")</f>
        <v>Sardor Nazarov</v>
      </c>
      <c r="V616">
        <f>IF(P616="Ha",1,0)</f>
        <v>0</v>
      </c>
      <c r="W616" t="str">
        <f>IF(T616&lt;1,"1 yildan kam",IF(T616&lt;3,"1-3 yil","3 yildan ko'p"))</f>
        <v>3 yildan ko'p</v>
      </c>
    </row>
    <row r="617" spans="1:23" x14ac:dyDescent="0.3">
      <c r="A617" t="s">
        <v>323</v>
      </c>
      <c r="B617" t="s">
        <v>324</v>
      </c>
      <c r="C617" t="s">
        <v>20</v>
      </c>
      <c r="D617" s="5">
        <v>35497</v>
      </c>
      <c r="E617" s="5">
        <v>45206</v>
      </c>
      <c r="F617" t="s">
        <v>484</v>
      </c>
      <c r="G617" t="s">
        <v>115</v>
      </c>
      <c r="H617" t="s">
        <v>33</v>
      </c>
      <c r="I617" t="s">
        <v>82</v>
      </c>
      <c r="J617">
        <v>4120000</v>
      </c>
      <c r="K617">
        <v>4</v>
      </c>
      <c r="L617">
        <v>3</v>
      </c>
      <c r="M617">
        <v>7</v>
      </c>
      <c r="N617" t="s">
        <v>41</v>
      </c>
      <c r="O617" t="s">
        <v>26</v>
      </c>
      <c r="P617" t="s">
        <v>36</v>
      </c>
      <c r="Q617" s="5"/>
      <c r="S617">
        <f>DATEDIF(D617,DATE(2026,9,30),"Y")</f>
        <v>29</v>
      </c>
      <c r="T617" s="6">
        <f>(IF(Q617="",DATE(2026,9,30),Q617)-E617)/365.25</f>
        <v>2.9815195071868583</v>
      </c>
      <c r="U617" t="str">
        <f>_xlfn.XLOOKUP(Table1_1[[#This Row],[Bo''lim]],Bolimlar!A:A,Bolimlar!B:B,"Topilmadi")</f>
        <v>Sardor Nazarov</v>
      </c>
      <c r="V617">
        <f>IF(P617="Ha",1,0)</f>
        <v>0</v>
      </c>
      <c r="W617" t="str">
        <f>IF(T617&lt;1,"1 yildan kam",IF(T617&lt;3,"1-3 yil","3 yildan ko'p"))</f>
        <v>1-3 yil</v>
      </c>
    </row>
    <row r="618" spans="1:23" x14ac:dyDescent="0.3">
      <c r="A618" t="s">
        <v>276</v>
      </c>
      <c r="B618" t="s">
        <v>277</v>
      </c>
      <c r="C618" t="s">
        <v>20</v>
      </c>
      <c r="D618" s="5">
        <v>34269</v>
      </c>
      <c r="E618" s="5">
        <v>43133</v>
      </c>
      <c r="F618" t="s">
        <v>245</v>
      </c>
      <c r="G618" t="s">
        <v>90</v>
      </c>
      <c r="H618" t="s">
        <v>33</v>
      </c>
      <c r="I618" t="s">
        <v>44</v>
      </c>
      <c r="J618">
        <v>4110000</v>
      </c>
      <c r="K618">
        <v>3</v>
      </c>
      <c r="L618">
        <v>2</v>
      </c>
      <c r="M618">
        <v>14</v>
      </c>
      <c r="N618" t="s">
        <v>41</v>
      </c>
      <c r="O618" t="s">
        <v>53</v>
      </c>
      <c r="P618" t="s">
        <v>36</v>
      </c>
      <c r="Q618" s="5"/>
      <c r="S618">
        <f>DATEDIF(D618,DATE(2026,9,30),"Y")</f>
        <v>32</v>
      </c>
      <c r="T618" s="6">
        <f>(IF(Q618="",DATE(2026,9,30),Q618)-E618)/365.25</f>
        <v>8.6570841889117052</v>
      </c>
      <c r="U618" t="str">
        <f>_xlfn.XLOOKUP(Table1_1[[#This Row],[Bo''lim]],Bolimlar!A:A,Bolimlar!B:B,"Topilmadi")</f>
        <v>Dilnoza Rahimova</v>
      </c>
      <c r="V618">
        <f>IF(P618="Ha",1,0)</f>
        <v>0</v>
      </c>
      <c r="W618" t="str">
        <f>IF(T618&lt;1,"1 yildan kam",IF(T618&lt;3,"1-3 yil","3 yildan ko'p"))</f>
        <v>3 yildan ko'p</v>
      </c>
    </row>
    <row r="619" spans="1:23" x14ac:dyDescent="0.3">
      <c r="A619" t="s">
        <v>1112</v>
      </c>
      <c r="B619" t="s">
        <v>576</v>
      </c>
      <c r="C619" t="s">
        <v>20</v>
      </c>
      <c r="D619" s="5">
        <v>32603</v>
      </c>
      <c r="E619" s="5">
        <v>44512</v>
      </c>
      <c r="F619" t="s">
        <v>1035</v>
      </c>
      <c r="G619" t="s">
        <v>73</v>
      </c>
      <c r="H619" t="s">
        <v>33</v>
      </c>
      <c r="I619" t="s">
        <v>96</v>
      </c>
      <c r="J619">
        <v>4100000</v>
      </c>
      <c r="K619">
        <v>4</v>
      </c>
      <c r="L619">
        <v>5</v>
      </c>
      <c r="M619">
        <v>20</v>
      </c>
      <c r="N619" t="s">
        <v>41</v>
      </c>
      <c r="O619" t="s">
        <v>26</v>
      </c>
      <c r="P619" t="s">
        <v>27</v>
      </c>
      <c r="Q619" s="5">
        <v>46110</v>
      </c>
      <c r="R619" t="s">
        <v>61</v>
      </c>
      <c r="S619">
        <f>DATEDIF(D619,DATE(2026,9,30),"Y")</f>
        <v>37</v>
      </c>
      <c r="T619" s="6">
        <f>(IF(Q619="",DATE(2026,9,30),Q619)-E619)/365.25</f>
        <v>4.3750855578370977</v>
      </c>
      <c r="U619" t="str">
        <f>_xlfn.XLOOKUP(Table1_1[[#This Row],[Bo''lim]],Bolimlar!A:A,Bolimlar!B:B,"Topilmadi")</f>
        <v>Aziz Karimov</v>
      </c>
      <c r="V619">
        <f>IF(P619="Ha",1,0)</f>
        <v>1</v>
      </c>
      <c r="W619" t="str">
        <f>IF(T619&lt;1,"1 yildan kam",IF(T619&lt;3,"1-3 yil","3 yildan ko'p"))</f>
        <v>3 yildan ko'p</v>
      </c>
    </row>
    <row r="620" spans="1:23" x14ac:dyDescent="0.3">
      <c r="A620" t="s">
        <v>1053</v>
      </c>
      <c r="B620" t="s">
        <v>713</v>
      </c>
      <c r="C620" t="s">
        <v>20</v>
      </c>
      <c r="D620" s="5">
        <v>34375</v>
      </c>
      <c r="E620" s="5">
        <v>45686</v>
      </c>
      <c r="F620" t="s">
        <v>484</v>
      </c>
      <c r="G620" t="s">
        <v>196</v>
      </c>
      <c r="H620" t="s">
        <v>33</v>
      </c>
      <c r="I620" t="s">
        <v>24</v>
      </c>
      <c r="J620">
        <v>4090000</v>
      </c>
      <c r="K620">
        <v>3</v>
      </c>
      <c r="L620">
        <v>1</v>
      </c>
      <c r="M620">
        <v>4</v>
      </c>
      <c r="N620" t="s">
        <v>41</v>
      </c>
      <c r="O620" t="s">
        <v>26</v>
      </c>
      <c r="P620" t="s">
        <v>36</v>
      </c>
      <c r="Q620" s="5"/>
      <c r="S620">
        <f>DATEDIF(D620,DATE(2026,9,30),"Y")</f>
        <v>32</v>
      </c>
      <c r="T620" s="6">
        <f>(IF(Q620="",DATE(2026,9,30),Q620)-E620)/365.25</f>
        <v>1.6673511293634498</v>
      </c>
      <c r="U620" t="str">
        <f>_xlfn.XLOOKUP(Table1_1[[#This Row],[Bo''lim]],Bolimlar!A:A,Bolimlar!B:B,"Topilmadi")</f>
        <v>Sardor Nazarov</v>
      </c>
      <c r="V620">
        <f>IF(P620="Ha",1,0)</f>
        <v>0</v>
      </c>
      <c r="W620" t="str">
        <f>IF(T620&lt;1,"1 yildan kam",IF(T620&lt;3,"1-3 yil","3 yildan ko'p"))</f>
        <v>1-3 yil</v>
      </c>
    </row>
    <row r="621" spans="1:23" x14ac:dyDescent="0.3">
      <c r="A621" t="s">
        <v>136</v>
      </c>
      <c r="B621" t="s">
        <v>137</v>
      </c>
      <c r="C621" t="s">
        <v>20</v>
      </c>
      <c r="D621" s="5">
        <v>37714</v>
      </c>
      <c r="E621" s="5">
        <v>45976</v>
      </c>
      <c r="F621" t="s">
        <v>245</v>
      </c>
      <c r="G621" t="s">
        <v>90</v>
      </c>
      <c r="H621" t="s">
        <v>33</v>
      </c>
      <c r="I621" t="s">
        <v>24</v>
      </c>
      <c r="J621">
        <v>4060000</v>
      </c>
      <c r="K621">
        <v>3</v>
      </c>
      <c r="L621">
        <v>4</v>
      </c>
      <c r="M621">
        <v>11</v>
      </c>
      <c r="N621" t="s">
        <v>88</v>
      </c>
      <c r="O621" t="s">
        <v>26</v>
      </c>
      <c r="P621" t="s">
        <v>36</v>
      </c>
      <c r="Q621" s="5"/>
      <c r="S621">
        <f>DATEDIF(D621,DATE(2026,9,30),"Y")</f>
        <v>23</v>
      </c>
      <c r="T621" s="6">
        <f>(IF(Q621="",DATE(2026,9,30),Q621)-E621)/365.25</f>
        <v>0.87337440109514031</v>
      </c>
      <c r="U621" t="str">
        <f>_xlfn.XLOOKUP(Table1_1[[#This Row],[Bo''lim]],Bolimlar!A:A,Bolimlar!B:B,"Topilmadi")</f>
        <v>Dilnoza Rahimova</v>
      </c>
      <c r="V621">
        <f>IF(P621="Ha",1,0)</f>
        <v>0</v>
      </c>
      <c r="W621" t="str">
        <f>IF(T621&lt;1,"1 yildan kam",IF(T621&lt;3,"1-3 yil","3 yildan ko'p"))</f>
        <v>1 yildan kam</v>
      </c>
    </row>
    <row r="622" spans="1:23" x14ac:dyDescent="0.3">
      <c r="A622" t="s">
        <v>990</v>
      </c>
      <c r="B622" t="s">
        <v>366</v>
      </c>
      <c r="C622" t="s">
        <v>20</v>
      </c>
      <c r="D622" s="5">
        <v>31248</v>
      </c>
      <c r="E622" s="5">
        <v>43656</v>
      </c>
      <c r="F622" t="s">
        <v>1226</v>
      </c>
      <c r="G622" t="s">
        <v>142</v>
      </c>
      <c r="H622" t="s">
        <v>33</v>
      </c>
      <c r="I622" t="s">
        <v>206</v>
      </c>
      <c r="J622">
        <v>4060000</v>
      </c>
      <c r="K622">
        <v>4</v>
      </c>
      <c r="L622">
        <v>3</v>
      </c>
      <c r="M622">
        <v>3</v>
      </c>
      <c r="N622" t="s">
        <v>41</v>
      </c>
      <c r="O622" t="s">
        <v>26</v>
      </c>
      <c r="P622" t="s">
        <v>36</v>
      </c>
      <c r="Q622" s="5"/>
      <c r="S622">
        <f>DATEDIF(D622,DATE(2026,9,30),"Y")</f>
        <v>41</v>
      </c>
      <c r="T622" s="6">
        <f>(IF(Q622="",DATE(2026,9,30),Q622)-E622)/365.25</f>
        <v>7.225188227241615</v>
      </c>
      <c r="U622" t="str">
        <f>_xlfn.XLOOKUP(Table1_1[[#This Row],[Bo''lim]],Bolimlar!A:A,Bolimlar!B:B,"Topilmadi")</f>
        <v>Madina Abdullayeva</v>
      </c>
      <c r="V622">
        <f>IF(P622="Ha",1,0)</f>
        <v>0</v>
      </c>
      <c r="W622" t="str">
        <f>IF(T622&lt;1,"1 yildan kam",IF(T622&lt;3,"1-3 yil","3 yildan ko'p"))</f>
        <v>3 yildan ko'p</v>
      </c>
    </row>
    <row r="623" spans="1:23" x14ac:dyDescent="0.3">
      <c r="A623" t="s">
        <v>1032</v>
      </c>
      <c r="B623" t="s">
        <v>352</v>
      </c>
      <c r="C623" t="s">
        <v>20</v>
      </c>
      <c r="D623" s="5">
        <v>39004</v>
      </c>
      <c r="E623" s="5">
        <v>46283</v>
      </c>
      <c r="F623" t="s">
        <v>245</v>
      </c>
      <c r="G623" t="s">
        <v>48</v>
      </c>
      <c r="H623" t="s">
        <v>33</v>
      </c>
      <c r="I623" t="s">
        <v>34</v>
      </c>
      <c r="J623">
        <v>4050000</v>
      </c>
      <c r="K623">
        <v>3</v>
      </c>
      <c r="L623">
        <v>1</v>
      </c>
      <c r="M623">
        <v>0</v>
      </c>
      <c r="N623" t="s">
        <v>41</v>
      </c>
      <c r="O623" t="s">
        <v>35</v>
      </c>
      <c r="P623" t="s">
        <v>36</v>
      </c>
      <c r="Q623" s="5"/>
      <c r="S623">
        <f>DATEDIF(D623,DATE(2026,9,30),"Y")</f>
        <v>19</v>
      </c>
      <c r="T623" s="6">
        <f>(IF(Q623="",DATE(2026,9,30),Q623)-E623)/365.25</f>
        <v>3.2854209445585217E-2</v>
      </c>
      <c r="U623" t="str">
        <f>_xlfn.XLOOKUP(Table1_1[[#This Row],[Bo''lim]],Bolimlar!A:A,Bolimlar!B:B,"Topilmadi")</f>
        <v>Dilnoza Rahimova</v>
      </c>
      <c r="V623">
        <f>IF(P623="Ha",1,0)</f>
        <v>0</v>
      </c>
      <c r="W623" t="str">
        <f>IF(T623&lt;1,"1 yildan kam",IF(T623&lt;3,"1-3 yil","3 yildan ko'p"))</f>
        <v>1 yildan kam</v>
      </c>
    </row>
    <row r="624" spans="1:23" x14ac:dyDescent="0.3">
      <c r="A624" t="s">
        <v>168</v>
      </c>
      <c r="B624" t="s">
        <v>169</v>
      </c>
      <c r="C624" t="s">
        <v>31</v>
      </c>
      <c r="D624" s="5">
        <v>31486</v>
      </c>
      <c r="E624" s="5">
        <v>45128</v>
      </c>
      <c r="F624" t="s">
        <v>39</v>
      </c>
      <c r="G624" t="s">
        <v>170</v>
      </c>
      <c r="H624" t="s">
        <v>33</v>
      </c>
      <c r="I624" t="s">
        <v>24</v>
      </c>
      <c r="J624">
        <v>4030000</v>
      </c>
      <c r="K624">
        <v>3</v>
      </c>
      <c r="L624">
        <v>3</v>
      </c>
      <c r="M624">
        <v>17</v>
      </c>
      <c r="N624" t="s">
        <v>41</v>
      </c>
      <c r="O624" t="s">
        <v>26</v>
      </c>
      <c r="P624" t="s">
        <v>36</v>
      </c>
      <c r="Q624" s="5"/>
      <c r="S624">
        <f>DATEDIF(D624,DATE(2026,9,30),"Y")</f>
        <v>40</v>
      </c>
      <c r="T624" s="6">
        <f>(IF(Q624="",DATE(2026,9,30),Q624)-E624)/365.25</f>
        <v>3.1950718685831623</v>
      </c>
      <c r="U624" t="str">
        <f>_xlfn.XLOOKUP(Table1_1[[#This Row],[Bo''lim]],Bolimlar!A:A,Bolimlar!B:B,"Topilmadi")</f>
        <v>Nodira Tursunova</v>
      </c>
      <c r="V624">
        <f>IF(P624="Ha",1,0)</f>
        <v>0</v>
      </c>
      <c r="W624" t="str">
        <f>IF(T624&lt;1,"1 yildan kam",IF(T624&lt;3,"1-3 yil","3 yildan ko'p"))</f>
        <v>3 yildan ko'p</v>
      </c>
    </row>
    <row r="625" spans="1:23" x14ac:dyDescent="0.3">
      <c r="A625" t="s">
        <v>860</v>
      </c>
      <c r="B625" t="s">
        <v>304</v>
      </c>
      <c r="C625" t="s">
        <v>20</v>
      </c>
      <c r="D625" s="5">
        <v>38810</v>
      </c>
      <c r="E625" s="5">
        <v>46250</v>
      </c>
      <c r="F625" t="s">
        <v>1035</v>
      </c>
      <c r="G625" t="s">
        <v>65</v>
      </c>
      <c r="H625" t="s">
        <v>33</v>
      </c>
      <c r="I625" t="s">
        <v>24</v>
      </c>
      <c r="J625">
        <v>4030000</v>
      </c>
      <c r="K625">
        <v>2</v>
      </c>
      <c r="L625">
        <v>3</v>
      </c>
      <c r="M625">
        <v>12</v>
      </c>
      <c r="N625" t="s">
        <v>41</v>
      </c>
      <c r="O625" t="s">
        <v>53</v>
      </c>
      <c r="P625" t="s">
        <v>36</v>
      </c>
      <c r="Q625" s="5"/>
      <c r="S625">
        <f>DATEDIF(D625,DATE(2026,9,30),"Y")</f>
        <v>20</v>
      </c>
      <c r="T625" s="6">
        <f>(IF(Q625="",DATE(2026,9,30),Q625)-E625)/365.25</f>
        <v>0.12320328542094455</v>
      </c>
      <c r="U625" t="str">
        <f>_xlfn.XLOOKUP(Table1_1[[#This Row],[Bo''lim]],Bolimlar!A:A,Bolimlar!B:B,"Topilmadi")</f>
        <v>Aziz Karimov</v>
      </c>
      <c r="V625">
        <f>IF(P625="Ha",1,0)</f>
        <v>0</v>
      </c>
      <c r="W625" t="str">
        <f>IF(T625&lt;1,"1 yildan kam",IF(T625&lt;3,"1-3 yil","3 yildan ko'p"))</f>
        <v>1 yildan kam</v>
      </c>
    </row>
    <row r="626" spans="1:23" x14ac:dyDescent="0.3">
      <c r="A626" t="s">
        <v>1213</v>
      </c>
      <c r="B626" t="s">
        <v>1214</v>
      </c>
      <c r="C626" t="s">
        <v>20</v>
      </c>
      <c r="D626" s="5">
        <v>32921</v>
      </c>
      <c r="E626" s="5">
        <v>45591</v>
      </c>
      <c r="F626" t="s">
        <v>484</v>
      </c>
      <c r="G626" t="s">
        <v>150</v>
      </c>
      <c r="H626" t="s">
        <v>33</v>
      </c>
      <c r="I626" t="s">
        <v>104</v>
      </c>
      <c r="J626">
        <v>4030000</v>
      </c>
      <c r="K626">
        <v>2</v>
      </c>
      <c r="L626">
        <v>4</v>
      </c>
      <c r="M626">
        <v>30</v>
      </c>
      <c r="N626" t="s">
        <v>41</v>
      </c>
      <c r="O626" t="s">
        <v>26</v>
      </c>
      <c r="P626" t="s">
        <v>36</v>
      </c>
      <c r="Q626" s="5"/>
      <c r="S626">
        <f>DATEDIF(D626,DATE(2026,9,30),"Y")</f>
        <v>36</v>
      </c>
      <c r="T626" s="6">
        <f>(IF(Q626="",DATE(2026,9,30),Q626)-E626)/365.25</f>
        <v>1.9274469541409993</v>
      </c>
      <c r="U626" t="str">
        <f>_xlfn.XLOOKUP(Table1_1[[#This Row],[Bo''lim]],Bolimlar!A:A,Bolimlar!B:B,"Topilmadi")</f>
        <v>Sardor Nazarov</v>
      </c>
      <c r="V626">
        <f>IF(P626="Ha",1,0)</f>
        <v>0</v>
      </c>
      <c r="W626" t="str">
        <f>IF(T626&lt;1,"1 yildan kam",IF(T626&lt;3,"1-3 yil","3 yildan ko'p"))</f>
        <v>1-3 yil</v>
      </c>
    </row>
    <row r="627" spans="1:23" x14ac:dyDescent="0.3">
      <c r="A627" t="s">
        <v>449</v>
      </c>
      <c r="B627" t="s">
        <v>362</v>
      </c>
      <c r="C627" t="s">
        <v>20</v>
      </c>
      <c r="D627" s="5">
        <v>39046</v>
      </c>
      <c r="E627" s="5">
        <v>46290</v>
      </c>
      <c r="F627" t="s">
        <v>245</v>
      </c>
      <c r="G627" t="s">
        <v>48</v>
      </c>
      <c r="H627" t="s">
        <v>33</v>
      </c>
      <c r="I627" t="s">
        <v>206</v>
      </c>
      <c r="J627">
        <v>4010000</v>
      </c>
      <c r="K627">
        <v>2</v>
      </c>
      <c r="L627">
        <v>5</v>
      </c>
      <c r="M627">
        <v>0</v>
      </c>
      <c r="N627" t="s">
        <v>25</v>
      </c>
      <c r="O627" t="s">
        <v>26</v>
      </c>
      <c r="P627" t="s">
        <v>36</v>
      </c>
      <c r="Q627" s="5"/>
      <c r="S627">
        <f>DATEDIF(D627,DATE(2026,9,30),"Y")</f>
        <v>19</v>
      </c>
      <c r="T627" s="6">
        <f>(IF(Q627="",DATE(2026,9,30),Q627)-E627)/365.25</f>
        <v>1.3689253935660506E-2</v>
      </c>
      <c r="U627" t="str">
        <f>_xlfn.XLOOKUP(Table1_1[[#This Row],[Bo''lim]],Bolimlar!A:A,Bolimlar!B:B,"Topilmadi")</f>
        <v>Dilnoza Rahimova</v>
      </c>
      <c r="V627">
        <f>IF(P627="Ha",1,0)</f>
        <v>0</v>
      </c>
      <c r="W627" t="str">
        <f>IF(T627&lt;1,"1 yildan kam",IF(T627&lt;3,"1-3 yil","3 yildan ko'p"))</f>
        <v>1 yildan kam</v>
      </c>
    </row>
    <row r="628" spans="1:23" x14ac:dyDescent="0.3">
      <c r="A628" t="s">
        <v>707</v>
      </c>
      <c r="B628" t="s">
        <v>708</v>
      </c>
      <c r="C628" t="s">
        <v>31</v>
      </c>
      <c r="D628" s="5">
        <v>32556</v>
      </c>
      <c r="E628" s="5">
        <v>46069</v>
      </c>
      <c r="F628" t="s">
        <v>1035</v>
      </c>
      <c r="G628" t="s">
        <v>65</v>
      </c>
      <c r="H628" t="s">
        <v>33</v>
      </c>
      <c r="I628" t="s">
        <v>44</v>
      </c>
      <c r="J628">
        <v>4000000</v>
      </c>
      <c r="K628">
        <v>3</v>
      </c>
      <c r="L628">
        <v>3</v>
      </c>
      <c r="M628">
        <v>18</v>
      </c>
      <c r="N628" t="s">
        <v>41</v>
      </c>
      <c r="O628" t="s">
        <v>26</v>
      </c>
      <c r="P628" t="s">
        <v>36</v>
      </c>
      <c r="Q628" s="5"/>
      <c r="S628">
        <f>DATEDIF(D628,DATE(2026,9,30),"Y")</f>
        <v>37</v>
      </c>
      <c r="T628" s="6">
        <f>(IF(Q628="",DATE(2026,9,30),Q628)-E628)/365.25</f>
        <v>0.61875427789185489</v>
      </c>
      <c r="U628" t="str">
        <f>_xlfn.XLOOKUP(Table1_1[[#This Row],[Bo''lim]],Bolimlar!A:A,Bolimlar!B:B,"Topilmadi")</f>
        <v>Aziz Karimov</v>
      </c>
      <c r="V628">
        <f>IF(P628="Ha",1,0)</f>
        <v>0</v>
      </c>
      <c r="W628" t="str">
        <f>IF(T628&lt;1,"1 yildan kam",IF(T628&lt;3,"1-3 yil","3 yildan ko'p"))</f>
        <v>1 yildan kam</v>
      </c>
    </row>
    <row r="629" spans="1:23" x14ac:dyDescent="0.3">
      <c r="A629" t="s">
        <v>795</v>
      </c>
      <c r="B629" t="s">
        <v>225</v>
      </c>
      <c r="C629" t="s">
        <v>20</v>
      </c>
      <c r="D629" s="5">
        <v>35085</v>
      </c>
      <c r="E629" s="5">
        <v>44457</v>
      </c>
      <c r="F629" t="s">
        <v>1226</v>
      </c>
      <c r="G629" t="s">
        <v>60</v>
      </c>
      <c r="H629" t="s">
        <v>33</v>
      </c>
      <c r="I629" t="s">
        <v>96</v>
      </c>
      <c r="J629">
        <v>4000000</v>
      </c>
      <c r="K629">
        <v>4</v>
      </c>
      <c r="L629">
        <v>3</v>
      </c>
      <c r="M629">
        <v>15</v>
      </c>
      <c r="N629" t="s">
        <v>25</v>
      </c>
      <c r="O629" t="s">
        <v>35</v>
      </c>
      <c r="P629" t="s">
        <v>27</v>
      </c>
      <c r="Q629" s="5">
        <v>45793</v>
      </c>
      <c r="R629" t="s">
        <v>235</v>
      </c>
      <c r="S629">
        <f>DATEDIF(D629,DATE(2026,9,30),"Y")</f>
        <v>30</v>
      </c>
      <c r="T629" s="6">
        <f>(IF(Q629="",DATE(2026,9,30),Q629)-E629)/365.25</f>
        <v>3.6577686516084875</v>
      </c>
      <c r="U629" t="str">
        <f>_xlfn.XLOOKUP(Table1_1[[#This Row],[Bo''lim]],Bolimlar!A:A,Bolimlar!B:B,"Topilmadi")</f>
        <v>Madina Abdullayeva</v>
      </c>
      <c r="V629">
        <f>IF(P629="Ha",1,0)</f>
        <v>1</v>
      </c>
      <c r="W629" t="str">
        <f>IF(T629&lt;1,"1 yildan kam",IF(T629&lt;3,"1-3 yil","3 yildan ko'p"))</f>
        <v>3 yildan ko'p</v>
      </c>
    </row>
    <row r="630" spans="1:23" x14ac:dyDescent="0.3">
      <c r="A630" t="s">
        <v>942</v>
      </c>
      <c r="B630" t="s">
        <v>149</v>
      </c>
      <c r="C630" t="s">
        <v>31</v>
      </c>
      <c r="D630" s="5">
        <v>31285</v>
      </c>
      <c r="E630" s="5">
        <v>44916</v>
      </c>
      <c r="F630" t="s">
        <v>1035</v>
      </c>
      <c r="G630" t="s">
        <v>65</v>
      </c>
      <c r="H630" t="s">
        <v>33</v>
      </c>
      <c r="I630" t="s">
        <v>24</v>
      </c>
      <c r="J630">
        <v>4000000</v>
      </c>
      <c r="K630">
        <v>4</v>
      </c>
      <c r="L630">
        <v>4</v>
      </c>
      <c r="M630">
        <v>25</v>
      </c>
      <c r="N630" t="s">
        <v>25</v>
      </c>
      <c r="O630" t="s">
        <v>35</v>
      </c>
      <c r="P630" t="s">
        <v>36</v>
      </c>
      <c r="Q630" s="5"/>
      <c r="S630">
        <f>DATEDIF(D630,DATE(2026,9,30),"Y")</f>
        <v>41</v>
      </c>
      <c r="T630" s="6">
        <f>(IF(Q630="",DATE(2026,9,30),Q630)-E630)/365.25</f>
        <v>3.7754962354551678</v>
      </c>
      <c r="U630" t="str">
        <f>_xlfn.XLOOKUP(Table1_1[[#This Row],[Bo''lim]],Bolimlar!A:A,Bolimlar!B:B,"Topilmadi")</f>
        <v>Aziz Karimov</v>
      </c>
      <c r="V630">
        <f>IF(P630="Ha",1,0)</f>
        <v>0</v>
      </c>
      <c r="W630" t="str">
        <f>IF(T630&lt;1,"1 yildan kam",IF(T630&lt;3,"1-3 yil","3 yildan ko'p"))</f>
        <v>3 yildan ko'p</v>
      </c>
    </row>
    <row r="631" spans="1:23" x14ac:dyDescent="0.3">
      <c r="A631" t="s">
        <v>1184</v>
      </c>
      <c r="B631" t="s">
        <v>866</v>
      </c>
      <c r="C631" t="s">
        <v>31</v>
      </c>
      <c r="D631" s="5">
        <v>33690</v>
      </c>
      <c r="E631" s="5">
        <v>45077</v>
      </c>
      <c r="F631" t="s">
        <v>1226</v>
      </c>
      <c r="G631" t="s">
        <v>57</v>
      </c>
      <c r="H631" t="s">
        <v>33</v>
      </c>
      <c r="I631" t="s">
        <v>44</v>
      </c>
      <c r="J631">
        <v>3990000</v>
      </c>
      <c r="K631">
        <v>4</v>
      </c>
      <c r="L631">
        <v>3</v>
      </c>
      <c r="M631">
        <v>0</v>
      </c>
      <c r="N631" t="s">
        <v>41</v>
      </c>
      <c r="O631" t="s">
        <v>26</v>
      </c>
      <c r="P631" t="s">
        <v>36</v>
      </c>
      <c r="Q631" s="5"/>
      <c r="S631">
        <f>DATEDIF(D631,DATE(2026,9,30),"Y")</f>
        <v>34</v>
      </c>
      <c r="T631" s="6">
        <f>(IF(Q631="",DATE(2026,9,30),Q631)-E631)/365.25</f>
        <v>3.3347022587268995</v>
      </c>
      <c r="U631" t="str">
        <f>_xlfn.XLOOKUP(Table1_1[[#This Row],[Bo''lim]],Bolimlar!A:A,Bolimlar!B:B,"Topilmadi")</f>
        <v>Madina Abdullayeva</v>
      </c>
      <c r="V631">
        <f>IF(P631="Ha",1,0)</f>
        <v>0</v>
      </c>
      <c r="W631" t="str">
        <f>IF(T631&lt;1,"1 yildan kam",IF(T631&lt;3,"1-3 yil","3 yildan ko'p"))</f>
        <v>3 yildan ko'p</v>
      </c>
    </row>
    <row r="632" spans="1:23" x14ac:dyDescent="0.3">
      <c r="A632" t="s">
        <v>180</v>
      </c>
      <c r="B632" t="s">
        <v>167</v>
      </c>
      <c r="C632" t="s">
        <v>31</v>
      </c>
      <c r="D632" s="5">
        <v>36489</v>
      </c>
      <c r="E632" s="5">
        <v>44864</v>
      </c>
      <c r="F632" t="s">
        <v>245</v>
      </c>
      <c r="G632" t="s">
        <v>127</v>
      </c>
      <c r="H632" t="s">
        <v>33</v>
      </c>
      <c r="I632" t="s">
        <v>24</v>
      </c>
      <c r="J632">
        <v>3970000</v>
      </c>
      <c r="K632">
        <v>3</v>
      </c>
      <c r="L632">
        <v>3</v>
      </c>
      <c r="M632">
        <v>19</v>
      </c>
      <c r="N632" t="s">
        <v>41</v>
      </c>
      <c r="O632" t="s">
        <v>26</v>
      </c>
      <c r="P632" t="s">
        <v>27</v>
      </c>
      <c r="Q632" s="5">
        <v>46159</v>
      </c>
      <c r="R632" t="s">
        <v>61</v>
      </c>
      <c r="S632">
        <f>DATEDIF(D632,DATE(2026,9,30),"Y")</f>
        <v>26</v>
      </c>
      <c r="T632" s="6">
        <f>(IF(Q632="",DATE(2026,9,30),Q632)-E632)/365.25</f>
        <v>3.5455167693360714</v>
      </c>
      <c r="U632" t="str">
        <f>_xlfn.XLOOKUP(Table1_1[[#This Row],[Bo''lim]],Bolimlar!A:A,Bolimlar!B:B,"Topilmadi")</f>
        <v>Dilnoza Rahimova</v>
      </c>
      <c r="V632">
        <f>IF(P632="Ha",1,0)</f>
        <v>1</v>
      </c>
      <c r="W632" t="str">
        <f>IF(T632&lt;1,"1 yildan kam",IF(T632&lt;3,"1-3 yil","3 yildan ko'p"))</f>
        <v>3 yildan ko'p</v>
      </c>
    </row>
    <row r="633" spans="1:23" x14ac:dyDescent="0.3">
      <c r="A633" t="s">
        <v>720</v>
      </c>
      <c r="B633" t="s">
        <v>651</v>
      </c>
      <c r="C633" t="s">
        <v>31</v>
      </c>
      <c r="D633" s="5">
        <v>32602</v>
      </c>
      <c r="E633" s="5">
        <v>46059</v>
      </c>
      <c r="F633" t="s">
        <v>1035</v>
      </c>
      <c r="G633" t="s">
        <v>73</v>
      </c>
      <c r="H633" t="s">
        <v>33</v>
      </c>
      <c r="I633" t="s">
        <v>82</v>
      </c>
      <c r="J633">
        <v>3970000</v>
      </c>
      <c r="K633">
        <v>5</v>
      </c>
      <c r="L633">
        <v>4</v>
      </c>
      <c r="M633">
        <v>18</v>
      </c>
      <c r="N633" t="s">
        <v>25</v>
      </c>
      <c r="O633" t="s">
        <v>35</v>
      </c>
      <c r="P633" t="s">
        <v>36</v>
      </c>
      <c r="Q633" s="5"/>
      <c r="S633">
        <f>DATEDIF(D633,DATE(2026,9,30),"Y")</f>
        <v>37</v>
      </c>
      <c r="T633" s="6">
        <f>(IF(Q633="",DATE(2026,9,30),Q633)-E633)/365.25</f>
        <v>0.6461327857631759</v>
      </c>
      <c r="U633" t="str">
        <f>_xlfn.XLOOKUP(Table1_1[[#This Row],[Bo''lim]],Bolimlar!A:A,Bolimlar!B:B,"Topilmadi")</f>
        <v>Aziz Karimov</v>
      </c>
      <c r="V633">
        <f>IF(P633="Ha",1,0)</f>
        <v>0</v>
      </c>
      <c r="W633" t="str">
        <f>IF(T633&lt;1,"1 yildan kam",IF(T633&lt;3,"1-3 yil","3 yildan ko'p"))</f>
        <v>1 yildan kam</v>
      </c>
    </row>
    <row r="634" spans="1:23" x14ac:dyDescent="0.3">
      <c r="A634" t="s">
        <v>1264</v>
      </c>
      <c r="B634" t="s">
        <v>959</v>
      </c>
      <c r="C634" t="s">
        <v>31</v>
      </c>
      <c r="D634" s="5">
        <v>31792</v>
      </c>
      <c r="E634" s="5">
        <v>45514</v>
      </c>
      <c r="F634" t="s">
        <v>1035</v>
      </c>
      <c r="G634" t="s">
        <v>73</v>
      </c>
      <c r="H634" t="s">
        <v>33</v>
      </c>
      <c r="I634" t="s">
        <v>34</v>
      </c>
      <c r="J634">
        <v>3970000</v>
      </c>
      <c r="K634">
        <v>5</v>
      </c>
      <c r="L634">
        <v>5</v>
      </c>
      <c r="M634">
        <v>31</v>
      </c>
      <c r="N634" t="s">
        <v>25</v>
      </c>
      <c r="O634" t="s">
        <v>35</v>
      </c>
      <c r="P634" t="s">
        <v>27</v>
      </c>
      <c r="Q634" s="5">
        <v>45934</v>
      </c>
      <c r="R634" t="s">
        <v>401</v>
      </c>
      <c r="S634">
        <f>DATEDIF(D634,DATE(2026,9,30),"Y")</f>
        <v>39</v>
      </c>
      <c r="T634" s="6">
        <f>(IF(Q634="",DATE(2026,9,30),Q634)-E634)/365.25</f>
        <v>1.1498973305954825</v>
      </c>
      <c r="U634" t="str">
        <f>_xlfn.XLOOKUP(Table1_1[[#This Row],[Bo''lim]],Bolimlar!A:A,Bolimlar!B:B,"Topilmadi")</f>
        <v>Aziz Karimov</v>
      </c>
      <c r="V634">
        <f>IF(P634="Ha",1,0)</f>
        <v>1</v>
      </c>
      <c r="W634" t="str">
        <f>IF(T634&lt;1,"1 yildan kam",IF(T634&lt;3,"1-3 yil","3 yildan ko'p"))</f>
        <v>1-3 yil</v>
      </c>
    </row>
    <row r="635" spans="1:23" x14ac:dyDescent="0.3">
      <c r="A635" t="s">
        <v>652</v>
      </c>
      <c r="B635" t="s">
        <v>43</v>
      </c>
      <c r="C635" t="s">
        <v>31</v>
      </c>
      <c r="D635" s="5">
        <v>37116</v>
      </c>
      <c r="E635" s="5">
        <v>45119</v>
      </c>
      <c r="F635" t="s">
        <v>1035</v>
      </c>
      <c r="G635" t="s">
        <v>73</v>
      </c>
      <c r="H635" t="s">
        <v>33</v>
      </c>
      <c r="I635" t="s">
        <v>24</v>
      </c>
      <c r="J635">
        <v>3960000</v>
      </c>
      <c r="L635">
        <v>3</v>
      </c>
      <c r="M635">
        <v>22</v>
      </c>
      <c r="N635" t="s">
        <v>25</v>
      </c>
      <c r="O635" t="s">
        <v>35</v>
      </c>
      <c r="P635" t="s">
        <v>36</v>
      </c>
      <c r="Q635" s="5"/>
      <c r="S635">
        <f>DATEDIF(D635,DATE(2026,9,30),"Y")</f>
        <v>25</v>
      </c>
      <c r="T635" s="6">
        <f>(IF(Q635="",DATE(2026,9,30),Q635)-E635)/365.25</f>
        <v>3.2197125256673513</v>
      </c>
      <c r="U635" t="str">
        <f>_xlfn.XLOOKUP(Table1_1[[#This Row],[Bo''lim]],Bolimlar!A:A,Bolimlar!B:B,"Topilmadi")</f>
        <v>Aziz Karimov</v>
      </c>
      <c r="V635">
        <f>IF(P635="Ha",1,0)</f>
        <v>0</v>
      </c>
      <c r="W635" t="str">
        <f>IF(T635&lt;1,"1 yildan kam",IF(T635&lt;3,"1-3 yil","3 yildan ko'p"))</f>
        <v>3 yildan ko'p</v>
      </c>
    </row>
    <row r="636" spans="1:23" x14ac:dyDescent="0.3">
      <c r="A636" t="s">
        <v>771</v>
      </c>
      <c r="B636" t="s">
        <v>664</v>
      </c>
      <c r="C636" t="s">
        <v>20</v>
      </c>
      <c r="D636" s="5">
        <v>37687</v>
      </c>
      <c r="E636" s="5">
        <v>45615</v>
      </c>
      <c r="F636" t="s">
        <v>1035</v>
      </c>
      <c r="G636" t="s">
        <v>65</v>
      </c>
      <c r="H636" t="s">
        <v>33</v>
      </c>
      <c r="I636" t="s">
        <v>34</v>
      </c>
      <c r="J636">
        <v>3950000</v>
      </c>
      <c r="K636">
        <v>4</v>
      </c>
      <c r="L636">
        <v>4</v>
      </c>
      <c r="M636">
        <v>27</v>
      </c>
      <c r="N636" t="s">
        <v>41</v>
      </c>
      <c r="O636" t="s">
        <v>26</v>
      </c>
      <c r="P636" t="s">
        <v>36</v>
      </c>
      <c r="Q636" s="5"/>
      <c r="S636">
        <f>DATEDIF(D636,DATE(2026,9,30),"Y")</f>
        <v>23</v>
      </c>
      <c r="T636" s="6">
        <f>(IF(Q636="",DATE(2026,9,30),Q636)-E636)/365.25</f>
        <v>1.8617385352498288</v>
      </c>
      <c r="U636" t="str">
        <f>_xlfn.XLOOKUP(Table1_1[[#This Row],[Bo''lim]],Bolimlar!A:A,Bolimlar!B:B,"Topilmadi")</f>
        <v>Aziz Karimov</v>
      </c>
      <c r="V636">
        <f>IF(P636="Ha",1,0)</f>
        <v>0</v>
      </c>
      <c r="W636" t="str">
        <f>IF(T636&lt;1,"1 yildan kam",IF(T636&lt;3,"1-3 yil","3 yildan ko'p"))</f>
        <v>1-3 yil</v>
      </c>
    </row>
    <row r="637" spans="1:23" x14ac:dyDescent="0.3">
      <c r="A637" t="s">
        <v>1030</v>
      </c>
      <c r="B637" t="s">
        <v>242</v>
      </c>
      <c r="C637" t="s">
        <v>31</v>
      </c>
      <c r="D637" s="5">
        <v>34956</v>
      </c>
      <c r="E637" s="5">
        <v>42579</v>
      </c>
      <c r="F637" t="s">
        <v>1035</v>
      </c>
      <c r="G637" t="s">
        <v>65</v>
      </c>
      <c r="H637" t="s">
        <v>33</v>
      </c>
      <c r="I637" t="s">
        <v>206</v>
      </c>
      <c r="J637">
        <v>3950000</v>
      </c>
      <c r="K637">
        <v>3</v>
      </c>
      <c r="L637">
        <v>3</v>
      </c>
      <c r="M637">
        <v>13</v>
      </c>
      <c r="N637" t="s">
        <v>25</v>
      </c>
      <c r="O637" t="s">
        <v>26</v>
      </c>
      <c r="P637" t="s">
        <v>36</v>
      </c>
      <c r="Q637" s="5"/>
      <c r="S637">
        <f>DATEDIF(D637,DATE(2026,9,30),"Y")</f>
        <v>31</v>
      </c>
      <c r="T637" s="6">
        <f>(IF(Q637="",DATE(2026,9,30),Q637)-E637)/365.25</f>
        <v>10.173853524982889</v>
      </c>
      <c r="U637" t="str">
        <f>_xlfn.XLOOKUP(Table1_1[[#This Row],[Bo''lim]],Bolimlar!A:A,Bolimlar!B:B,"Topilmadi")</f>
        <v>Aziz Karimov</v>
      </c>
      <c r="V637">
        <f>IF(P637="Ha",1,0)</f>
        <v>0</v>
      </c>
      <c r="W637" t="str">
        <f>IF(T637&lt;1,"1 yildan kam",IF(T637&lt;3,"1-3 yil","3 yildan ko'p"))</f>
        <v>3 yildan ko'p</v>
      </c>
    </row>
    <row r="638" spans="1:23" x14ac:dyDescent="0.3">
      <c r="A638" t="s">
        <v>951</v>
      </c>
      <c r="B638" t="s">
        <v>384</v>
      </c>
      <c r="C638" t="s">
        <v>31</v>
      </c>
      <c r="D638" s="5">
        <v>34967</v>
      </c>
      <c r="E638" s="5">
        <v>45454</v>
      </c>
      <c r="F638" t="s">
        <v>1035</v>
      </c>
      <c r="G638" t="s">
        <v>79</v>
      </c>
      <c r="H638" t="s">
        <v>33</v>
      </c>
      <c r="I638" t="s">
        <v>34</v>
      </c>
      <c r="J638">
        <v>3940000</v>
      </c>
      <c r="K638">
        <v>4</v>
      </c>
      <c r="L638">
        <v>3</v>
      </c>
      <c r="M638">
        <v>16</v>
      </c>
      <c r="N638" t="s">
        <v>88</v>
      </c>
      <c r="O638" t="s">
        <v>26</v>
      </c>
      <c r="P638" t="s">
        <v>36</v>
      </c>
      <c r="Q638" s="5"/>
      <c r="S638">
        <f>DATEDIF(D638,DATE(2026,9,30),"Y")</f>
        <v>31</v>
      </c>
      <c r="T638" s="6">
        <f>(IF(Q638="",DATE(2026,9,30),Q638)-E638)/365.25</f>
        <v>2.3025325119780971</v>
      </c>
      <c r="U638" t="str">
        <f>_xlfn.XLOOKUP(Table1_1[[#This Row],[Bo''lim]],Bolimlar!A:A,Bolimlar!B:B,"Topilmadi")</f>
        <v>Aziz Karimov</v>
      </c>
      <c r="V638">
        <f>IF(P638="Ha",1,0)</f>
        <v>0</v>
      </c>
      <c r="W638" t="str">
        <f>IF(T638&lt;1,"1 yildan kam",IF(T638&lt;3,"1-3 yil","3 yildan ko'p"))</f>
        <v>1-3 yil</v>
      </c>
    </row>
    <row r="639" spans="1:23" x14ac:dyDescent="0.3">
      <c r="A639" t="s">
        <v>686</v>
      </c>
      <c r="B639" t="s">
        <v>313</v>
      </c>
      <c r="C639" t="s">
        <v>20</v>
      </c>
      <c r="D639" s="5">
        <v>32289</v>
      </c>
      <c r="E639" s="5">
        <v>45186</v>
      </c>
      <c r="F639" t="s">
        <v>245</v>
      </c>
      <c r="G639" t="s">
        <v>48</v>
      </c>
      <c r="H639" t="s">
        <v>33</v>
      </c>
      <c r="I639" t="s">
        <v>24</v>
      </c>
      <c r="J639">
        <v>3930000</v>
      </c>
      <c r="K639">
        <v>2</v>
      </c>
      <c r="L639">
        <v>4</v>
      </c>
      <c r="M639">
        <v>1</v>
      </c>
      <c r="N639" t="s">
        <v>41</v>
      </c>
      <c r="O639" t="s">
        <v>26</v>
      </c>
      <c r="P639" t="s">
        <v>36</v>
      </c>
      <c r="Q639" s="5"/>
      <c r="S639">
        <f>DATEDIF(D639,DATE(2026,9,30),"Y")</f>
        <v>38</v>
      </c>
      <c r="T639" s="6">
        <f>(IF(Q639="",DATE(2026,9,30),Q639)-E639)/365.25</f>
        <v>3.0362765229295001</v>
      </c>
      <c r="U639" t="str">
        <f>_xlfn.XLOOKUP(Table1_1[[#This Row],[Bo''lim]],Bolimlar!A:A,Bolimlar!B:B,"Topilmadi")</f>
        <v>Dilnoza Rahimova</v>
      </c>
      <c r="V639">
        <f>IF(P639="Ha",1,0)</f>
        <v>0</v>
      </c>
      <c r="W639" t="str">
        <f>IF(T639&lt;1,"1 yildan kam",IF(T639&lt;3,"1-3 yil","3 yildan ko'p"))</f>
        <v>3 yildan ko'p</v>
      </c>
    </row>
    <row r="640" spans="1:23" x14ac:dyDescent="0.3">
      <c r="A640" t="s">
        <v>796</v>
      </c>
      <c r="B640" t="s">
        <v>797</v>
      </c>
      <c r="C640" t="s">
        <v>20</v>
      </c>
      <c r="D640" s="5">
        <v>31702</v>
      </c>
      <c r="E640" s="5">
        <v>42584</v>
      </c>
      <c r="F640" t="s">
        <v>1300</v>
      </c>
      <c r="G640" t="s">
        <v>93</v>
      </c>
      <c r="H640" t="s">
        <v>33</v>
      </c>
      <c r="I640" t="s">
        <v>24</v>
      </c>
      <c r="J640">
        <v>3930000</v>
      </c>
      <c r="K640">
        <v>3</v>
      </c>
      <c r="L640">
        <v>4</v>
      </c>
      <c r="M640">
        <v>10</v>
      </c>
      <c r="N640" t="s">
        <v>88</v>
      </c>
      <c r="O640" t="s">
        <v>26</v>
      </c>
      <c r="P640" t="s">
        <v>36</v>
      </c>
      <c r="Q640" s="5"/>
      <c r="S640">
        <f>DATEDIF(D640,DATE(2026,9,30),"Y")</f>
        <v>39</v>
      </c>
      <c r="T640" s="6">
        <f>(IF(Q640="",DATE(2026,9,30),Q640)-E640)/365.25</f>
        <v>10.160164271047227</v>
      </c>
      <c r="U640" t="str">
        <f>_xlfn.XLOOKUP(Table1_1[[#This Row],[Bo''lim]],Bolimlar!A:A,Bolimlar!B:B,"Topilmadi")</f>
        <v>Shahlo Ismoilova</v>
      </c>
      <c r="V640">
        <f>IF(P640="Ha",1,0)</f>
        <v>0</v>
      </c>
      <c r="W640" t="str">
        <f>IF(T640&lt;1,"1 yildan kam",IF(T640&lt;3,"1-3 yil","3 yildan ko'p"))</f>
        <v>3 yildan ko'p</v>
      </c>
    </row>
    <row r="641" spans="1:23" x14ac:dyDescent="0.3">
      <c r="A641" t="s">
        <v>902</v>
      </c>
      <c r="B641" t="s">
        <v>425</v>
      </c>
      <c r="C641" t="s">
        <v>31</v>
      </c>
      <c r="D641" s="5">
        <v>36192</v>
      </c>
      <c r="E641" s="5">
        <v>44970</v>
      </c>
      <c r="F641" t="s">
        <v>1300</v>
      </c>
      <c r="G641" t="s">
        <v>93</v>
      </c>
      <c r="H641" t="s">
        <v>33</v>
      </c>
      <c r="I641" t="s">
        <v>24</v>
      </c>
      <c r="J641">
        <v>3920000</v>
      </c>
      <c r="K641">
        <v>5</v>
      </c>
      <c r="L641">
        <v>1</v>
      </c>
      <c r="M641">
        <v>42</v>
      </c>
      <c r="N641" t="s">
        <v>41</v>
      </c>
      <c r="O641" t="s">
        <v>26</v>
      </c>
      <c r="P641" t="s">
        <v>36</v>
      </c>
      <c r="Q641" s="5"/>
      <c r="S641">
        <f>DATEDIF(D641,DATE(2026,9,30),"Y")</f>
        <v>27</v>
      </c>
      <c r="T641" s="6">
        <f>(IF(Q641="",DATE(2026,9,30),Q641)-E641)/365.25</f>
        <v>3.6276522929500343</v>
      </c>
      <c r="U641" t="str">
        <f>_xlfn.XLOOKUP(Table1_1[[#This Row],[Bo''lim]],Bolimlar!A:A,Bolimlar!B:B,"Topilmadi")</f>
        <v>Shahlo Ismoilova</v>
      </c>
      <c r="V641">
        <f>IF(P641="Ha",1,0)</f>
        <v>0</v>
      </c>
      <c r="W641" t="str">
        <f>IF(T641&lt;1,"1 yildan kam",IF(T641&lt;3,"1-3 yil","3 yildan ko'p"))</f>
        <v>3 yildan ko'p</v>
      </c>
    </row>
    <row r="642" spans="1:23" x14ac:dyDescent="0.3">
      <c r="A642" t="s">
        <v>598</v>
      </c>
      <c r="B642" t="s">
        <v>43</v>
      </c>
      <c r="C642" t="s">
        <v>31</v>
      </c>
      <c r="D642" s="5">
        <v>34590</v>
      </c>
      <c r="E642" s="5">
        <v>43898</v>
      </c>
      <c r="F642" t="s">
        <v>1035</v>
      </c>
      <c r="G642" t="s">
        <v>79</v>
      </c>
      <c r="H642" t="s">
        <v>33</v>
      </c>
      <c r="I642" t="s">
        <v>104</v>
      </c>
      <c r="J642">
        <v>3910000</v>
      </c>
      <c r="K642">
        <v>3</v>
      </c>
      <c r="L642">
        <v>3</v>
      </c>
      <c r="M642">
        <v>3</v>
      </c>
      <c r="N642" t="s">
        <v>25</v>
      </c>
      <c r="O642" t="s">
        <v>53</v>
      </c>
      <c r="P642" t="s">
        <v>27</v>
      </c>
      <c r="Q642" s="5">
        <v>46075</v>
      </c>
      <c r="R642" t="s">
        <v>28</v>
      </c>
      <c r="S642">
        <f>DATEDIF(D642,DATE(2026,9,30),"Y")</f>
        <v>32</v>
      </c>
      <c r="T642" s="6">
        <f>(IF(Q642="",DATE(2026,9,30),Q642)-E642)/365.25</f>
        <v>5.9603011635865846</v>
      </c>
      <c r="U642" t="str">
        <f>_xlfn.XLOOKUP(Table1_1[[#This Row],[Bo''lim]],Bolimlar!A:A,Bolimlar!B:B,"Topilmadi")</f>
        <v>Aziz Karimov</v>
      </c>
      <c r="V642">
        <f>IF(P642="Ha",1,0)</f>
        <v>1</v>
      </c>
      <c r="W642" t="str">
        <f>IF(T642&lt;1,"1 yildan kam",IF(T642&lt;3,"1-3 yil","3 yildan ko'p"))</f>
        <v>3 yildan ko'p</v>
      </c>
    </row>
    <row r="643" spans="1:23" x14ac:dyDescent="0.3">
      <c r="A643" t="s">
        <v>1049</v>
      </c>
      <c r="B643" t="s">
        <v>1050</v>
      </c>
      <c r="C643" t="s">
        <v>20</v>
      </c>
      <c r="D643" s="5">
        <v>33949</v>
      </c>
      <c r="E643" s="5">
        <v>45763</v>
      </c>
      <c r="F643" t="s">
        <v>1300</v>
      </c>
      <c r="G643" t="s">
        <v>93</v>
      </c>
      <c r="H643" t="s">
        <v>33</v>
      </c>
      <c r="I643" t="s">
        <v>24</v>
      </c>
      <c r="J643">
        <v>3900000</v>
      </c>
      <c r="K643">
        <v>4</v>
      </c>
      <c r="L643">
        <v>4</v>
      </c>
      <c r="M643">
        <v>9</v>
      </c>
      <c r="N643" t="s">
        <v>88</v>
      </c>
      <c r="O643" t="s">
        <v>35</v>
      </c>
      <c r="P643" t="s">
        <v>36</v>
      </c>
      <c r="Q643" s="5"/>
      <c r="S643">
        <f>DATEDIF(D643,DATE(2026,9,30),"Y")</f>
        <v>33</v>
      </c>
      <c r="T643" s="6">
        <f>(IF(Q643="",DATE(2026,9,30),Q643)-E643)/365.25</f>
        <v>1.4565366187542779</v>
      </c>
      <c r="U643" t="str">
        <f>_xlfn.XLOOKUP(Table1_1[[#This Row],[Bo''lim]],Bolimlar!A:A,Bolimlar!B:B,"Topilmadi")</f>
        <v>Shahlo Ismoilova</v>
      </c>
      <c r="V643">
        <f>IF(P643="Ha",1,0)</f>
        <v>0</v>
      </c>
      <c r="W643" t="str">
        <f>IF(T643&lt;1,"1 yildan kam",IF(T643&lt;3,"1-3 yil","3 yildan ko'p"))</f>
        <v>1-3 yil</v>
      </c>
    </row>
    <row r="644" spans="1:23" x14ac:dyDescent="0.3">
      <c r="A644" t="s">
        <v>1265</v>
      </c>
      <c r="B644" t="s">
        <v>1266</v>
      </c>
      <c r="C644" t="s">
        <v>31</v>
      </c>
      <c r="D644" s="5">
        <v>35114</v>
      </c>
      <c r="E644" s="5">
        <v>44667</v>
      </c>
      <c r="F644" t="s">
        <v>1300</v>
      </c>
      <c r="G644" t="s">
        <v>93</v>
      </c>
      <c r="H644" t="s">
        <v>33</v>
      </c>
      <c r="I644" t="s">
        <v>24</v>
      </c>
      <c r="J644">
        <v>3900000</v>
      </c>
      <c r="K644">
        <v>4</v>
      </c>
      <c r="L644">
        <v>3</v>
      </c>
      <c r="M644">
        <v>18</v>
      </c>
      <c r="N644" t="s">
        <v>41</v>
      </c>
      <c r="O644" t="s">
        <v>26</v>
      </c>
      <c r="P644" t="s">
        <v>36</v>
      </c>
      <c r="Q644" s="5"/>
      <c r="S644">
        <f>DATEDIF(D644,DATE(2026,9,30),"Y")</f>
        <v>30</v>
      </c>
      <c r="T644" s="6">
        <f>(IF(Q644="",DATE(2026,9,30),Q644)-E644)/365.25</f>
        <v>4.4572210814510607</v>
      </c>
      <c r="U644" t="str">
        <f>_xlfn.XLOOKUP(Table1_1[[#This Row],[Bo''lim]],Bolimlar!A:A,Bolimlar!B:B,"Topilmadi")</f>
        <v>Shahlo Ismoilova</v>
      </c>
      <c r="V644">
        <f>IF(P644="Ha",1,0)</f>
        <v>0</v>
      </c>
      <c r="W644" t="str">
        <f>IF(T644&lt;1,"1 yildan kam",IF(T644&lt;3,"1-3 yil","3 yildan ko'p"))</f>
        <v>3 yildan ko'p</v>
      </c>
    </row>
    <row r="645" spans="1:23" x14ac:dyDescent="0.3">
      <c r="A645" t="s">
        <v>297</v>
      </c>
      <c r="B645" t="s">
        <v>298</v>
      </c>
      <c r="C645" t="s">
        <v>20</v>
      </c>
      <c r="D645" s="5">
        <v>35084</v>
      </c>
      <c r="E645" s="5">
        <v>45212</v>
      </c>
      <c r="F645" t="s">
        <v>1300</v>
      </c>
      <c r="G645" t="s">
        <v>52</v>
      </c>
      <c r="H645" t="s">
        <v>33</v>
      </c>
      <c r="I645" t="s">
        <v>24</v>
      </c>
      <c r="J645">
        <v>3890000</v>
      </c>
      <c r="K645">
        <v>3</v>
      </c>
      <c r="L645">
        <v>3</v>
      </c>
      <c r="M645">
        <v>20</v>
      </c>
      <c r="N645" t="s">
        <v>88</v>
      </c>
      <c r="O645" t="s">
        <v>26</v>
      </c>
      <c r="P645" t="s">
        <v>36</v>
      </c>
      <c r="Q645" s="5"/>
      <c r="S645">
        <f>DATEDIF(D645,DATE(2026,9,30),"Y")</f>
        <v>30</v>
      </c>
      <c r="T645" s="6">
        <f>(IF(Q645="",DATE(2026,9,30),Q645)-E645)/365.25</f>
        <v>2.9650924024640659</v>
      </c>
      <c r="U645" t="str">
        <f>_xlfn.XLOOKUP(Table1_1[[#This Row],[Bo''lim]],Bolimlar!A:A,Bolimlar!B:B,"Topilmadi")</f>
        <v>Shahlo Ismoilova</v>
      </c>
      <c r="V645">
        <f>IF(P645="Ha",1,0)</f>
        <v>0</v>
      </c>
      <c r="W645" t="str">
        <f>IF(T645&lt;1,"1 yildan kam",IF(T645&lt;3,"1-3 yil","3 yildan ko'p"))</f>
        <v>1-3 yil</v>
      </c>
    </row>
    <row r="646" spans="1:23" x14ac:dyDescent="0.3">
      <c r="A646" t="s">
        <v>632</v>
      </c>
      <c r="B646" t="s">
        <v>38</v>
      </c>
      <c r="C646" t="s">
        <v>31</v>
      </c>
      <c r="D646" s="5">
        <v>38961</v>
      </c>
      <c r="E646" s="5">
        <v>46261</v>
      </c>
      <c r="F646" t="s">
        <v>1300</v>
      </c>
      <c r="G646" t="s">
        <v>52</v>
      </c>
      <c r="H646" t="s">
        <v>33</v>
      </c>
      <c r="I646" t="s">
        <v>24</v>
      </c>
      <c r="J646">
        <v>3880000</v>
      </c>
      <c r="K646">
        <v>4</v>
      </c>
      <c r="L646">
        <v>4</v>
      </c>
      <c r="M646">
        <v>2</v>
      </c>
      <c r="N646" t="s">
        <v>41</v>
      </c>
      <c r="O646" t="s">
        <v>26</v>
      </c>
      <c r="P646" t="s">
        <v>36</v>
      </c>
      <c r="Q646" s="5"/>
      <c r="S646">
        <f>DATEDIF(D646,DATE(2026,9,30),"Y")</f>
        <v>20</v>
      </c>
      <c r="T646" s="6">
        <f>(IF(Q646="",DATE(2026,9,30),Q646)-E646)/365.25</f>
        <v>9.3086926762491445E-2</v>
      </c>
      <c r="U646" t="str">
        <f>_xlfn.XLOOKUP(Table1_1[[#This Row],[Bo''lim]],Bolimlar!A:A,Bolimlar!B:B,"Topilmadi")</f>
        <v>Shahlo Ismoilova</v>
      </c>
      <c r="V646">
        <f>IF(P646="Ha",1,0)</f>
        <v>0</v>
      </c>
      <c r="W646" t="str">
        <f>IF(T646&lt;1,"1 yildan kam",IF(T646&lt;3,"1-3 yil","3 yildan ko'p"))</f>
        <v>1 yildan kam</v>
      </c>
    </row>
    <row r="647" spans="1:23" x14ac:dyDescent="0.3">
      <c r="A647" t="s">
        <v>968</v>
      </c>
      <c r="B647" t="s">
        <v>343</v>
      </c>
      <c r="C647" t="s">
        <v>20</v>
      </c>
      <c r="D647" s="5">
        <v>37097</v>
      </c>
      <c r="E647" s="5">
        <v>45228</v>
      </c>
      <c r="F647" t="s">
        <v>245</v>
      </c>
      <c r="G647" t="s">
        <v>127</v>
      </c>
      <c r="H647" t="s">
        <v>33</v>
      </c>
      <c r="I647" t="s">
        <v>82</v>
      </c>
      <c r="J647">
        <v>3880000</v>
      </c>
      <c r="K647">
        <v>5</v>
      </c>
      <c r="L647">
        <v>3</v>
      </c>
      <c r="M647">
        <v>12</v>
      </c>
      <c r="N647" t="s">
        <v>41</v>
      </c>
      <c r="O647" t="s">
        <v>26</v>
      </c>
      <c r="P647" t="s">
        <v>36</v>
      </c>
      <c r="Q647" s="5"/>
      <c r="S647">
        <f>DATEDIF(D647,DATE(2026,9,30),"Y")</f>
        <v>25</v>
      </c>
      <c r="T647" s="6">
        <f>(IF(Q647="",DATE(2026,9,30),Q647)-E647)/365.25</f>
        <v>2.9212867898699519</v>
      </c>
      <c r="U647" t="str">
        <f>_xlfn.XLOOKUP(Table1_1[[#This Row],[Bo''lim]],Bolimlar!A:A,Bolimlar!B:B,"Topilmadi")</f>
        <v>Dilnoza Rahimova</v>
      </c>
      <c r="V647">
        <f>IF(P647="Ha",1,0)</f>
        <v>0</v>
      </c>
      <c r="W647" t="str">
        <f>IF(T647&lt;1,"1 yildan kam",IF(T647&lt;3,"1-3 yil","3 yildan ko'p"))</f>
        <v>1-3 yil</v>
      </c>
    </row>
    <row r="648" spans="1:23" x14ac:dyDescent="0.3">
      <c r="A648" t="s">
        <v>412</v>
      </c>
      <c r="B648" t="s">
        <v>413</v>
      </c>
      <c r="C648" t="s">
        <v>20</v>
      </c>
      <c r="D648" s="5">
        <v>35268</v>
      </c>
      <c r="E648" s="5">
        <v>44637</v>
      </c>
      <c r="F648" t="s">
        <v>1035</v>
      </c>
      <c r="G648" t="s">
        <v>65</v>
      </c>
      <c r="H648" t="s">
        <v>33</v>
      </c>
      <c r="I648" t="s">
        <v>24</v>
      </c>
      <c r="J648">
        <v>3870000</v>
      </c>
      <c r="K648">
        <v>3</v>
      </c>
      <c r="L648">
        <v>3</v>
      </c>
      <c r="M648">
        <v>23</v>
      </c>
      <c r="N648" t="s">
        <v>41</v>
      </c>
      <c r="O648" t="s">
        <v>26</v>
      </c>
      <c r="P648" t="s">
        <v>36</v>
      </c>
      <c r="Q648" s="5"/>
      <c r="S648">
        <f>DATEDIF(D648,DATE(2026,9,30),"Y")</f>
        <v>30</v>
      </c>
      <c r="T648" s="6">
        <f>(IF(Q648="",DATE(2026,9,30),Q648)-E648)/365.25</f>
        <v>4.5393566050650236</v>
      </c>
      <c r="U648" t="str">
        <f>_xlfn.XLOOKUP(Table1_1[[#This Row],[Bo''lim]],Bolimlar!A:A,Bolimlar!B:B,"Topilmadi")</f>
        <v>Aziz Karimov</v>
      </c>
      <c r="V648">
        <f>IF(P648="Ha",1,0)</f>
        <v>0</v>
      </c>
      <c r="W648" t="str">
        <f>IF(T648&lt;1,"1 yildan kam",IF(T648&lt;3,"1-3 yil","3 yildan ko'p"))</f>
        <v>3 yildan ko'p</v>
      </c>
    </row>
    <row r="649" spans="1:23" x14ac:dyDescent="0.3">
      <c r="A649" t="s">
        <v>1071</v>
      </c>
      <c r="B649" t="s">
        <v>1072</v>
      </c>
      <c r="C649" t="s">
        <v>20</v>
      </c>
      <c r="D649" s="5">
        <v>33637</v>
      </c>
      <c r="E649" s="5">
        <v>43422</v>
      </c>
      <c r="F649" t="s">
        <v>1300</v>
      </c>
      <c r="G649" t="s">
        <v>52</v>
      </c>
      <c r="H649" t="s">
        <v>33</v>
      </c>
      <c r="I649" t="s">
        <v>24</v>
      </c>
      <c r="J649">
        <v>3860000</v>
      </c>
      <c r="K649">
        <v>4</v>
      </c>
      <c r="L649">
        <v>3</v>
      </c>
      <c r="M649">
        <v>35</v>
      </c>
      <c r="N649" t="s">
        <v>25</v>
      </c>
      <c r="O649" t="s">
        <v>26</v>
      </c>
      <c r="P649" t="s">
        <v>27</v>
      </c>
      <c r="Q649" s="5">
        <v>46082</v>
      </c>
      <c r="R649" t="s">
        <v>155</v>
      </c>
      <c r="S649">
        <f>DATEDIF(D649,DATE(2026,9,30),"Y")</f>
        <v>34</v>
      </c>
      <c r="T649" s="6">
        <f>(IF(Q649="",DATE(2026,9,30),Q649)-E649)/365.25</f>
        <v>7.2826830937713893</v>
      </c>
      <c r="U649" t="str">
        <f>_xlfn.XLOOKUP(Table1_1[[#This Row],[Bo''lim]],Bolimlar!A:A,Bolimlar!B:B,"Topilmadi")</f>
        <v>Shahlo Ismoilova</v>
      </c>
      <c r="V649">
        <f>IF(P649="Ha",1,0)</f>
        <v>1</v>
      </c>
      <c r="W649" t="str">
        <f>IF(T649&lt;1,"1 yildan kam",IF(T649&lt;3,"1-3 yil","3 yildan ko'p"))</f>
        <v>3 yildan ko'p</v>
      </c>
    </row>
    <row r="650" spans="1:23" x14ac:dyDescent="0.3">
      <c r="A650" t="s">
        <v>327</v>
      </c>
      <c r="B650" t="s">
        <v>328</v>
      </c>
      <c r="C650" t="s">
        <v>20</v>
      </c>
      <c r="D650" s="5">
        <v>34459</v>
      </c>
      <c r="E650" s="5">
        <v>44475</v>
      </c>
      <c r="F650" t="s">
        <v>1300</v>
      </c>
      <c r="G650" t="s">
        <v>52</v>
      </c>
      <c r="H650" t="s">
        <v>33</v>
      </c>
      <c r="I650" t="s">
        <v>24</v>
      </c>
      <c r="J650">
        <v>3850000</v>
      </c>
      <c r="K650">
        <v>4</v>
      </c>
      <c r="L650">
        <v>5</v>
      </c>
      <c r="M650">
        <v>9</v>
      </c>
      <c r="N650" t="s">
        <v>88</v>
      </c>
      <c r="O650" t="s">
        <v>26</v>
      </c>
      <c r="P650" t="s">
        <v>36</v>
      </c>
      <c r="Q650" s="5"/>
      <c r="S650">
        <f>DATEDIF(D650,DATE(2026,9,30),"Y")</f>
        <v>32</v>
      </c>
      <c r="T650" s="6">
        <f>(IF(Q650="",DATE(2026,9,30),Q650)-E650)/365.25</f>
        <v>4.9828884325804248</v>
      </c>
      <c r="U650" t="str">
        <f>_xlfn.XLOOKUP(Table1_1[[#This Row],[Bo''lim]],Bolimlar!A:A,Bolimlar!B:B,"Topilmadi")</f>
        <v>Shahlo Ismoilova</v>
      </c>
      <c r="V650">
        <f>IF(P650="Ha",1,0)</f>
        <v>0</v>
      </c>
      <c r="W650" t="str">
        <f>IF(T650&lt;1,"1 yildan kam",IF(T650&lt;3,"1-3 yil","3 yildan ko'p"))</f>
        <v>3 yildan ko'p</v>
      </c>
    </row>
    <row r="651" spans="1:23" x14ac:dyDescent="0.3">
      <c r="A651" t="s">
        <v>692</v>
      </c>
      <c r="B651" t="s">
        <v>693</v>
      </c>
      <c r="C651" t="s">
        <v>20</v>
      </c>
      <c r="D651" s="5">
        <v>31336</v>
      </c>
      <c r="E651" s="5">
        <v>46059</v>
      </c>
      <c r="F651" t="s">
        <v>484</v>
      </c>
      <c r="G651" t="s">
        <v>196</v>
      </c>
      <c r="H651" t="s">
        <v>33</v>
      </c>
      <c r="I651" t="s">
        <v>24</v>
      </c>
      <c r="J651">
        <v>3850000</v>
      </c>
      <c r="K651">
        <v>5</v>
      </c>
      <c r="L651">
        <v>3</v>
      </c>
      <c r="M651">
        <v>0</v>
      </c>
      <c r="N651" t="s">
        <v>41</v>
      </c>
      <c r="O651" t="s">
        <v>53</v>
      </c>
      <c r="P651" t="s">
        <v>36</v>
      </c>
      <c r="Q651" s="5"/>
      <c r="S651">
        <f>DATEDIF(D651,DATE(2026,9,30),"Y")</f>
        <v>40</v>
      </c>
      <c r="T651" s="6">
        <f>(IF(Q651="",DATE(2026,9,30),Q651)-E651)/365.25</f>
        <v>0.6461327857631759</v>
      </c>
      <c r="U651" t="str">
        <f>_xlfn.XLOOKUP(Table1_1[[#This Row],[Bo''lim]],Bolimlar!A:A,Bolimlar!B:B,"Topilmadi")</f>
        <v>Sardor Nazarov</v>
      </c>
      <c r="V651">
        <f>IF(P651="Ha",1,0)</f>
        <v>0</v>
      </c>
      <c r="W651" t="str">
        <f>IF(T651&lt;1,"1 yildan kam",IF(T651&lt;3,"1-3 yil","3 yildan ko'p"))</f>
        <v>1 yildan kam</v>
      </c>
    </row>
    <row r="652" spans="1:23" x14ac:dyDescent="0.3">
      <c r="A652" t="s">
        <v>1026</v>
      </c>
      <c r="B652" t="s">
        <v>275</v>
      </c>
      <c r="C652" t="s">
        <v>20</v>
      </c>
      <c r="D652" s="5">
        <v>33899</v>
      </c>
      <c r="E652" s="5">
        <v>46149</v>
      </c>
      <c r="F652" t="s">
        <v>1300</v>
      </c>
      <c r="G652" t="s">
        <v>52</v>
      </c>
      <c r="H652" t="s">
        <v>33</v>
      </c>
      <c r="I652" t="s">
        <v>44</v>
      </c>
      <c r="J652">
        <v>3850000</v>
      </c>
      <c r="K652">
        <v>3</v>
      </c>
      <c r="L652">
        <v>4</v>
      </c>
      <c r="M652">
        <v>13</v>
      </c>
      <c r="N652" t="s">
        <v>88</v>
      </c>
      <c r="O652" t="s">
        <v>26</v>
      </c>
      <c r="P652" t="s">
        <v>36</v>
      </c>
      <c r="Q652" s="5"/>
      <c r="S652">
        <f>DATEDIF(D652,DATE(2026,9,30),"Y")</f>
        <v>33</v>
      </c>
      <c r="T652" s="6">
        <f>(IF(Q652="",DATE(2026,9,30),Q652)-E652)/365.25</f>
        <v>0.39972621492128679</v>
      </c>
      <c r="U652" t="str">
        <f>_xlfn.XLOOKUP(Table1_1[[#This Row],[Bo''lim]],Bolimlar!A:A,Bolimlar!B:B,"Topilmadi")</f>
        <v>Shahlo Ismoilova</v>
      </c>
      <c r="V652">
        <f>IF(P652="Ha",1,0)</f>
        <v>0</v>
      </c>
      <c r="W652" t="str">
        <f>IF(T652&lt;1,"1 yildan kam",IF(T652&lt;3,"1-3 yil","3 yildan ko'p"))</f>
        <v>1 yildan kam</v>
      </c>
    </row>
    <row r="653" spans="1:23" x14ac:dyDescent="0.3">
      <c r="A653" t="s">
        <v>516</v>
      </c>
      <c r="B653" t="s">
        <v>113</v>
      </c>
      <c r="C653" t="s">
        <v>20</v>
      </c>
      <c r="D653" s="5">
        <v>32972</v>
      </c>
      <c r="E653" s="5">
        <v>44485</v>
      </c>
      <c r="F653" t="s">
        <v>1035</v>
      </c>
      <c r="G653" t="s">
        <v>79</v>
      </c>
      <c r="H653" t="s">
        <v>33</v>
      </c>
      <c r="I653" t="s">
        <v>82</v>
      </c>
      <c r="J653">
        <v>3840000</v>
      </c>
      <c r="K653">
        <v>2</v>
      </c>
      <c r="L653">
        <v>4</v>
      </c>
      <c r="M653">
        <v>22</v>
      </c>
      <c r="N653" t="s">
        <v>25</v>
      </c>
      <c r="O653" t="s">
        <v>26</v>
      </c>
      <c r="P653" t="s">
        <v>36</v>
      </c>
      <c r="Q653" s="5"/>
      <c r="S653">
        <f>DATEDIF(D653,DATE(2026,9,30),"Y")</f>
        <v>36</v>
      </c>
      <c r="T653" s="6">
        <f>(IF(Q653="",DATE(2026,9,30),Q653)-E653)/365.25</f>
        <v>4.9555099247091032</v>
      </c>
      <c r="U653" t="str">
        <f>_xlfn.XLOOKUP(Table1_1[[#This Row],[Bo''lim]],Bolimlar!A:A,Bolimlar!B:B,"Topilmadi")</f>
        <v>Aziz Karimov</v>
      </c>
      <c r="V653">
        <f>IF(P653="Ha",1,0)</f>
        <v>0</v>
      </c>
      <c r="W653" t="str">
        <f>IF(T653&lt;1,"1 yildan kam",IF(T653&lt;3,"1-3 yil","3 yildan ko'p"))</f>
        <v>3 yildan ko'p</v>
      </c>
    </row>
    <row r="654" spans="1:23" x14ac:dyDescent="0.3">
      <c r="A654" t="s">
        <v>814</v>
      </c>
      <c r="B654" t="s">
        <v>495</v>
      </c>
      <c r="C654" t="s">
        <v>20</v>
      </c>
      <c r="D654" s="5">
        <v>34943</v>
      </c>
      <c r="E654" s="5">
        <v>45795</v>
      </c>
      <c r="F654" t="s">
        <v>1226</v>
      </c>
      <c r="G654" t="s">
        <v>142</v>
      </c>
      <c r="H654" t="s">
        <v>33</v>
      </c>
      <c r="I654" t="s">
        <v>24</v>
      </c>
      <c r="J654">
        <v>3830000</v>
      </c>
      <c r="K654">
        <v>3</v>
      </c>
      <c r="L654">
        <v>2</v>
      </c>
      <c r="M654">
        <v>19</v>
      </c>
      <c r="N654" t="s">
        <v>41</v>
      </c>
      <c r="O654" t="s">
        <v>26</v>
      </c>
      <c r="P654" t="s">
        <v>36</v>
      </c>
      <c r="Q654" s="5"/>
      <c r="S654">
        <f>DATEDIF(D654,DATE(2026,9,30),"Y")</f>
        <v>31</v>
      </c>
      <c r="T654" s="6">
        <f>(IF(Q654="",DATE(2026,9,30),Q654)-E654)/365.25</f>
        <v>1.3689253935660506</v>
      </c>
      <c r="U654" t="str">
        <f>_xlfn.XLOOKUP(Table1_1[[#This Row],[Bo''lim]],Bolimlar!A:A,Bolimlar!B:B,"Topilmadi")</f>
        <v>Madina Abdullayeva</v>
      </c>
      <c r="V654">
        <f>IF(P654="Ha",1,0)</f>
        <v>0</v>
      </c>
      <c r="W654" t="str">
        <f>IF(T654&lt;1,"1 yildan kam",IF(T654&lt;3,"1-3 yil","3 yildan ko'p"))</f>
        <v>1-3 yil</v>
      </c>
    </row>
    <row r="655" spans="1:23" x14ac:dyDescent="0.3">
      <c r="A655" t="s">
        <v>1164</v>
      </c>
      <c r="B655" t="s">
        <v>563</v>
      </c>
      <c r="C655" t="s">
        <v>31</v>
      </c>
      <c r="D655" s="5">
        <v>37147</v>
      </c>
      <c r="E655" s="5">
        <v>45676</v>
      </c>
      <c r="F655" t="s">
        <v>484</v>
      </c>
      <c r="G655" t="s">
        <v>196</v>
      </c>
      <c r="H655" t="s">
        <v>33</v>
      </c>
      <c r="I655" t="s">
        <v>96</v>
      </c>
      <c r="J655">
        <v>3830000</v>
      </c>
      <c r="K655">
        <v>5</v>
      </c>
      <c r="L655">
        <v>4</v>
      </c>
      <c r="M655">
        <v>33</v>
      </c>
      <c r="N655" t="s">
        <v>25</v>
      </c>
      <c r="O655" t="s">
        <v>26</v>
      </c>
      <c r="P655" t="s">
        <v>27</v>
      </c>
      <c r="Q655" s="5">
        <v>46265</v>
      </c>
      <c r="R655" t="s">
        <v>155</v>
      </c>
      <c r="S655">
        <f>DATEDIF(D655,DATE(2026,9,30),"Y")</f>
        <v>25</v>
      </c>
      <c r="T655" s="6">
        <f>(IF(Q655="",DATE(2026,9,30),Q655)-E655)/365.25</f>
        <v>1.6125941136208077</v>
      </c>
      <c r="U655" t="str">
        <f>_xlfn.XLOOKUP(Table1_1[[#This Row],[Bo''lim]],Bolimlar!A:A,Bolimlar!B:B,"Topilmadi")</f>
        <v>Sardor Nazarov</v>
      </c>
      <c r="V655">
        <f>IF(P655="Ha",1,0)</f>
        <v>1</v>
      </c>
      <c r="W655" t="str">
        <f>IF(T655&lt;1,"1 yildan kam",IF(T655&lt;3,"1-3 yil","3 yildan ko'p"))</f>
        <v>1-3 yil</v>
      </c>
    </row>
    <row r="656" spans="1:23" x14ac:dyDescent="0.3">
      <c r="A656" t="s">
        <v>706</v>
      </c>
      <c r="B656" t="s">
        <v>304</v>
      </c>
      <c r="C656" t="s">
        <v>20</v>
      </c>
      <c r="D656" s="5">
        <v>34588</v>
      </c>
      <c r="E656" s="5">
        <v>44195</v>
      </c>
      <c r="F656" t="s">
        <v>245</v>
      </c>
      <c r="G656" t="s">
        <v>48</v>
      </c>
      <c r="H656" t="s">
        <v>33</v>
      </c>
      <c r="I656" t="s">
        <v>34</v>
      </c>
      <c r="J656">
        <v>3820000</v>
      </c>
      <c r="K656">
        <v>3</v>
      </c>
      <c r="L656">
        <v>3</v>
      </c>
      <c r="M656">
        <v>0</v>
      </c>
      <c r="N656" t="s">
        <v>88</v>
      </c>
      <c r="O656" t="s">
        <v>53</v>
      </c>
      <c r="P656" t="s">
        <v>27</v>
      </c>
      <c r="Q656" s="5">
        <v>45974</v>
      </c>
      <c r="R656" t="s">
        <v>28</v>
      </c>
      <c r="S656">
        <f>DATEDIF(D656,DATE(2026,9,30),"Y")</f>
        <v>32</v>
      </c>
      <c r="T656" s="6">
        <f>(IF(Q656="",DATE(2026,9,30),Q656)-E656)/365.25</f>
        <v>4.8706365503080082</v>
      </c>
      <c r="U656" t="str">
        <f>_xlfn.XLOOKUP(Table1_1[[#This Row],[Bo''lim]],Bolimlar!A:A,Bolimlar!B:B,"Topilmadi")</f>
        <v>Dilnoza Rahimova</v>
      </c>
      <c r="V656">
        <f>IF(P656="Ha",1,0)</f>
        <v>1</v>
      </c>
      <c r="W656" t="str">
        <f>IF(T656&lt;1,"1 yildan kam",IF(T656&lt;3,"1-3 yil","3 yildan ko'p"))</f>
        <v>3 yildan ko'p</v>
      </c>
    </row>
    <row r="657" spans="1:23" x14ac:dyDescent="0.3">
      <c r="A657" t="s">
        <v>148</v>
      </c>
      <c r="B657" t="s">
        <v>149</v>
      </c>
      <c r="C657" t="s">
        <v>31</v>
      </c>
      <c r="D657" s="5">
        <v>33337</v>
      </c>
      <c r="E657" s="5">
        <v>45213</v>
      </c>
      <c r="F657" t="s">
        <v>484</v>
      </c>
      <c r="G657" t="s">
        <v>150</v>
      </c>
      <c r="H657" t="s">
        <v>33</v>
      </c>
      <c r="I657" t="s">
        <v>96</v>
      </c>
      <c r="J657">
        <v>3800000</v>
      </c>
      <c r="K657">
        <v>5</v>
      </c>
      <c r="L657">
        <v>3</v>
      </c>
      <c r="M657">
        <v>15</v>
      </c>
      <c r="N657" t="s">
        <v>41</v>
      </c>
      <c r="O657" t="s">
        <v>35</v>
      </c>
      <c r="P657" t="s">
        <v>36</v>
      </c>
      <c r="Q657" s="5"/>
      <c r="S657">
        <f>DATEDIF(D657,DATE(2026,9,30),"Y")</f>
        <v>35</v>
      </c>
      <c r="T657" s="6">
        <f>(IF(Q657="",DATE(2026,9,30),Q657)-E657)/365.25</f>
        <v>2.9623545516769334</v>
      </c>
      <c r="U657" t="str">
        <f>_xlfn.XLOOKUP(Table1_1[[#This Row],[Bo''lim]],Bolimlar!A:A,Bolimlar!B:B,"Topilmadi")</f>
        <v>Sardor Nazarov</v>
      </c>
      <c r="V657">
        <f>IF(P657="Ha",1,0)</f>
        <v>0</v>
      </c>
      <c r="W657" t="str">
        <f>IF(T657&lt;1,"1 yildan kam",IF(T657&lt;3,"1-3 yil","3 yildan ko'p"))</f>
        <v>1-3 yil</v>
      </c>
    </row>
    <row r="658" spans="1:23" x14ac:dyDescent="0.3">
      <c r="A658" t="s">
        <v>643</v>
      </c>
      <c r="B658" t="s">
        <v>556</v>
      </c>
      <c r="C658" t="s">
        <v>31</v>
      </c>
      <c r="D658" s="5">
        <v>33643</v>
      </c>
      <c r="E658" s="5">
        <v>46051</v>
      </c>
      <c r="F658" t="s">
        <v>1226</v>
      </c>
      <c r="G658" t="s">
        <v>60</v>
      </c>
      <c r="H658" t="s">
        <v>33</v>
      </c>
      <c r="I658" t="s">
        <v>44</v>
      </c>
      <c r="J658">
        <v>3790000</v>
      </c>
      <c r="K658">
        <v>3</v>
      </c>
      <c r="L658">
        <v>5</v>
      </c>
      <c r="M658">
        <v>19</v>
      </c>
      <c r="N658" t="s">
        <v>41</v>
      </c>
      <c r="P658" t="s">
        <v>36</v>
      </c>
      <c r="Q658" s="5"/>
      <c r="S658">
        <f>DATEDIF(D658,DATE(2026,9,30),"Y")</f>
        <v>34</v>
      </c>
      <c r="T658" s="6">
        <f>(IF(Q658="",DATE(2026,9,30),Q658)-E658)/365.25</f>
        <v>0.66803559206023266</v>
      </c>
      <c r="U658" t="str">
        <f>_xlfn.XLOOKUP(Table1_1[[#This Row],[Bo''lim]],Bolimlar!A:A,Bolimlar!B:B,"Topilmadi")</f>
        <v>Madina Abdullayeva</v>
      </c>
      <c r="V658">
        <f>IF(P658="Ha",1,0)</f>
        <v>0</v>
      </c>
      <c r="W658" t="str">
        <f>IF(T658&lt;1,"1 yildan kam",IF(T658&lt;3,"1-3 yil","3 yildan ko'p"))</f>
        <v>1 yildan kam</v>
      </c>
    </row>
    <row r="659" spans="1:23" x14ac:dyDescent="0.3">
      <c r="A659" t="s">
        <v>300</v>
      </c>
      <c r="B659" t="s">
        <v>301</v>
      </c>
      <c r="C659" t="s">
        <v>20</v>
      </c>
      <c r="D659" s="5">
        <v>37357</v>
      </c>
      <c r="E659" s="5">
        <v>46144</v>
      </c>
      <c r="F659" t="s">
        <v>1226</v>
      </c>
      <c r="G659" t="s">
        <v>60</v>
      </c>
      <c r="H659" t="s">
        <v>33</v>
      </c>
      <c r="I659" t="s">
        <v>24</v>
      </c>
      <c r="J659">
        <v>3780000</v>
      </c>
      <c r="K659">
        <v>2</v>
      </c>
      <c r="L659">
        <v>1</v>
      </c>
      <c r="M659">
        <v>27</v>
      </c>
      <c r="N659" t="s">
        <v>25</v>
      </c>
      <c r="O659" t="s">
        <v>26</v>
      </c>
      <c r="P659" t="s">
        <v>36</v>
      </c>
      <c r="Q659" s="5"/>
      <c r="S659">
        <f>DATEDIF(D659,DATE(2026,9,30),"Y")</f>
        <v>24</v>
      </c>
      <c r="T659" s="6">
        <f>(IF(Q659="",DATE(2026,9,30),Q659)-E659)/365.25</f>
        <v>0.4134154688569473</v>
      </c>
      <c r="U659" t="str">
        <f>_xlfn.XLOOKUP(Table1_1[[#This Row],[Bo''lim]],Bolimlar!A:A,Bolimlar!B:B,"Topilmadi")</f>
        <v>Madina Abdullayeva</v>
      </c>
      <c r="V659">
        <f>IF(P659="Ha",1,0)</f>
        <v>0</v>
      </c>
      <c r="W659" t="str">
        <f>IF(T659&lt;1,"1 yildan kam",IF(T659&lt;3,"1-3 yil","3 yildan ko'p"))</f>
        <v>1 yildan kam</v>
      </c>
    </row>
    <row r="660" spans="1:23" x14ac:dyDescent="0.3">
      <c r="A660" t="s">
        <v>557</v>
      </c>
      <c r="B660" t="s">
        <v>558</v>
      </c>
      <c r="C660" t="s">
        <v>20</v>
      </c>
      <c r="D660" s="5">
        <v>36085</v>
      </c>
      <c r="E660" s="5">
        <v>44923</v>
      </c>
      <c r="F660" t="s">
        <v>1035</v>
      </c>
      <c r="G660" t="s">
        <v>73</v>
      </c>
      <c r="H660" t="s">
        <v>33</v>
      </c>
      <c r="I660" t="s">
        <v>44</v>
      </c>
      <c r="J660">
        <v>3770000</v>
      </c>
      <c r="K660">
        <v>2</v>
      </c>
      <c r="L660">
        <v>2</v>
      </c>
      <c r="M660">
        <v>19</v>
      </c>
      <c r="N660" t="s">
        <v>41</v>
      </c>
      <c r="O660" t="s">
        <v>26</v>
      </c>
      <c r="P660" t="s">
        <v>36</v>
      </c>
      <c r="Q660" s="5"/>
      <c r="S660">
        <f>DATEDIF(D660,DATE(2026,9,30),"Y")</f>
        <v>27</v>
      </c>
      <c r="T660" s="6">
        <f>(IF(Q660="",DATE(2026,9,30),Q660)-E660)/365.25</f>
        <v>3.7563312799452429</v>
      </c>
      <c r="U660" t="str">
        <f>_xlfn.XLOOKUP(Table1_1[[#This Row],[Bo''lim]],Bolimlar!A:A,Bolimlar!B:B,"Topilmadi")</f>
        <v>Aziz Karimov</v>
      </c>
      <c r="V660">
        <f>IF(P660="Ha",1,0)</f>
        <v>0</v>
      </c>
      <c r="W660" t="str">
        <f>IF(T660&lt;1,"1 yildan kam",IF(T660&lt;3,"1-3 yil","3 yildan ko'p"))</f>
        <v>3 yildan ko'p</v>
      </c>
    </row>
    <row r="661" spans="1:23" x14ac:dyDescent="0.3">
      <c r="A661" t="s">
        <v>736</v>
      </c>
      <c r="B661" t="s">
        <v>376</v>
      </c>
      <c r="C661" t="s">
        <v>20</v>
      </c>
      <c r="D661" s="5">
        <v>33296</v>
      </c>
      <c r="E661" s="5">
        <v>43852</v>
      </c>
      <c r="F661" t="s">
        <v>245</v>
      </c>
      <c r="G661" t="s">
        <v>127</v>
      </c>
      <c r="H661" t="s">
        <v>33</v>
      </c>
      <c r="I661" t="s">
        <v>82</v>
      </c>
      <c r="J661">
        <v>3760000</v>
      </c>
      <c r="K661">
        <v>3</v>
      </c>
      <c r="L661">
        <v>3</v>
      </c>
      <c r="M661">
        <v>10</v>
      </c>
      <c r="N661" t="s">
        <v>25</v>
      </c>
      <c r="O661" t="s">
        <v>53</v>
      </c>
      <c r="P661" t="s">
        <v>36</v>
      </c>
      <c r="Q661" s="5"/>
      <c r="S661">
        <f>DATEDIF(D661,DATE(2026,9,30),"Y")</f>
        <v>35</v>
      </c>
      <c r="T661" s="6">
        <f>(IF(Q661="",DATE(2026,9,30),Q661)-E661)/365.25</f>
        <v>6.6885694729637235</v>
      </c>
      <c r="U661" t="str">
        <f>_xlfn.XLOOKUP(Table1_1[[#This Row],[Bo''lim]],Bolimlar!A:A,Bolimlar!B:B,"Topilmadi")</f>
        <v>Dilnoza Rahimova</v>
      </c>
      <c r="V661">
        <f>IF(P661="Ha",1,0)</f>
        <v>0</v>
      </c>
      <c r="W661" t="str">
        <f>IF(T661&lt;1,"1 yildan kam",IF(T661&lt;3,"1-3 yil","3 yildan ko'p"))</f>
        <v>3 yildan ko'p</v>
      </c>
    </row>
    <row r="662" spans="1:23" x14ac:dyDescent="0.3">
      <c r="A662" t="s">
        <v>1107</v>
      </c>
      <c r="B662" t="s">
        <v>658</v>
      </c>
      <c r="C662" t="s">
        <v>31</v>
      </c>
      <c r="D662" s="5">
        <v>34977</v>
      </c>
      <c r="E662" s="5">
        <v>44191</v>
      </c>
      <c r="F662" t="s">
        <v>1226</v>
      </c>
      <c r="G662" t="s">
        <v>142</v>
      </c>
      <c r="H662" t="s">
        <v>33</v>
      </c>
      <c r="I662" t="s">
        <v>24</v>
      </c>
      <c r="J662">
        <v>3760000</v>
      </c>
      <c r="K662">
        <v>5</v>
      </c>
      <c r="L662">
        <v>4</v>
      </c>
      <c r="M662">
        <v>16</v>
      </c>
      <c r="N662" t="s">
        <v>41</v>
      </c>
      <c r="O662" t="s">
        <v>26</v>
      </c>
      <c r="P662" t="s">
        <v>36</v>
      </c>
      <c r="Q662" s="5"/>
      <c r="S662">
        <f>DATEDIF(D662,DATE(2026,9,30),"Y")</f>
        <v>30</v>
      </c>
      <c r="T662" s="6">
        <f>(IF(Q662="",DATE(2026,9,30),Q662)-E662)/365.25</f>
        <v>5.760438056125941</v>
      </c>
      <c r="U662" t="str">
        <f>_xlfn.XLOOKUP(Table1_1[[#This Row],[Bo''lim]],Bolimlar!A:A,Bolimlar!B:B,"Topilmadi")</f>
        <v>Madina Abdullayeva</v>
      </c>
      <c r="V662">
        <f>IF(P662="Ha",1,0)</f>
        <v>0</v>
      </c>
      <c r="W662" t="str">
        <f>IF(T662&lt;1,"1 yildan kam",IF(T662&lt;3,"1-3 yil","3 yildan ko'p"))</f>
        <v>3 yildan ko'p</v>
      </c>
    </row>
    <row r="663" spans="1:23" x14ac:dyDescent="0.3">
      <c r="A663" t="s">
        <v>1210</v>
      </c>
      <c r="B663" t="s">
        <v>655</v>
      </c>
      <c r="C663" t="s">
        <v>20</v>
      </c>
      <c r="D663" s="5">
        <v>34029</v>
      </c>
      <c r="E663" s="5">
        <v>44995</v>
      </c>
      <c r="F663" t="s">
        <v>245</v>
      </c>
      <c r="G663" t="s">
        <v>48</v>
      </c>
      <c r="H663" t="s">
        <v>33</v>
      </c>
      <c r="I663" t="s">
        <v>44</v>
      </c>
      <c r="J663">
        <v>3760000</v>
      </c>
      <c r="K663">
        <v>3</v>
      </c>
      <c r="L663">
        <v>4</v>
      </c>
      <c r="M663">
        <v>0</v>
      </c>
      <c r="N663" t="s">
        <v>25</v>
      </c>
      <c r="O663" t="s">
        <v>26</v>
      </c>
      <c r="P663" t="s">
        <v>36</v>
      </c>
      <c r="Q663" s="5"/>
      <c r="S663">
        <f>DATEDIF(D663,DATE(2026,9,30),"Y")</f>
        <v>33</v>
      </c>
      <c r="T663" s="6">
        <f>(IF(Q663="",DATE(2026,9,30),Q663)-E663)/365.25</f>
        <v>3.5592060232717317</v>
      </c>
      <c r="U663" t="str">
        <f>_xlfn.XLOOKUP(Table1_1[[#This Row],[Bo''lim]],Bolimlar!A:A,Bolimlar!B:B,"Topilmadi")</f>
        <v>Dilnoza Rahimova</v>
      </c>
      <c r="V663">
        <f>IF(P663="Ha",1,0)</f>
        <v>0</v>
      </c>
      <c r="W663" t="str">
        <f>IF(T663&lt;1,"1 yildan kam",IF(T663&lt;3,"1-3 yil","3 yildan ko'p"))</f>
        <v>3 yildan ko'p</v>
      </c>
    </row>
    <row r="664" spans="1:23" x14ac:dyDescent="0.3">
      <c r="A664" t="s">
        <v>545</v>
      </c>
      <c r="B664" t="s">
        <v>304</v>
      </c>
      <c r="C664" t="s">
        <v>20</v>
      </c>
      <c r="D664" s="5">
        <v>36851</v>
      </c>
      <c r="E664" s="5">
        <v>45267</v>
      </c>
      <c r="F664" t="s">
        <v>1300</v>
      </c>
      <c r="G664" t="s">
        <v>52</v>
      </c>
      <c r="H664" t="s">
        <v>33</v>
      </c>
      <c r="I664" t="s">
        <v>96</v>
      </c>
      <c r="J664">
        <v>3740000</v>
      </c>
      <c r="K664">
        <v>4</v>
      </c>
      <c r="L664">
        <v>3</v>
      </c>
      <c r="M664">
        <v>14</v>
      </c>
      <c r="N664" t="s">
        <v>25</v>
      </c>
      <c r="O664" t="s">
        <v>35</v>
      </c>
      <c r="P664" t="s">
        <v>36</v>
      </c>
      <c r="Q664" s="5"/>
      <c r="S664">
        <f>DATEDIF(D664,DATE(2026,9,30),"Y")</f>
        <v>25</v>
      </c>
      <c r="T664" s="6">
        <f>(IF(Q664="",DATE(2026,9,30),Q664)-E664)/365.25</f>
        <v>2.8145106091718</v>
      </c>
      <c r="U664" t="str">
        <f>_xlfn.XLOOKUP(Table1_1[[#This Row],[Bo''lim]],Bolimlar!A:A,Bolimlar!B:B,"Topilmadi")</f>
        <v>Shahlo Ismoilova</v>
      </c>
      <c r="V664">
        <f>IF(P664="Ha",1,0)</f>
        <v>0</v>
      </c>
      <c r="W664" t="str">
        <f>IF(T664&lt;1,"1 yildan kam",IF(T664&lt;3,"1-3 yil","3 yildan ko'p"))</f>
        <v>1-3 yil</v>
      </c>
    </row>
    <row r="665" spans="1:23" x14ac:dyDescent="0.3">
      <c r="A665" t="s">
        <v>263</v>
      </c>
      <c r="B665" t="s">
        <v>202</v>
      </c>
      <c r="C665" t="s">
        <v>20</v>
      </c>
      <c r="D665" s="5">
        <v>35527</v>
      </c>
      <c r="E665" s="5">
        <v>45605</v>
      </c>
      <c r="F665" t="s">
        <v>1035</v>
      </c>
      <c r="G665" t="s">
        <v>73</v>
      </c>
      <c r="H665" t="s">
        <v>33</v>
      </c>
      <c r="I665" t="s">
        <v>96</v>
      </c>
      <c r="J665">
        <v>3730000</v>
      </c>
      <c r="K665">
        <v>4</v>
      </c>
      <c r="L665">
        <v>3</v>
      </c>
      <c r="M665">
        <v>30</v>
      </c>
      <c r="N665" t="s">
        <v>88</v>
      </c>
      <c r="O665" t="s">
        <v>26</v>
      </c>
      <c r="P665" t="s">
        <v>36</v>
      </c>
      <c r="Q665" s="5"/>
      <c r="S665">
        <f>DATEDIF(D665,DATE(2026,9,30),"Y")</f>
        <v>29</v>
      </c>
      <c r="T665" s="6">
        <f>(IF(Q665="",DATE(2026,9,30),Q665)-E665)/365.25</f>
        <v>1.8891170431211499</v>
      </c>
      <c r="U665" t="str">
        <f>_xlfn.XLOOKUP(Table1_1[[#This Row],[Bo''lim]],Bolimlar!A:A,Bolimlar!B:B,"Topilmadi")</f>
        <v>Aziz Karimov</v>
      </c>
      <c r="V665">
        <f>IF(P665="Ha",1,0)</f>
        <v>0</v>
      </c>
      <c r="W665" t="str">
        <f>IF(T665&lt;1,"1 yildan kam",IF(T665&lt;3,"1-3 yil","3 yildan ko'p"))</f>
        <v>1-3 yil</v>
      </c>
    </row>
    <row r="666" spans="1:23" x14ac:dyDescent="0.3">
      <c r="A666" t="s">
        <v>979</v>
      </c>
      <c r="B666" t="s">
        <v>817</v>
      </c>
      <c r="C666" t="s">
        <v>20</v>
      </c>
      <c r="D666" s="5">
        <v>35209</v>
      </c>
      <c r="E666" s="5">
        <v>44506</v>
      </c>
      <c r="F666" t="s">
        <v>484</v>
      </c>
      <c r="G666" t="s">
        <v>115</v>
      </c>
      <c r="H666" t="s">
        <v>33</v>
      </c>
      <c r="I666" t="s">
        <v>96</v>
      </c>
      <c r="J666">
        <v>3730000</v>
      </c>
      <c r="K666">
        <v>3</v>
      </c>
      <c r="L666">
        <v>3</v>
      </c>
      <c r="M666">
        <v>8</v>
      </c>
      <c r="N666" t="s">
        <v>41</v>
      </c>
      <c r="O666" t="s">
        <v>35</v>
      </c>
      <c r="P666" t="s">
        <v>27</v>
      </c>
      <c r="Q666" s="5">
        <v>45817</v>
      </c>
      <c r="R666" t="s">
        <v>28</v>
      </c>
      <c r="S666">
        <f>DATEDIF(D666,DATE(2026,9,30),"Y")</f>
        <v>30</v>
      </c>
      <c r="T666" s="6">
        <f>(IF(Q666="",DATE(2026,9,30),Q666)-E666)/365.25</f>
        <v>3.5893223819301849</v>
      </c>
      <c r="U666" t="str">
        <f>_xlfn.XLOOKUP(Table1_1[[#This Row],[Bo''lim]],Bolimlar!A:A,Bolimlar!B:B,"Topilmadi")</f>
        <v>Sardor Nazarov</v>
      </c>
      <c r="V666">
        <f>IF(P666="Ha",1,0)</f>
        <v>1</v>
      </c>
      <c r="W666" t="str">
        <f>IF(T666&lt;1,"1 yildan kam",IF(T666&lt;3,"1-3 yil","3 yildan ko'p"))</f>
        <v>3 yildan ko'p</v>
      </c>
    </row>
    <row r="667" spans="1:23" x14ac:dyDescent="0.3">
      <c r="A667" t="s">
        <v>122</v>
      </c>
      <c r="B667" t="s">
        <v>72</v>
      </c>
      <c r="C667" t="s">
        <v>20</v>
      </c>
      <c r="D667" s="5">
        <v>30416</v>
      </c>
      <c r="E667" s="5">
        <v>44674</v>
      </c>
      <c r="F667" t="s">
        <v>1300</v>
      </c>
      <c r="G667" t="s">
        <v>52</v>
      </c>
      <c r="H667" t="s">
        <v>33</v>
      </c>
      <c r="I667" t="s">
        <v>96</v>
      </c>
      <c r="J667">
        <v>3710000</v>
      </c>
      <c r="K667">
        <v>5</v>
      </c>
      <c r="L667">
        <v>3</v>
      </c>
      <c r="M667">
        <v>30</v>
      </c>
      <c r="N667" t="s">
        <v>41</v>
      </c>
      <c r="O667" t="s">
        <v>35</v>
      </c>
      <c r="P667" t="s">
        <v>36</v>
      </c>
      <c r="Q667" s="5"/>
      <c r="S667">
        <f>DATEDIF(D667,DATE(2026,9,30),"Y")</f>
        <v>43</v>
      </c>
      <c r="T667" s="6">
        <f>(IF(Q667="",DATE(2026,9,30),Q667)-E667)/365.25</f>
        <v>4.4380561259411362</v>
      </c>
      <c r="U667" t="str">
        <f>_xlfn.XLOOKUP(Table1_1[[#This Row],[Bo''lim]],Bolimlar!A:A,Bolimlar!B:B,"Topilmadi")</f>
        <v>Shahlo Ismoilova</v>
      </c>
      <c r="V667">
        <f>IF(P667="Ha",1,0)</f>
        <v>0</v>
      </c>
      <c r="W667" t="str">
        <f>IF(T667&lt;1,"1 yildan kam",IF(T667&lt;3,"1-3 yil","3 yildan ko'p"))</f>
        <v>3 yildan ko'p</v>
      </c>
    </row>
    <row r="668" spans="1:23" x14ac:dyDescent="0.3">
      <c r="A668" t="s">
        <v>1020</v>
      </c>
      <c r="B668" t="s">
        <v>384</v>
      </c>
      <c r="C668" t="s">
        <v>31</v>
      </c>
      <c r="D668" s="5">
        <v>36757</v>
      </c>
      <c r="E668" s="5">
        <v>45853</v>
      </c>
      <c r="F668" t="s">
        <v>484</v>
      </c>
      <c r="G668" t="s">
        <v>196</v>
      </c>
      <c r="H668" t="s">
        <v>33</v>
      </c>
      <c r="I668" t="s">
        <v>206</v>
      </c>
      <c r="J668">
        <v>3710000</v>
      </c>
      <c r="K668">
        <v>3</v>
      </c>
      <c r="L668">
        <v>2</v>
      </c>
      <c r="M668">
        <v>33</v>
      </c>
      <c r="N668" t="s">
        <v>88</v>
      </c>
      <c r="O668" t="s">
        <v>53</v>
      </c>
      <c r="P668" t="s">
        <v>27</v>
      </c>
      <c r="Q668" s="5">
        <v>46212</v>
      </c>
      <c r="R668" t="s">
        <v>111</v>
      </c>
      <c r="S668">
        <f>DATEDIF(D668,DATE(2026,9,30),"Y")</f>
        <v>26</v>
      </c>
      <c r="T668" s="6">
        <f>(IF(Q668="",DATE(2026,9,30),Q668)-E668)/365.25</f>
        <v>0.98288843258042435</v>
      </c>
      <c r="U668" t="str">
        <f>_xlfn.XLOOKUP(Table1_1[[#This Row],[Bo''lim]],Bolimlar!A:A,Bolimlar!B:B,"Topilmadi")</f>
        <v>Sardor Nazarov</v>
      </c>
      <c r="V668">
        <f>IF(P668="Ha",1,0)</f>
        <v>1</v>
      </c>
      <c r="W668" t="str">
        <f>IF(T668&lt;1,"1 yildan kam",IF(T668&lt;3,"1-3 yil","3 yildan ko'p"))</f>
        <v>1 yildan kam</v>
      </c>
    </row>
    <row r="669" spans="1:23" x14ac:dyDescent="0.3">
      <c r="A669" t="s">
        <v>1080</v>
      </c>
      <c r="B669" t="s">
        <v>208</v>
      </c>
      <c r="C669" t="s">
        <v>20</v>
      </c>
      <c r="D669" s="5">
        <v>31811</v>
      </c>
      <c r="E669" s="5">
        <v>44505</v>
      </c>
      <c r="F669" t="s">
        <v>1035</v>
      </c>
      <c r="G669" t="s">
        <v>73</v>
      </c>
      <c r="H669" t="s">
        <v>33</v>
      </c>
      <c r="I669" t="s">
        <v>44</v>
      </c>
      <c r="J669">
        <v>3710000</v>
      </c>
      <c r="K669">
        <v>4</v>
      </c>
      <c r="L669">
        <v>5</v>
      </c>
      <c r="M669">
        <v>25</v>
      </c>
      <c r="N669" t="s">
        <v>41</v>
      </c>
      <c r="O669" t="s">
        <v>26</v>
      </c>
      <c r="P669" t="s">
        <v>36</v>
      </c>
      <c r="Q669" s="5"/>
      <c r="S669">
        <f>DATEDIF(D669,DATE(2026,9,30),"Y")</f>
        <v>39</v>
      </c>
      <c r="T669" s="6">
        <f>(IF(Q669="",DATE(2026,9,30),Q669)-E669)/365.25</f>
        <v>4.900752908966461</v>
      </c>
      <c r="U669" t="str">
        <f>_xlfn.XLOOKUP(Table1_1[[#This Row],[Bo''lim]],Bolimlar!A:A,Bolimlar!B:B,"Topilmadi")</f>
        <v>Aziz Karimov</v>
      </c>
      <c r="V669">
        <f>IF(P669="Ha",1,0)</f>
        <v>0</v>
      </c>
      <c r="W669" t="str">
        <f>IF(T669&lt;1,"1 yildan kam",IF(T669&lt;3,"1-3 yil","3 yildan ko'p"))</f>
        <v>3 yildan ko'p</v>
      </c>
    </row>
    <row r="670" spans="1:23" x14ac:dyDescent="0.3">
      <c r="A670" t="s">
        <v>586</v>
      </c>
      <c r="B670" t="s">
        <v>587</v>
      </c>
      <c r="C670" t="s">
        <v>31</v>
      </c>
      <c r="D670" s="5">
        <v>36137</v>
      </c>
      <c r="E670" s="5">
        <v>43613</v>
      </c>
      <c r="F670" t="s">
        <v>484</v>
      </c>
      <c r="G670" t="s">
        <v>196</v>
      </c>
      <c r="H670" t="s">
        <v>33</v>
      </c>
      <c r="I670" t="s">
        <v>24</v>
      </c>
      <c r="J670">
        <v>3700000</v>
      </c>
      <c r="K670">
        <v>3</v>
      </c>
      <c r="L670">
        <v>3</v>
      </c>
      <c r="M670">
        <v>7</v>
      </c>
      <c r="N670" t="s">
        <v>25</v>
      </c>
      <c r="O670" t="s">
        <v>26</v>
      </c>
      <c r="P670" t="s">
        <v>36</v>
      </c>
      <c r="Q670" s="5"/>
      <c r="S670">
        <f>DATEDIF(D670,DATE(2026,9,30),"Y")</f>
        <v>27</v>
      </c>
      <c r="T670" s="6">
        <f>(IF(Q670="",DATE(2026,9,30),Q670)-E670)/365.25</f>
        <v>7.3429158110882957</v>
      </c>
      <c r="U670" t="str">
        <f>_xlfn.XLOOKUP(Table1_1[[#This Row],[Bo''lim]],Bolimlar!A:A,Bolimlar!B:B,"Topilmadi")</f>
        <v>Sardor Nazarov</v>
      </c>
      <c r="V670">
        <f>IF(P670="Ha",1,0)</f>
        <v>0</v>
      </c>
      <c r="W670" t="str">
        <f>IF(T670&lt;1,"1 yildan kam",IF(T670&lt;3,"1-3 yil","3 yildan ko'p"))</f>
        <v>3 yildan ko'p</v>
      </c>
    </row>
    <row r="671" spans="1:23" x14ac:dyDescent="0.3">
      <c r="A671" t="s">
        <v>583</v>
      </c>
      <c r="B671" t="s">
        <v>149</v>
      </c>
      <c r="C671" t="s">
        <v>31</v>
      </c>
      <c r="D671" s="5">
        <v>32078</v>
      </c>
      <c r="E671" s="5">
        <v>46040</v>
      </c>
      <c r="F671" t="s">
        <v>1300</v>
      </c>
      <c r="G671" t="s">
        <v>93</v>
      </c>
      <c r="H671" t="s">
        <v>33</v>
      </c>
      <c r="I671" t="s">
        <v>34</v>
      </c>
      <c r="J671">
        <v>3690000</v>
      </c>
      <c r="K671">
        <v>4</v>
      </c>
      <c r="L671">
        <v>4</v>
      </c>
      <c r="M671">
        <v>18</v>
      </c>
      <c r="N671" t="s">
        <v>25</v>
      </c>
      <c r="O671" t="s">
        <v>35</v>
      </c>
      <c r="P671" t="s">
        <v>36</v>
      </c>
      <c r="Q671" s="5"/>
      <c r="S671">
        <f>DATEDIF(D671,DATE(2026,9,30),"Y")</f>
        <v>38</v>
      </c>
      <c r="T671" s="6">
        <f>(IF(Q671="",DATE(2026,9,30),Q671)-E671)/365.25</f>
        <v>0.69815195071868585</v>
      </c>
      <c r="U671" t="str">
        <f>_xlfn.XLOOKUP(Table1_1[[#This Row],[Bo''lim]],Bolimlar!A:A,Bolimlar!B:B,"Topilmadi")</f>
        <v>Shahlo Ismoilova</v>
      </c>
      <c r="V671">
        <f>IF(P671="Ha",1,0)</f>
        <v>0</v>
      </c>
      <c r="W671" t="str">
        <f>IF(T671&lt;1,"1 yildan kam",IF(T671&lt;3,"1-3 yil","3 yildan ko'p"))</f>
        <v>1 yildan kam</v>
      </c>
    </row>
    <row r="672" spans="1:23" x14ac:dyDescent="0.3">
      <c r="A672" t="s">
        <v>1192</v>
      </c>
      <c r="B672" t="s">
        <v>225</v>
      </c>
      <c r="C672" t="s">
        <v>20</v>
      </c>
      <c r="D672" s="5">
        <v>35326</v>
      </c>
      <c r="E672" s="5">
        <v>45693</v>
      </c>
      <c r="F672" t="s">
        <v>1035</v>
      </c>
      <c r="G672" t="s">
        <v>79</v>
      </c>
      <c r="H672" t="s">
        <v>33</v>
      </c>
      <c r="I672" t="s">
        <v>24</v>
      </c>
      <c r="J672">
        <v>3690000</v>
      </c>
      <c r="K672">
        <v>3</v>
      </c>
      <c r="L672">
        <v>3</v>
      </c>
      <c r="M672">
        <v>14</v>
      </c>
      <c r="N672" t="s">
        <v>41</v>
      </c>
      <c r="O672" t="s">
        <v>26</v>
      </c>
      <c r="P672" t="s">
        <v>36</v>
      </c>
      <c r="Q672" s="5"/>
      <c r="S672">
        <f>DATEDIF(D672,DATE(2026,9,30),"Y")</f>
        <v>30</v>
      </c>
      <c r="T672" s="6">
        <f>(IF(Q672="",DATE(2026,9,30),Q672)-E672)/365.25</f>
        <v>1.6481861738535251</v>
      </c>
      <c r="U672" t="str">
        <f>_xlfn.XLOOKUP(Table1_1[[#This Row],[Bo''lim]],Bolimlar!A:A,Bolimlar!B:B,"Topilmadi")</f>
        <v>Aziz Karimov</v>
      </c>
      <c r="V672">
        <f>IF(P672="Ha",1,0)</f>
        <v>0</v>
      </c>
      <c r="W672" t="str">
        <f>IF(T672&lt;1,"1 yildan kam",IF(T672&lt;3,"1-3 yil","3 yildan ko'p"))</f>
        <v>1-3 yil</v>
      </c>
    </row>
    <row r="673" spans="1:23" x14ac:dyDescent="0.3">
      <c r="A673" t="s">
        <v>498</v>
      </c>
      <c r="B673" t="s">
        <v>499</v>
      </c>
      <c r="C673" t="s">
        <v>31</v>
      </c>
      <c r="D673" s="5">
        <v>35696</v>
      </c>
      <c r="E673" s="5">
        <v>45099</v>
      </c>
      <c r="F673" t="s">
        <v>1226</v>
      </c>
      <c r="G673" t="s">
        <v>60</v>
      </c>
      <c r="H673" t="s">
        <v>33</v>
      </c>
      <c r="I673" t="s">
        <v>24</v>
      </c>
      <c r="J673">
        <v>3680000</v>
      </c>
      <c r="K673">
        <v>3</v>
      </c>
      <c r="L673">
        <v>3</v>
      </c>
      <c r="M673">
        <v>12</v>
      </c>
      <c r="N673" t="s">
        <v>41</v>
      </c>
      <c r="O673" t="s">
        <v>26</v>
      </c>
      <c r="P673" t="s">
        <v>27</v>
      </c>
      <c r="Q673" s="5">
        <v>46027</v>
      </c>
      <c r="R673" t="s">
        <v>155</v>
      </c>
      <c r="S673">
        <f>DATEDIF(D673,DATE(2026,9,30),"Y")</f>
        <v>29</v>
      </c>
      <c r="T673" s="6">
        <f>(IF(Q673="",DATE(2026,9,30),Q673)-E673)/365.25</f>
        <v>2.5407255304585901</v>
      </c>
      <c r="U673" t="str">
        <f>_xlfn.XLOOKUP(Table1_1[[#This Row],[Bo''lim]],Bolimlar!A:A,Bolimlar!B:B,"Topilmadi")</f>
        <v>Madina Abdullayeva</v>
      </c>
      <c r="V673">
        <f>IF(P673="Ha",1,0)</f>
        <v>1</v>
      </c>
      <c r="W673" t="str">
        <f>IF(T673&lt;1,"1 yildan kam",IF(T673&lt;3,"1-3 yil","3 yildan ko'p"))</f>
        <v>1-3 yil</v>
      </c>
    </row>
    <row r="674" spans="1:23" x14ac:dyDescent="0.3">
      <c r="A674" t="s">
        <v>537</v>
      </c>
      <c r="B674" t="s">
        <v>492</v>
      </c>
      <c r="C674" t="s">
        <v>20</v>
      </c>
      <c r="D674" s="5">
        <v>35513</v>
      </c>
      <c r="E674" s="5">
        <v>45862</v>
      </c>
      <c r="F674" t="s">
        <v>1035</v>
      </c>
      <c r="G674" t="s">
        <v>65</v>
      </c>
      <c r="H674" t="s">
        <v>33</v>
      </c>
      <c r="I674" t="s">
        <v>206</v>
      </c>
      <c r="J674">
        <v>3680000</v>
      </c>
      <c r="K674">
        <v>3</v>
      </c>
      <c r="L674">
        <v>3</v>
      </c>
      <c r="M674">
        <v>23</v>
      </c>
      <c r="N674" t="s">
        <v>25</v>
      </c>
      <c r="O674" t="s">
        <v>26</v>
      </c>
      <c r="P674" t="s">
        <v>36</v>
      </c>
      <c r="Q674" s="5"/>
      <c r="S674">
        <f>DATEDIF(D674,DATE(2026,9,30),"Y")</f>
        <v>29</v>
      </c>
      <c r="T674" s="6">
        <f>(IF(Q674="",DATE(2026,9,30),Q674)-E674)/365.25</f>
        <v>1.1854893908281998</v>
      </c>
      <c r="U674" t="str">
        <f>_xlfn.XLOOKUP(Table1_1[[#This Row],[Bo''lim]],Bolimlar!A:A,Bolimlar!B:B,"Topilmadi")</f>
        <v>Aziz Karimov</v>
      </c>
      <c r="V674">
        <f>IF(P674="Ha",1,0)</f>
        <v>0</v>
      </c>
      <c r="W674" t="str">
        <f>IF(T674&lt;1,"1 yildan kam",IF(T674&lt;3,"1-3 yil","3 yildan ko'p"))</f>
        <v>1-3 yil</v>
      </c>
    </row>
    <row r="675" spans="1:23" x14ac:dyDescent="0.3">
      <c r="A675" t="s">
        <v>653</v>
      </c>
      <c r="B675" t="s">
        <v>565</v>
      </c>
      <c r="C675" t="s">
        <v>20</v>
      </c>
      <c r="D675" s="5">
        <v>33079</v>
      </c>
      <c r="E675" s="5">
        <v>44879</v>
      </c>
      <c r="F675" t="s">
        <v>39</v>
      </c>
      <c r="G675" t="s">
        <v>40</v>
      </c>
      <c r="H675" t="s">
        <v>33</v>
      </c>
      <c r="I675" t="s">
        <v>24</v>
      </c>
      <c r="J675">
        <v>3660000</v>
      </c>
      <c r="K675">
        <v>5</v>
      </c>
      <c r="L675">
        <v>5</v>
      </c>
      <c r="M675">
        <v>9</v>
      </c>
      <c r="N675" t="s">
        <v>41</v>
      </c>
      <c r="O675" t="s">
        <v>35</v>
      </c>
      <c r="P675" t="s">
        <v>36</v>
      </c>
      <c r="Q675" s="5"/>
      <c r="S675">
        <f>DATEDIF(D675,DATE(2026,9,30),"Y")</f>
        <v>36</v>
      </c>
      <c r="T675" s="6">
        <f>(IF(Q675="",DATE(2026,9,30),Q675)-E675)/365.25</f>
        <v>3.8767967145790556</v>
      </c>
      <c r="U675" t="str">
        <f>_xlfn.XLOOKUP(Table1_1[[#This Row],[Bo''lim]],Bolimlar!A:A,Bolimlar!B:B,"Topilmadi")</f>
        <v>Nodira Tursunova</v>
      </c>
      <c r="V675">
        <f>IF(P675="Ha",1,0)</f>
        <v>0</v>
      </c>
      <c r="W675" t="str">
        <f>IF(T675&lt;1,"1 yildan kam",IF(T675&lt;3,"1-3 yil","3 yildan ko'p"))</f>
        <v>3 yildan ko'p</v>
      </c>
    </row>
    <row r="676" spans="1:23" x14ac:dyDescent="0.3">
      <c r="A676" t="s">
        <v>460</v>
      </c>
      <c r="B676" t="s">
        <v>265</v>
      </c>
      <c r="C676" t="s">
        <v>31</v>
      </c>
      <c r="D676" s="5">
        <v>38760</v>
      </c>
      <c r="E676" s="5">
        <v>46244</v>
      </c>
      <c r="F676" t="s">
        <v>1035</v>
      </c>
      <c r="G676" t="s">
        <v>79</v>
      </c>
      <c r="H676" t="s">
        <v>33</v>
      </c>
      <c r="I676" t="s">
        <v>206</v>
      </c>
      <c r="J676">
        <v>3650000</v>
      </c>
      <c r="K676">
        <v>1</v>
      </c>
      <c r="L676">
        <v>4</v>
      </c>
      <c r="M676">
        <v>5</v>
      </c>
      <c r="N676" t="s">
        <v>41</v>
      </c>
      <c r="O676" t="s">
        <v>26</v>
      </c>
      <c r="P676" t="s">
        <v>36</v>
      </c>
      <c r="Q676" s="5"/>
      <c r="S676">
        <f>DATEDIF(D676,DATE(2026,9,30),"Y")</f>
        <v>20</v>
      </c>
      <c r="T676" s="6">
        <f>(IF(Q676="",DATE(2026,9,30),Q676)-E676)/365.25</f>
        <v>0.13963039014373715</v>
      </c>
      <c r="U676" t="str">
        <f>_xlfn.XLOOKUP(Table1_1[[#This Row],[Bo''lim]],Bolimlar!A:A,Bolimlar!B:B,"Topilmadi")</f>
        <v>Aziz Karimov</v>
      </c>
      <c r="V676">
        <f>IF(P676="Ha",1,0)</f>
        <v>0</v>
      </c>
      <c r="W676" t="str">
        <f>IF(T676&lt;1,"1 yildan kam",IF(T676&lt;3,"1-3 yil","3 yildan ko'p"))</f>
        <v>1 yildan kam</v>
      </c>
    </row>
    <row r="677" spans="1:23" x14ac:dyDescent="0.3">
      <c r="A677" t="s">
        <v>728</v>
      </c>
      <c r="B677" t="s">
        <v>729</v>
      </c>
      <c r="C677" t="s">
        <v>31</v>
      </c>
      <c r="D677" s="5">
        <v>33472</v>
      </c>
      <c r="E677" s="5">
        <v>45104</v>
      </c>
      <c r="F677" t="s">
        <v>39</v>
      </c>
      <c r="G677" t="s">
        <v>170</v>
      </c>
      <c r="H677" t="s">
        <v>33</v>
      </c>
      <c r="I677" t="s">
        <v>24</v>
      </c>
      <c r="J677">
        <v>3650000</v>
      </c>
      <c r="K677">
        <v>3</v>
      </c>
      <c r="L677">
        <v>5</v>
      </c>
      <c r="M677">
        <v>27</v>
      </c>
      <c r="N677" t="s">
        <v>25</v>
      </c>
      <c r="O677" t="s">
        <v>53</v>
      </c>
      <c r="P677" t="s">
        <v>27</v>
      </c>
      <c r="Q677" s="5">
        <v>45892</v>
      </c>
      <c r="R677" t="s">
        <v>145</v>
      </c>
      <c r="S677">
        <f>DATEDIF(D677,DATE(2026,9,30),"Y")</f>
        <v>35</v>
      </c>
      <c r="T677" s="6">
        <f>(IF(Q677="",DATE(2026,9,30),Q677)-E677)/365.25</f>
        <v>2.1574264202600957</v>
      </c>
      <c r="U677" t="str">
        <f>_xlfn.XLOOKUP(Table1_1[[#This Row],[Bo''lim]],Bolimlar!A:A,Bolimlar!B:B,"Topilmadi")</f>
        <v>Nodira Tursunova</v>
      </c>
      <c r="V677">
        <f>IF(P677="Ha",1,0)</f>
        <v>1</v>
      </c>
      <c r="W677" t="str">
        <f>IF(T677&lt;1,"1 yildan kam",IF(T677&lt;3,"1-3 yil","3 yildan ko'p"))</f>
        <v>1-3 yil</v>
      </c>
    </row>
    <row r="678" spans="1:23" x14ac:dyDescent="0.3">
      <c r="A678" t="s">
        <v>595</v>
      </c>
      <c r="B678" t="s">
        <v>334</v>
      </c>
      <c r="C678" t="s">
        <v>31</v>
      </c>
      <c r="D678" s="5">
        <v>33489</v>
      </c>
      <c r="E678" s="5">
        <v>43902</v>
      </c>
      <c r="F678" t="s">
        <v>1300</v>
      </c>
      <c r="G678" t="s">
        <v>93</v>
      </c>
      <c r="H678" t="s">
        <v>33</v>
      </c>
      <c r="I678" t="s">
        <v>34</v>
      </c>
      <c r="J678">
        <v>3640000</v>
      </c>
      <c r="K678">
        <v>4</v>
      </c>
      <c r="L678">
        <v>3</v>
      </c>
      <c r="M678">
        <v>12</v>
      </c>
      <c r="N678" t="s">
        <v>41</v>
      </c>
      <c r="O678" t="s">
        <v>53</v>
      </c>
      <c r="P678" t="s">
        <v>36</v>
      </c>
      <c r="Q678" s="5"/>
      <c r="S678">
        <f>DATEDIF(D678,DATE(2026,9,30),"Y")</f>
        <v>35</v>
      </c>
      <c r="T678" s="6">
        <f>(IF(Q678="",DATE(2026,9,30),Q678)-E678)/365.25</f>
        <v>6.5516769336071183</v>
      </c>
      <c r="U678" t="str">
        <f>_xlfn.XLOOKUP(Table1_1[[#This Row],[Bo''lim]],Bolimlar!A:A,Bolimlar!B:B,"Topilmadi")</f>
        <v>Shahlo Ismoilova</v>
      </c>
      <c r="V678">
        <f>IF(P678="Ha",1,0)</f>
        <v>0</v>
      </c>
      <c r="W678" t="str">
        <f>IF(T678&lt;1,"1 yildan kam",IF(T678&lt;3,"1-3 yil","3 yildan ko'p"))</f>
        <v>3 yildan ko'p</v>
      </c>
    </row>
    <row r="679" spans="1:23" x14ac:dyDescent="0.3">
      <c r="A679" t="s">
        <v>1196</v>
      </c>
      <c r="B679" t="s">
        <v>1197</v>
      </c>
      <c r="C679" t="s">
        <v>31</v>
      </c>
      <c r="D679" s="5">
        <v>33149</v>
      </c>
      <c r="E679" s="5">
        <v>42802</v>
      </c>
      <c r="F679" t="s">
        <v>1300</v>
      </c>
      <c r="G679" t="s">
        <v>52</v>
      </c>
      <c r="H679" t="s">
        <v>33</v>
      </c>
      <c r="I679" t="s">
        <v>34</v>
      </c>
      <c r="J679">
        <v>3630000</v>
      </c>
      <c r="K679">
        <v>3</v>
      </c>
      <c r="L679">
        <v>2</v>
      </c>
      <c r="M679">
        <v>17</v>
      </c>
      <c r="N679" t="s">
        <v>25</v>
      </c>
      <c r="O679" t="s">
        <v>26</v>
      </c>
      <c r="P679" t="s">
        <v>36</v>
      </c>
      <c r="Q679" s="5"/>
      <c r="S679">
        <f>DATEDIF(D679,DATE(2026,9,30),"Y")</f>
        <v>35</v>
      </c>
      <c r="T679" s="6">
        <f>(IF(Q679="",DATE(2026,9,30),Q679)-E679)/365.25</f>
        <v>9.5633127994524294</v>
      </c>
      <c r="U679" t="str">
        <f>_xlfn.XLOOKUP(Table1_1[[#This Row],[Bo''lim]],Bolimlar!A:A,Bolimlar!B:B,"Topilmadi")</f>
        <v>Shahlo Ismoilova</v>
      </c>
      <c r="V679">
        <f>IF(P679="Ha",1,0)</f>
        <v>0</v>
      </c>
      <c r="W679" t="str">
        <f>IF(T679&lt;1,"1 yildan kam",IF(T679&lt;3,"1-3 yil","3 yildan ko'p"))</f>
        <v>3 yildan ko'p</v>
      </c>
    </row>
    <row r="680" spans="1:23" x14ac:dyDescent="0.3">
      <c r="A680" t="s">
        <v>54</v>
      </c>
      <c r="B680" t="s">
        <v>55</v>
      </c>
      <c r="C680" t="s">
        <v>31</v>
      </c>
      <c r="D680" s="5">
        <v>33329</v>
      </c>
      <c r="E680" s="5">
        <v>43997</v>
      </c>
      <c r="F680" t="s">
        <v>1226</v>
      </c>
      <c r="G680" t="s">
        <v>57</v>
      </c>
      <c r="H680" t="s">
        <v>33</v>
      </c>
      <c r="I680" t="s">
        <v>44</v>
      </c>
      <c r="J680">
        <v>3620000</v>
      </c>
      <c r="K680">
        <v>3</v>
      </c>
      <c r="L680">
        <v>4</v>
      </c>
      <c r="M680">
        <v>18</v>
      </c>
      <c r="N680" t="s">
        <v>41</v>
      </c>
      <c r="O680" t="s">
        <v>53</v>
      </c>
      <c r="P680" t="s">
        <v>36</v>
      </c>
      <c r="Q680" s="5"/>
      <c r="S680">
        <f>DATEDIF(D680,DATE(2026,9,30),"Y")</f>
        <v>35</v>
      </c>
      <c r="T680" s="6">
        <f>(IF(Q680="",DATE(2026,9,30),Q680)-E680)/365.25</f>
        <v>6.2915811088295692</v>
      </c>
      <c r="U680" t="str">
        <f>_xlfn.XLOOKUP(Table1_1[[#This Row],[Bo''lim]],Bolimlar!A:A,Bolimlar!B:B,"Topilmadi")</f>
        <v>Madina Abdullayeva</v>
      </c>
      <c r="V680">
        <f>IF(P680="Ha",1,0)</f>
        <v>0</v>
      </c>
      <c r="W680" t="str">
        <f>IF(T680&lt;1,"1 yildan kam",IF(T680&lt;3,"1-3 yil","3 yildan ko'p"))</f>
        <v>3 yildan ko'p</v>
      </c>
    </row>
    <row r="681" spans="1:23" x14ac:dyDescent="0.3">
      <c r="A681" t="s">
        <v>659</v>
      </c>
      <c r="B681" t="s">
        <v>231</v>
      </c>
      <c r="C681" t="s">
        <v>20</v>
      </c>
      <c r="D681" s="5">
        <v>36048</v>
      </c>
      <c r="E681" s="5">
        <v>46111</v>
      </c>
      <c r="F681" t="s">
        <v>484</v>
      </c>
      <c r="G681" t="s">
        <v>150</v>
      </c>
      <c r="H681" t="s">
        <v>33</v>
      </c>
      <c r="I681" t="s">
        <v>24</v>
      </c>
      <c r="J681">
        <v>3620000</v>
      </c>
      <c r="K681">
        <v>4</v>
      </c>
      <c r="L681">
        <v>4</v>
      </c>
      <c r="M681">
        <v>21</v>
      </c>
      <c r="N681" t="s">
        <v>88</v>
      </c>
      <c r="O681" t="s">
        <v>26</v>
      </c>
      <c r="P681" t="s">
        <v>36</v>
      </c>
      <c r="Q681" s="5"/>
      <c r="S681">
        <f>DATEDIF(D681,DATE(2026,9,30),"Y")</f>
        <v>28</v>
      </c>
      <c r="T681" s="6">
        <f>(IF(Q681="",DATE(2026,9,30),Q681)-E681)/365.25</f>
        <v>0.50376454483230659</v>
      </c>
      <c r="U681" t="str">
        <f>_xlfn.XLOOKUP(Table1_1[[#This Row],[Bo''lim]],Bolimlar!A:A,Bolimlar!B:B,"Topilmadi")</f>
        <v>Sardor Nazarov</v>
      </c>
      <c r="V681">
        <f>IF(P681="Ha",1,0)</f>
        <v>0</v>
      </c>
      <c r="W681" t="str">
        <f>IF(T681&lt;1,"1 yildan kam",IF(T681&lt;3,"1-3 yil","3 yildan ko'p"))</f>
        <v>1 yildan kam</v>
      </c>
    </row>
    <row r="682" spans="1:23" x14ac:dyDescent="0.3">
      <c r="A682" t="s">
        <v>299</v>
      </c>
      <c r="B682" t="s">
        <v>161</v>
      </c>
      <c r="C682" t="s">
        <v>20</v>
      </c>
      <c r="D682" s="5">
        <v>37208</v>
      </c>
      <c r="E682" s="5">
        <v>46148</v>
      </c>
      <c r="F682" t="s">
        <v>1035</v>
      </c>
      <c r="G682" t="s">
        <v>79</v>
      </c>
      <c r="H682" t="s">
        <v>33</v>
      </c>
      <c r="I682" t="s">
        <v>34</v>
      </c>
      <c r="J682">
        <v>3610000</v>
      </c>
      <c r="K682">
        <v>3</v>
      </c>
      <c r="L682">
        <v>4</v>
      </c>
      <c r="M682">
        <v>3</v>
      </c>
      <c r="N682" t="s">
        <v>41</v>
      </c>
      <c r="O682" t="s">
        <v>26</v>
      </c>
      <c r="P682" t="s">
        <v>36</v>
      </c>
      <c r="Q682" s="5"/>
      <c r="S682">
        <f>DATEDIF(D682,DATE(2026,9,30),"Y")</f>
        <v>24</v>
      </c>
      <c r="T682" s="6">
        <f>(IF(Q682="",DATE(2026,9,30),Q682)-E682)/365.25</f>
        <v>0.40246406570841892</v>
      </c>
      <c r="U682" t="str">
        <f>_xlfn.XLOOKUP(Table1_1[[#This Row],[Bo''lim]],Bolimlar!A:A,Bolimlar!B:B,"Topilmadi")</f>
        <v>Aziz Karimov</v>
      </c>
      <c r="V682">
        <f>IF(P682="Ha",1,0)</f>
        <v>0</v>
      </c>
      <c r="W682" t="str">
        <f>IF(T682&lt;1,"1 yildan kam",IF(T682&lt;3,"1-3 yil","3 yildan ko'p"))</f>
        <v>1 yildan kam</v>
      </c>
    </row>
    <row r="683" spans="1:23" x14ac:dyDescent="0.3">
      <c r="A683" t="s">
        <v>673</v>
      </c>
      <c r="B683" t="s">
        <v>674</v>
      </c>
      <c r="C683" t="s">
        <v>31</v>
      </c>
      <c r="D683" s="5">
        <v>31938</v>
      </c>
      <c r="E683" s="5">
        <v>45281</v>
      </c>
      <c r="F683" t="s">
        <v>484</v>
      </c>
      <c r="G683" t="s">
        <v>150</v>
      </c>
      <c r="H683" t="s">
        <v>33</v>
      </c>
      <c r="I683" t="s">
        <v>24</v>
      </c>
      <c r="J683">
        <v>3610000</v>
      </c>
      <c r="K683">
        <v>3</v>
      </c>
      <c r="L683">
        <v>4</v>
      </c>
      <c r="M683">
        <v>21</v>
      </c>
      <c r="N683" t="s">
        <v>41</v>
      </c>
      <c r="O683" t="s">
        <v>35</v>
      </c>
      <c r="P683" t="s">
        <v>36</v>
      </c>
      <c r="Q683" s="5"/>
      <c r="S683">
        <f>DATEDIF(D683,DATE(2026,9,30),"Y")</f>
        <v>39</v>
      </c>
      <c r="T683" s="6">
        <f>(IF(Q683="",DATE(2026,9,30),Q683)-E683)/365.25</f>
        <v>2.7761806981519506</v>
      </c>
      <c r="U683" t="str">
        <f>_xlfn.XLOOKUP(Table1_1[[#This Row],[Bo''lim]],Bolimlar!A:A,Bolimlar!B:B,"Topilmadi")</f>
        <v>Sardor Nazarov</v>
      </c>
      <c r="V683">
        <f>IF(P683="Ha",1,0)</f>
        <v>0</v>
      </c>
      <c r="W683" t="str">
        <f>IF(T683&lt;1,"1 yildan kam",IF(T683&lt;3,"1-3 yil","3 yildan ko'p"))</f>
        <v>1-3 yil</v>
      </c>
    </row>
    <row r="684" spans="1:23" x14ac:dyDescent="0.3">
      <c r="A684" t="s">
        <v>423</v>
      </c>
      <c r="B684" t="s">
        <v>285</v>
      </c>
      <c r="C684" t="s">
        <v>20</v>
      </c>
      <c r="D684" s="5">
        <v>33715</v>
      </c>
      <c r="E684" s="5">
        <v>44266</v>
      </c>
      <c r="F684" t="s">
        <v>1300</v>
      </c>
      <c r="G684" t="s">
        <v>93</v>
      </c>
      <c r="H684" t="s">
        <v>33</v>
      </c>
      <c r="I684" t="s">
        <v>24</v>
      </c>
      <c r="J684">
        <v>3600000</v>
      </c>
      <c r="K684">
        <v>3</v>
      </c>
      <c r="L684">
        <v>5</v>
      </c>
      <c r="M684">
        <v>8</v>
      </c>
      <c r="N684" t="s">
        <v>41</v>
      </c>
      <c r="O684" t="s">
        <v>26</v>
      </c>
      <c r="P684" t="s">
        <v>36</v>
      </c>
      <c r="Q684" s="5"/>
      <c r="S684">
        <f>DATEDIF(D684,DATE(2026,9,30),"Y")</f>
        <v>34</v>
      </c>
      <c r="T684" s="6">
        <f>(IF(Q684="",DATE(2026,9,30),Q684)-E684)/365.25</f>
        <v>5.5550992470910332</v>
      </c>
      <c r="U684" t="str">
        <f>_xlfn.XLOOKUP(Table1_1[[#This Row],[Bo''lim]],Bolimlar!A:A,Bolimlar!B:B,"Topilmadi")</f>
        <v>Shahlo Ismoilova</v>
      </c>
      <c r="V684">
        <f>IF(P684="Ha",1,0)</f>
        <v>0</v>
      </c>
      <c r="W684" t="str">
        <f>IF(T684&lt;1,"1 yildan kam",IF(T684&lt;3,"1-3 yil","3 yildan ko'p"))</f>
        <v>3 yildan ko'p</v>
      </c>
    </row>
    <row r="685" spans="1:23" x14ac:dyDescent="0.3">
      <c r="A685" t="s">
        <v>867</v>
      </c>
      <c r="B685" t="s">
        <v>279</v>
      </c>
      <c r="C685" t="s">
        <v>20</v>
      </c>
      <c r="D685" s="5">
        <v>37734</v>
      </c>
      <c r="E685" s="5">
        <v>45632</v>
      </c>
      <c r="F685" t="s">
        <v>1300</v>
      </c>
      <c r="G685" t="s">
        <v>52</v>
      </c>
      <c r="H685" t="s">
        <v>33</v>
      </c>
      <c r="I685" t="s">
        <v>24</v>
      </c>
      <c r="J685">
        <v>3600000</v>
      </c>
      <c r="K685">
        <v>1</v>
      </c>
      <c r="L685">
        <v>4</v>
      </c>
      <c r="M685">
        <v>19</v>
      </c>
      <c r="N685" t="s">
        <v>41</v>
      </c>
      <c r="O685" t="s">
        <v>26</v>
      </c>
      <c r="P685" t="s">
        <v>27</v>
      </c>
      <c r="Q685" s="5">
        <v>45698</v>
      </c>
      <c r="R685" t="s">
        <v>401</v>
      </c>
      <c r="S685">
        <f>DATEDIF(D685,DATE(2026,9,30),"Y")</f>
        <v>23</v>
      </c>
      <c r="T685" s="6">
        <f>(IF(Q685="",DATE(2026,9,30),Q685)-E685)/365.25</f>
        <v>0.1806981519507187</v>
      </c>
      <c r="U685" t="str">
        <f>_xlfn.XLOOKUP(Table1_1[[#This Row],[Bo''lim]],Bolimlar!A:A,Bolimlar!B:B,"Topilmadi")</f>
        <v>Shahlo Ismoilova</v>
      </c>
      <c r="V685">
        <f>IF(P685="Ha",1,0)</f>
        <v>1</v>
      </c>
      <c r="W685" t="str">
        <f>IF(T685&lt;1,"1 yildan kam",IF(T685&lt;3,"1-3 yil","3 yildan ko'p"))</f>
        <v>1 yildan kam</v>
      </c>
    </row>
    <row r="686" spans="1:23" x14ac:dyDescent="0.3">
      <c r="A686" t="s">
        <v>183</v>
      </c>
      <c r="B686" t="s">
        <v>184</v>
      </c>
      <c r="C686" t="s">
        <v>31</v>
      </c>
      <c r="D686" s="5">
        <v>32924</v>
      </c>
      <c r="E686" s="5">
        <v>46218</v>
      </c>
      <c r="F686" t="s">
        <v>484</v>
      </c>
      <c r="G686" t="s">
        <v>115</v>
      </c>
      <c r="H686" t="s">
        <v>33</v>
      </c>
      <c r="I686" t="s">
        <v>24</v>
      </c>
      <c r="J686">
        <v>3590000</v>
      </c>
      <c r="K686">
        <v>5</v>
      </c>
      <c r="L686">
        <v>5</v>
      </c>
      <c r="M686">
        <v>12</v>
      </c>
      <c r="N686" t="s">
        <v>25</v>
      </c>
      <c r="P686" t="s">
        <v>36</v>
      </c>
      <c r="Q686" s="5"/>
      <c r="S686">
        <f>DATEDIF(D686,DATE(2026,9,30),"Y")</f>
        <v>36</v>
      </c>
      <c r="T686" s="6">
        <f>(IF(Q686="",DATE(2026,9,30),Q686)-E686)/365.25</f>
        <v>0.21081451060917181</v>
      </c>
      <c r="U686" t="str">
        <f>_xlfn.XLOOKUP(Table1_1[[#This Row],[Bo''lim]],Bolimlar!A:A,Bolimlar!B:B,"Topilmadi")</f>
        <v>Sardor Nazarov</v>
      </c>
      <c r="V686">
        <f>IF(P686="Ha",1,0)</f>
        <v>0</v>
      </c>
      <c r="W686" t="str">
        <f>IF(T686&lt;1,"1 yildan kam",IF(T686&lt;3,"1-3 yil","3 yildan ko'p"))</f>
        <v>1 yildan kam</v>
      </c>
    </row>
    <row r="687" spans="1:23" x14ac:dyDescent="0.3">
      <c r="A687" t="s">
        <v>1046</v>
      </c>
      <c r="B687" t="s">
        <v>1047</v>
      </c>
      <c r="C687" t="s">
        <v>20</v>
      </c>
      <c r="D687" s="5">
        <v>34562</v>
      </c>
      <c r="E687" s="5">
        <v>46183</v>
      </c>
      <c r="F687" t="s">
        <v>1226</v>
      </c>
      <c r="G687" t="s">
        <v>142</v>
      </c>
      <c r="H687" t="s">
        <v>33</v>
      </c>
      <c r="I687" t="s">
        <v>34</v>
      </c>
      <c r="J687">
        <v>3590000</v>
      </c>
      <c r="K687">
        <v>5</v>
      </c>
      <c r="L687">
        <v>3</v>
      </c>
      <c r="M687">
        <v>0</v>
      </c>
      <c r="N687" t="s">
        <v>41</v>
      </c>
      <c r="P687" t="s">
        <v>36</v>
      </c>
      <c r="Q687" s="5"/>
      <c r="S687">
        <f>DATEDIF(D687,DATE(2026,9,30),"Y")</f>
        <v>32</v>
      </c>
      <c r="T687" s="6">
        <f>(IF(Q687="",DATE(2026,9,30),Q687)-E687)/365.25</f>
        <v>0.30663928815879532</v>
      </c>
      <c r="U687" t="str">
        <f>_xlfn.XLOOKUP(Table1_1[[#This Row],[Bo''lim]],Bolimlar!A:A,Bolimlar!B:B,"Topilmadi")</f>
        <v>Madina Abdullayeva</v>
      </c>
      <c r="V687">
        <f>IF(P687="Ha",1,0)</f>
        <v>0</v>
      </c>
      <c r="W687" t="str">
        <f>IF(T687&lt;1,"1 yildan kam",IF(T687&lt;3,"1-3 yil","3 yildan ko'p"))</f>
        <v>1 yildan kam</v>
      </c>
    </row>
    <row r="688" spans="1:23" x14ac:dyDescent="0.3">
      <c r="A688" t="s">
        <v>288</v>
      </c>
      <c r="B688" t="s">
        <v>179</v>
      </c>
      <c r="C688" t="s">
        <v>31</v>
      </c>
      <c r="D688" s="5">
        <v>33742</v>
      </c>
      <c r="E688" s="5">
        <v>46073</v>
      </c>
      <c r="F688" t="s">
        <v>1300</v>
      </c>
      <c r="G688" t="s">
        <v>93</v>
      </c>
      <c r="H688" t="s">
        <v>33</v>
      </c>
      <c r="I688" t="s">
        <v>82</v>
      </c>
      <c r="J688">
        <v>3580000</v>
      </c>
      <c r="L688">
        <v>4</v>
      </c>
      <c r="M688">
        <v>26</v>
      </c>
      <c r="N688" t="s">
        <v>25</v>
      </c>
      <c r="O688" t="s">
        <v>35</v>
      </c>
      <c r="P688" t="s">
        <v>36</v>
      </c>
      <c r="Q688" s="5"/>
      <c r="S688">
        <f>DATEDIF(D688,DATE(2026,9,30),"Y")</f>
        <v>34</v>
      </c>
      <c r="T688" s="6">
        <f>(IF(Q688="",DATE(2026,9,30),Q688)-E688)/365.25</f>
        <v>0.6078028747433265</v>
      </c>
      <c r="U688" t="str">
        <f>_xlfn.XLOOKUP(Table1_1[[#This Row],[Bo''lim]],Bolimlar!A:A,Bolimlar!B:B,"Topilmadi")</f>
        <v>Shahlo Ismoilova</v>
      </c>
      <c r="V688">
        <f>IF(P688="Ha",1,0)</f>
        <v>0</v>
      </c>
      <c r="W688" t="str">
        <f>IF(T688&lt;1,"1 yildan kam",IF(T688&lt;3,"1-3 yil","3 yildan ko'p"))</f>
        <v>1 yildan kam</v>
      </c>
    </row>
    <row r="689" spans="1:23" x14ac:dyDescent="0.3">
      <c r="A689" t="s">
        <v>800</v>
      </c>
      <c r="B689" t="s">
        <v>801</v>
      </c>
      <c r="C689" t="s">
        <v>20</v>
      </c>
      <c r="D689" s="5">
        <v>37614</v>
      </c>
      <c r="E689" s="5">
        <v>45265</v>
      </c>
      <c r="F689" t="s">
        <v>1035</v>
      </c>
      <c r="G689" t="s">
        <v>79</v>
      </c>
      <c r="H689" t="s">
        <v>33</v>
      </c>
      <c r="I689" t="s">
        <v>96</v>
      </c>
      <c r="J689">
        <v>3580000</v>
      </c>
      <c r="K689">
        <v>4</v>
      </c>
      <c r="L689">
        <v>3</v>
      </c>
      <c r="M689">
        <v>31</v>
      </c>
      <c r="N689" t="s">
        <v>41</v>
      </c>
      <c r="O689" t="s">
        <v>53</v>
      </c>
      <c r="P689" t="s">
        <v>27</v>
      </c>
      <c r="Q689" s="5">
        <v>45798</v>
      </c>
      <c r="R689" t="s">
        <v>111</v>
      </c>
      <c r="S689">
        <f>DATEDIF(D689,DATE(2026,9,30),"Y")</f>
        <v>23</v>
      </c>
      <c r="T689" s="6">
        <f>(IF(Q689="",DATE(2026,9,30),Q689)-E689)/365.25</f>
        <v>1.4592744695414099</v>
      </c>
      <c r="U689" t="str">
        <f>_xlfn.XLOOKUP(Table1_1[[#This Row],[Bo''lim]],Bolimlar!A:A,Bolimlar!B:B,"Topilmadi")</f>
        <v>Aziz Karimov</v>
      </c>
      <c r="V689">
        <f>IF(P689="Ha",1,0)</f>
        <v>1</v>
      </c>
      <c r="W689" t="str">
        <f>IF(T689&lt;1,"1 yildan kam",IF(T689&lt;3,"1-3 yil","3 yildan ko'p"))</f>
        <v>1-3 yil</v>
      </c>
    </row>
    <row r="690" spans="1:23" x14ac:dyDescent="0.3">
      <c r="A690" t="s">
        <v>885</v>
      </c>
      <c r="B690" t="s">
        <v>886</v>
      </c>
      <c r="C690" t="s">
        <v>20</v>
      </c>
      <c r="D690" s="5">
        <v>33423</v>
      </c>
      <c r="E690" s="5">
        <v>44290</v>
      </c>
      <c r="F690" t="s">
        <v>484</v>
      </c>
      <c r="G690" t="s">
        <v>150</v>
      </c>
      <c r="H690" t="s">
        <v>33</v>
      </c>
      <c r="I690" t="s">
        <v>96</v>
      </c>
      <c r="J690">
        <v>3580000</v>
      </c>
      <c r="K690">
        <v>3</v>
      </c>
      <c r="L690">
        <v>5</v>
      </c>
      <c r="M690">
        <v>16</v>
      </c>
      <c r="N690" t="s">
        <v>41</v>
      </c>
      <c r="O690" t="s">
        <v>35</v>
      </c>
      <c r="P690" t="s">
        <v>36</v>
      </c>
      <c r="Q690" s="5"/>
      <c r="S690">
        <f>DATEDIF(D690,DATE(2026,9,30),"Y")</f>
        <v>35</v>
      </c>
      <c r="T690" s="6">
        <f>(IF(Q690="",DATE(2026,9,30),Q690)-E690)/365.25</f>
        <v>5.4893908281998627</v>
      </c>
      <c r="U690" t="str">
        <f>_xlfn.XLOOKUP(Table1_1[[#This Row],[Bo''lim]],Bolimlar!A:A,Bolimlar!B:B,"Topilmadi")</f>
        <v>Sardor Nazarov</v>
      </c>
      <c r="V690">
        <f>IF(P690="Ha",1,0)</f>
        <v>0</v>
      </c>
      <c r="W690" t="str">
        <f>IF(T690&lt;1,"1 yildan kam",IF(T690&lt;3,"1-3 yil","3 yildan ko'p"))</f>
        <v>3 yildan ko'p</v>
      </c>
    </row>
    <row r="691" spans="1:23" x14ac:dyDescent="0.3">
      <c r="A691" t="s">
        <v>1034</v>
      </c>
      <c r="B691" t="s">
        <v>55</v>
      </c>
      <c r="C691" t="s">
        <v>31</v>
      </c>
      <c r="D691" s="5">
        <v>33861</v>
      </c>
      <c r="E691" s="5">
        <v>44824</v>
      </c>
      <c r="F691" t="s">
        <v>1035</v>
      </c>
      <c r="G691" t="s">
        <v>73</v>
      </c>
      <c r="H691" t="s">
        <v>33</v>
      </c>
      <c r="I691" t="s">
        <v>24</v>
      </c>
      <c r="J691">
        <v>3580000</v>
      </c>
      <c r="K691">
        <v>1</v>
      </c>
      <c r="L691">
        <v>5</v>
      </c>
      <c r="M691">
        <v>17</v>
      </c>
      <c r="N691" t="s">
        <v>25</v>
      </c>
      <c r="O691" t="s">
        <v>26</v>
      </c>
      <c r="P691" t="s">
        <v>27</v>
      </c>
      <c r="Q691" s="5">
        <v>46219</v>
      </c>
      <c r="R691" t="s">
        <v>401</v>
      </c>
      <c r="S691">
        <f>DATEDIF(D691,DATE(2026,9,30),"Y")</f>
        <v>34</v>
      </c>
      <c r="T691" s="6">
        <f>(IF(Q691="",DATE(2026,9,30),Q691)-E691)/365.25</f>
        <v>3.8193018480492813</v>
      </c>
      <c r="U691" t="str">
        <f>_xlfn.XLOOKUP(Table1_1[[#This Row],[Bo''lim]],Bolimlar!A:A,Bolimlar!B:B,"Topilmadi")</f>
        <v>Aziz Karimov</v>
      </c>
      <c r="V691">
        <f>IF(P691="Ha",1,0)</f>
        <v>1</v>
      </c>
      <c r="W691" t="str">
        <f>IF(T691&lt;1,"1 yildan kam",IF(T691&lt;3,"1-3 yil","3 yildan ko'p"))</f>
        <v>3 yildan ko'p</v>
      </c>
    </row>
    <row r="692" spans="1:23" x14ac:dyDescent="0.3">
      <c r="A692" t="s">
        <v>1157</v>
      </c>
      <c r="B692" t="s">
        <v>503</v>
      </c>
      <c r="C692" t="s">
        <v>31</v>
      </c>
      <c r="D692" s="5">
        <v>35510</v>
      </c>
      <c r="E692" s="5">
        <v>43244</v>
      </c>
      <c r="F692" t="s">
        <v>1226</v>
      </c>
      <c r="G692" t="s">
        <v>142</v>
      </c>
      <c r="H692" t="s">
        <v>33</v>
      </c>
      <c r="I692" t="s">
        <v>24</v>
      </c>
      <c r="J692">
        <v>3580000</v>
      </c>
      <c r="K692">
        <v>5</v>
      </c>
      <c r="L692">
        <v>5</v>
      </c>
      <c r="M692">
        <v>26</v>
      </c>
      <c r="N692" t="s">
        <v>41</v>
      </c>
      <c r="O692" t="s">
        <v>53</v>
      </c>
      <c r="P692" t="s">
        <v>36</v>
      </c>
      <c r="Q692" s="5"/>
      <c r="S692">
        <f>DATEDIF(D692,DATE(2026,9,30),"Y")</f>
        <v>29</v>
      </c>
      <c r="T692" s="6">
        <f>(IF(Q692="",DATE(2026,9,30),Q692)-E692)/365.25</f>
        <v>8.3531827515400412</v>
      </c>
      <c r="U692" t="str">
        <f>_xlfn.XLOOKUP(Table1_1[[#This Row],[Bo''lim]],Bolimlar!A:A,Bolimlar!B:B,"Topilmadi")</f>
        <v>Madina Abdullayeva</v>
      </c>
      <c r="V692">
        <f>IF(P692="Ha",1,0)</f>
        <v>0</v>
      </c>
      <c r="W692" t="str">
        <f>IF(T692&lt;1,"1 yildan kam",IF(T692&lt;3,"1-3 yil","3 yildan ko'p"))</f>
        <v>3 yildan ko'p</v>
      </c>
    </row>
    <row r="693" spans="1:23" x14ac:dyDescent="0.3">
      <c r="A693" t="s">
        <v>1238</v>
      </c>
      <c r="B693" t="s">
        <v>1239</v>
      </c>
      <c r="C693" t="s">
        <v>20</v>
      </c>
      <c r="D693" s="5">
        <v>32728</v>
      </c>
      <c r="E693" s="5">
        <v>43653</v>
      </c>
      <c r="F693" t="s">
        <v>1035</v>
      </c>
      <c r="G693" t="s">
        <v>73</v>
      </c>
      <c r="H693" t="s">
        <v>33</v>
      </c>
      <c r="I693" t="s">
        <v>24</v>
      </c>
      <c r="J693">
        <v>3580000</v>
      </c>
      <c r="K693">
        <v>3</v>
      </c>
      <c r="L693">
        <v>4</v>
      </c>
      <c r="M693">
        <v>46</v>
      </c>
      <c r="N693" t="s">
        <v>41</v>
      </c>
      <c r="O693" t="s">
        <v>26</v>
      </c>
      <c r="P693" t="s">
        <v>36</v>
      </c>
      <c r="Q693" s="5"/>
      <c r="S693">
        <f>DATEDIF(D693,DATE(2026,9,30),"Y")</f>
        <v>37</v>
      </c>
      <c r="T693" s="6">
        <f>(IF(Q693="",DATE(2026,9,30),Q693)-E693)/365.25</f>
        <v>7.2334017796030112</v>
      </c>
      <c r="U693" t="str">
        <f>_xlfn.XLOOKUP(Table1_1[[#This Row],[Bo''lim]],Bolimlar!A:A,Bolimlar!B:B,"Topilmadi")</f>
        <v>Aziz Karimov</v>
      </c>
      <c r="V693">
        <f>IF(P693="Ha",1,0)</f>
        <v>0</v>
      </c>
      <c r="W693" t="str">
        <f>IF(T693&lt;1,"1 yildan kam",IF(T693&lt;3,"1-3 yil","3 yildan ko'p"))</f>
        <v>3 yildan ko'p</v>
      </c>
    </row>
    <row r="694" spans="1:23" x14ac:dyDescent="0.3">
      <c r="A694" t="s">
        <v>1149</v>
      </c>
      <c r="B694" t="s">
        <v>524</v>
      </c>
      <c r="C694" t="s">
        <v>31</v>
      </c>
      <c r="D694" s="5">
        <v>33490</v>
      </c>
      <c r="E694" s="5">
        <v>42881</v>
      </c>
      <c r="F694" t="s">
        <v>1300</v>
      </c>
      <c r="G694" t="s">
        <v>93</v>
      </c>
      <c r="H694" t="s">
        <v>33</v>
      </c>
      <c r="I694" t="s">
        <v>24</v>
      </c>
      <c r="J694">
        <v>3570000</v>
      </c>
      <c r="K694">
        <v>4</v>
      </c>
      <c r="L694">
        <v>1</v>
      </c>
      <c r="M694">
        <v>25</v>
      </c>
      <c r="N694" t="s">
        <v>41</v>
      </c>
      <c r="O694" t="s">
        <v>35</v>
      </c>
      <c r="P694" t="s">
        <v>27</v>
      </c>
      <c r="Q694" s="5">
        <v>45986</v>
      </c>
      <c r="R694" t="s">
        <v>61</v>
      </c>
      <c r="S694">
        <f>DATEDIF(D694,DATE(2026,9,30),"Y")</f>
        <v>35</v>
      </c>
      <c r="T694" s="6">
        <f>(IF(Q694="",DATE(2026,9,30),Q694)-E694)/365.25</f>
        <v>8.5010266940451746</v>
      </c>
      <c r="U694" t="str">
        <f>_xlfn.XLOOKUP(Table1_1[[#This Row],[Bo''lim]],Bolimlar!A:A,Bolimlar!B:B,"Topilmadi")</f>
        <v>Shahlo Ismoilova</v>
      </c>
      <c r="V694">
        <f>IF(P694="Ha",1,0)</f>
        <v>1</v>
      </c>
      <c r="W694" t="str">
        <f>IF(T694&lt;1,"1 yildan kam",IF(T694&lt;3,"1-3 yil","3 yildan ko'p"))</f>
        <v>3 yildan ko'p</v>
      </c>
    </row>
    <row r="695" spans="1:23" x14ac:dyDescent="0.3">
      <c r="A695" t="s">
        <v>1258</v>
      </c>
      <c r="B695" t="s">
        <v>157</v>
      </c>
      <c r="C695" t="s">
        <v>20</v>
      </c>
      <c r="D695" s="5">
        <v>34967</v>
      </c>
      <c r="E695" s="5">
        <v>43496</v>
      </c>
      <c r="F695" t="s">
        <v>1035</v>
      </c>
      <c r="G695" t="s">
        <v>79</v>
      </c>
      <c r="H695" t="s">
        <v>33</v>
      </c>
      <c r="I695" t="s">
        <v>104</v>
      </c>
      <c r="J695">
        <v>3560000</v>
      </c>
      <c r="K695">
        <v>1</v>
      </c>
      <c r="L695">
        <v>2</v>
      </c>
      <c r="M695">
        <v>18</v>
      </c>
      <c r="N695" t="s">
        <v>41</v>
      </c>
      <c r="O695" t="s">
        <v>53</v>
      </c>
      <c r="P695" t="s">
        <v>27</v>
      </c>
      <c r="Q695" s="5">
        <v>45666</v>
      </c>
      <c r="R695" t="s">
        <v>145</v>
      </c>
      <c r="S695">
        <f>DATEDIF(D695,DATE(2026,9,30),"Y")</f>
        <v>31</v>
      </c>
      <c r="T695" s="6">
        <f>(IF(Q695="",DATE(2026,9,30),Q695)-E695)/365.25</f>
        <v>5.9411362080766601</v>
      </c>
      <c r="U695" t="str">
        <f>_xlfn.XLOOKUP(Table1_1[[#This Row],[Bo''lim]],Bolimlar!A:A,Bolimlar!B:B,"Topilmadi")</f>
        <v>Aziz Karimov</v>
      </c>
      <c r="V695">
        <f>IF(P695="Ha",1,0)</f>
        <v>1</v>
      </c>
      <c r="W695" t="str">
        <f>IF(T695&lt;1,"1 yildan kam",IF(T695&lt;3,"1-3 yil","3 yildan ko'p"))</f>
        <v>3 yildan ko'p</v>
      </c>
    </row>
    <row r="696" spans="1:23" x14ac:dyDescent="0.3">
      <c r="A696" t="s">
        <v>74</v>
      </c>
      <c r="B696" t="s">
        <v>75</v>
      </c>
      <c r="C696" t="s">
        <v>31</v>
      </c>
      <c r="D696" s="5">
        <v>34772</v>
      </c>
      <c r="E696" s="5">
        <v>46128</v>
      </c>
      <c r="F696" t="s">
        <v>1300</v>
      </c>
      <c r="G696" t="s">
        <v>52</v>
      </c>
      <c r="H696" t="s">
        <v>33</v>
      </c>
      <c r="I696" t="s">
        <v>34</v>
      </c>
      <c r="J696">
        <v>3550000</v>
      </c>
      <c r="K696">
        <v>3</v>
      </c>
      <c r="L696">
        <v>4</v>
      </c>
      <c r="M696">
        <v>6</v>
      </c>
      <c r="N696" t="s">
        <v>25</v>
      </c>
      <c r="O696" t="s">
        <v>26</v>
      </c>
      <c r="P696" t="s">
        <v>27</v>
      </c>
      <c r="Q696" s="5">
        <v>46204</v>
      </c>
      <c r="R696" t="s">
        <v>28</v>
      </c>
      <c r="S696">
        <f>DATEDIF(D696,DATE(2026,9,30),"Y")</f>
        <v>31</v>
      </c>
      <c r="T696" s="6">
        <f>(IF(Q696="",DATE(2026,9,30),Q696)-E696)/365.25</f>
        <v>0.20807665982203971</v>
      </c>
      <c r="U696" t="str">
        <f>_xlfn.XLOOKUP(Table1_1[[#This Row],[Bo''lim]],Bolimlar!A:A,Bolimlar!B:B,"Topilmadi")</f>
        <v>Shahlo Ismoilova</v>
      </c>
      <c r="V696">
        <f>IF(P696="Ha",1,0)</f>
        <v>1</v>
      </c>
      <c r="W696" t="str">
        <f>IF(T696&lt;1,"1 yildan kam",IF(T696&lt;3,"1-3 yil","3 yildan ko'p"))</f>
        <v>1 yildan kam</v>
      </c>
    </row>
    <row r="697" spans="1:23" x14ac:dyDescent="0.3">
      <c r="A697" t="s">
        <v>502</v>
      </c>
      <c r="B697" t="s">
        <v>503</v>
      </c>
      <c r="C697" t="s">
        <v>31</v>
      </c>
      <c r="D697" s="5">
        <v>36259</v>
      </c>
      <c r="E697" s="5">
        <v>45750</v>
      </c>
      <c r="F697" t="s">
        <v>484</v>
      </c>
      <c r="G697" t="s">
        <v>150</v>
      </c>
      <c r="H697" t="s">
        <v>33</v>
      </c>
      <c r="I697" t="s">
        <v>24</v>
      </c>
      <c r="J697">
        <v>3550000</v>
      </c>
      <c r="K697">
        <v>3</v>
      </c>
      <c r="L697">
        <v>3</v>
      </c>
      <c r="M697">
        <v>24</v>
      </c>
      <c r="N697" t="s">
        <v>25</v>
      </c>
      <c r="O697" t="s">
        <v>26</v>
      </c>
      <c r="P697" t="s">
        <v>36</v>
      </c>
      <c r="Q697" s="5"/>
      <c r="S697">
        <f>DATEDIF(D697,DATE(2026,9,30),"Y")</f>
        <v>27</v>
      </c>
      <c r="T697" s="6">
        <f>(IF(Q697="",DATE(2026,9,30),Q697)-E697)/365.25</f>
        <v>1.4921286789869952</v>
      </c>
      <c r="U697" t="str">
        <f>_xlfn.XLOOKUP(Table1_1[[#This Row],[Bo''lim]],Bolimlar!A:A,Bolimlar!B:B,"Topilmadi")</f>
        <v>Sardor Nazarov</v>
      </c>
      <c r="V697">
        <f>IF(P697="Ha",1,0)</f>
        <v>0</v>
      </c>
      <c r="W697" t="str">
        <f>IF(T697&lt;1,"1 yildan kam",IF(T697&lt;3,"1-3 yil","3 yildan ko'p"))</f>
        <v>1-3 yil</v>
      </c>
    </row>
    <row r="698" spans="1:23" x14ac:dyDescent="0.3">
      <c r="A698" t="s">
        <v>610</v>
      </c>
      <c r="B698" t="s">
        <v>330</v>
      </c>
      <c r="C698" t="s">
        <v>20</v>
      </c>
      <c r="D698" s="5">
        <v>37588</v>
      </c>
      <c r="E698" s="5">
        <v>45765</v>
      </c>
      <c r="F698" t="s">
        <v>1300</v>
      </c>
      <c r="G698" t="s">
        <v>93</v>
      </c>
      <c r="H698" t="s">
        <v>33</v>
      </c>
      <c r="I698" t="s">
        <v>24</v>
      </c>
      <c r="J698">
        <v>3550000</v>
      </c>
      <c r="K698">
        <v>4</v>
      </c>
      <c r="L698">
        <v>2</v>
      </c>
      <c r="M698">
        <v>18</v>
      </c>
      <c r="N698" t="s">
        <v>41</v>
      </c>
      <c r="O698" t="s">
        <v>26</v>
      </c>
      <c r="P698" t="s">
        <v>27</v>
      </c>
      <c r="Q698" s="5">
        <v>46074</v>
      </c>
      <c r="R698" t="s">
        <v>28</v>
      </c>
      <c r="S698">
        <f>DATEDIF(D698,DATE(2026,9,30),"Y")</f>
        <v>23</v>
      </c>
      <c r="T698" s="6">
        <f>(IF(Q698="",DATE(2026,9,30),Q698)-E698)/365.25</f>
        <v>0.8459958932238193</v>
      </c>
      <c r="U698" t="str">
        <f>_xlfn.XLOOKUP(Table1_1[[#This Row],[Bo''lim]],Bolimlar!A:A,Bolimlar!B:B,"Topilmadi")</f>
        <v>Shahlo Ismoilova</v>
      </c>
      <c r="V698">
        <f>IF(P698="Ha",1,0)</f>
        <v>1</v>
      </c>
      <c r="W698" t="str">
        <f>IF(T698&lt;1,"1 yildan kam",IF(T698&lt;3,"1-3 yil","3 yildan ko'p"))</f>
        <v>1 yildan kam</v>
      </c>
    </row>
    <row r="699" spans="1:23" x14ac:dyDescent="0.3">
      <c r="A699" t="s">
        <v>679</v>
      </c>
      <c r="B699" t="s">
        <v>680</v>
      </c>
      <c r="C699" t="s">
        <v>31</v>
      </c>
      <c r="D699" s="5">
        <v>36504</v>
      </c>
      <c r="E699" s="5">
        <v>45807</v>
      </c>
      <c r="F699" t="s">
        <v>1300</v>
      </c>
      <c r="G699" t="s">
        <v>93</v>
      </c>
      <c r="H699" t="s">
        <v>33</v>
      </c>
      <c r="I699" t="s">
        <v>24</v>
      </c>
      <c r="J699">
        <v>3520000</v>
      </c>
      <c r="L699">
        <v>2</v>
      </c>
      <c r="M699">
        <v>12</v>
      </c>
      <c r="N699" t="s">
        <v>41</v>
      </c>
      <c r="O699" t="s">
        <v>26</v>
      </c>
      <c r="P699" t="s">
        <v>27</v>
      </c>
      <c r="Q699" s="5">
        <v>46242</v>
      </c>
      <c r="R699" t="s">
        <v>155</v>
      </c>
      <c r="S699">
        <f>DATEDIF(D699,DATE(2026,9,30),"Y")</f>
        <v>26</v>
      </c>
      <c r="T699" s="6">
        <f>(IF(Q699="",DATE(2026,9,30),Q699)-E699)/365.25</f>
        <v>1.1909650924024642</v>
      </c>
      <c r="U699" t="str">
        <f>_xlfn.XLOOKUP(Table1_1[[#This Row],[Bo''lim]],Bolimlar!A:A,Bolimlar!B:B,"Topilmadi")</f>
        <v>Shahlo Ismoilova</v>
      </c>
      <c r="V699">
        <f>IF(P699="Ha",1,0)</f>
        <v>1</v>
      </c>
      <c r="W699" t="str">
        <f>IF(T699&lt;1,"1 yildan kam",IF(T699&lt;3,"1-3 yil","3 yildan ko'p"))</f>
        <v>1-3 yil</v>
      </c>
    </row>
    <row r="700" spans="1:23" x14ac:dyDescent="0.3">
      <c r="A700" t="s">
        <v>776</v>
      </c>
      <c r="B700" t="s">
        <v>777</v>
      </c>
      <c r="C700" t="s">
        <v>31</v>
      </c>
      <c r="D700" s="5">
        <v>32366</v>
      </c>
      <c r="E700" s="5">
        <v>44236</v>
      </c>
      <c r="F700" t="s">
        <v>39</v>
      </c>
      <c r="G700" t="s">
        <v>40</v>
      </c>
      <c r="H700" t="s">
        <v>33</v>
      </c>
      <c r="I700" t="s">
        <v>24</v>
      </c>
      <c r="J700">
        <v>3510000</v>
      </c>
      <c r="K700">
        <v>2</v>
      </c>
      <c r="L700">
        <v>5</v>
      </c>
      <c r="M700">
        <v>0</v>
      </c>
      <c r="N700" t="s">
        <v>88</v>
      </c>
      <c r="O700" t="s">
        <v>26</v>
      </c>
      <c r="P700" t="s">
        <v>36</v>
      </c>
      <c r="Q700" s="5"/>
      <c r="S700">
        <f>DATEDIF(D700,DATE(2026,9,30),"Y")</f>
        <v>38</v>
      </c>
      <c r="T700" s="6">
        <f>(IF(Q700="",DATE(2026,9,30),Q700)-E700)/365.25</f>
        <v>5.637234770704997</v>
      </c>
      <c r="U700" t="str">
        <f>_xlfn.XLOOKUP(Table1_1[[#This Row],[Bo''lim]],Bolimlar!A:A,Bolimlar!B:B,"Topilmadi")</f>
        <v>Nodira Tursunova</v>
      </c>
      <c r="V700">
        <f>IF(P700="Ha",1,0)</f>
        <v>0</v>
      </c>
      <c r="W700" t="str">
        <f>IF(T700&lt;1,"1 yildan kam",IF(T700&lt;3,"1-3 yil","3 yildan ko'p"))</f>
        <v>3 yildan ko'p</v>
      </c>
    </row>
    <row r="701" spans="1:23" x14ac:dyDescent="0.3">
      <c r="A701" t="s">
        <v>1158</v>
      </c>
      <c r="B701" t="s">
        <v>738</v>
      </c>
      <c r="C701" t="s">
        <v>31</v>
      </c>
      <c r="D701" s="5">
        <v>33405</v>
      </c>
      <c r="E701" s="5">
        <v>43438</v>
      </c>
      <c r="F701" t="s">
        <v>1300</v>
      </c>
      <c r="G701" t="s">
        <v>52</v>
      </c>
      <c r="H701" t="s">
        <v>33</v>
      </c>
      <c r="I701" t="s">
        <v>206</v>
      </c>
      <c r="J701">
        <v>3510000</v>
      </c>
      <c r="K701">
        <v>4</v>
      </c>
      <c r="L701">
        <v>3</v>
      </c>
      <c r="M701">
        <v>15</v>
      </c>
      <c r="N701" t="s">
        <v>88</v>
      </c>
      <c r="O701" t="s">
        <v>26</v>
      </c>
      <c r="P701" t="s">
        <v>36</v>
      </c>
      <c r="Q701" s="5"/>
      <c r="S701">
        <f>DATEDIF(D701,DATE(2026,9,30),"Y")</f>
        <v>35</v>
      </c>
      <c r="T701" s="6">
        <f>(IF(Q701="",DATE(2026,9,30),Q701)-E701)/365.25</f>
        <v>7.8220396988364138</v>
      </c>
      <c r="U701" t="str">
        <f>_xlfn.XLOOKUP(Table1_1[[#This Row],[Bo''lim]],Bolimlar!A:A,Bolimlar!B:B,"Topilmadi")</f>
        <v>Shahlo Ismoilova</v>
      </c>
      <c r="V701">
        <f>IF(P701="Ha",1,0)</f>
        <v>0</v>
      </c>
      <c r="W701" t="str">
        <f>IF(T701&lt;1,"1 yildan kam",IF(T701&lt;3,"1-3 yil","3 yildan ko'p"))</f>
        <v>3 yildan ko'p</v>
      </c>
    </row>
    <row r="702" spans="1:23" x14ac:dyDescent="0.3">
      <c r="A702" t="s">
        <v>128</v>
      </c>
      <c r="B702" t="s">
        <v>129</v>
      </c>
      <c r="C702" t="s">
        <v>31</v>
      </c>
      <c r="D702" s="5">
        <v>36169</v>
      </c>
      <c r="E702" s="5">
        <v>46155</v>
      </c>
      <c r="F702" t="s">
        <v>1035</v>
      </c>
      <c r="G702" t="s">
        <v>79</v>
      </c>
      <c r="H702" t="s">
        <v>33</v>
      </c>
      <c r="I702" t="s">
        <v>24</v>
      </c>
      <c r="J702">
        <v>3500000</v>
      </c>
      <c r="K702">
        <v>3</v>
      </c>
      <c r="L702">
        <v>3</v>
      </c>
      <c r="M702">
        <v>18</v>
      </c>
      <c r="N702" t="s">
        <v>25</v>
      </c>
      <c r="O702" t="s">
        <v>35</v>
      </c>
      <c r="P702" t="s">
        <v>36</v>
      </c>
      <c r="Q702" s="5"/>
      <c r="S702">
        <f>DATEDIF(D702,DATE(2026,9,30),"Y")</f>
        <v>27</v>
      </c>
      <c r="T702" s="6">
        <f>(IF(Q702="",DATE(2026,9,30),Q702)-E702)/365.25</f>
        <v>0.38329911019849416</v>
      </c>
      <c r="U702" t="str">
        <f>_xlfn.XLOOKUP(Table1_1[[#This Row],[Bo''lim]],Bolimlar!A:A,Bolimlar!B:B,"Topilmadi")</f>
        <v>Aziz Karimov</v>
      </c>
      <c r="V702">
        <f>IF(P702="Ha",1,0)</f>
        <v>0</v>
      </c>
      <c r="W702" t="str">
        <f>IF(T702&lt;1,"1 yildan kam",IF(T702&lt;3,"1-3 yil","3 yildan ko'p"))</f>
        <v>1 yildan kam</v>
      </c>
    </row>
    <row r="703" spans="1:23" x14ac:dyDescent="0.3">
      <c r="A703" t="s">
        <v>1113</v>
      </c>
      <c r="B703" t="s">
        <v>165</v>
      </c>
      <c r="C703" t="s">
        <v>20</v>
      </c>
      <c r="D703" s="5">
        <v>33523</v>
      </c>
      <c r="E703" s="5">
        <v>44651</v>
      </c>
      <c r="F703" t="s">
        <v>1300</v>
      </c>
      <c r="G703" t="s">
        <v>52</v>
      </c>
      <c r="H703" t="s">
        <v>33</v>
      </c>
      <c r="I703" t="s">
        <v>82</v>
      </c>
      <c r="J703">
        <v>3490000</v>
      </c>
      <c r="K703">
        <v>3</v>
      </c>
      <c r="L703">
        <v>4</v>
      </c>
      <c r="M703">
        <v>21</v>
      </c>
      <c r="N703" t="s">
        <v>25</v>
      </c>
      <c r="O703" t="s">
        <v>53</v>
      </c>
      <c r="P703" t="s">
        <v>36</v>
      </c>
      <c r="Q703" s="5"/>
      <c r="S703">
        <f>DATEDIF(D703,DATE(2026,9,30),"Y")</f>
        <v>34</v>
      </c>
      <c r="T703" s="6">
        <f>(IF(Q703="",DATE(2026,9,30),Q703)-E703)/365.25</f>
        <v>4.5010266940451746</v>
      </c>
      <c r="U703" t="str">
        <f>_xlfn.XLOOKUP(Table1_1[[#This Row],[Bo''lim]],Bolimlar!A:A,Bolimlar!B:B,"Topilmadi")</f>
        <v>Shahlo Ismoilova</v>
      </c>
      <c r="V703">
        <f>IF(P703="Ha",1,0)</f>
        <v>0</v>
      </c>
      <c r="W703" t="str">
        <f>IF(T703&lt;1,"1 yildan kam",IF(T703&lt;3,"1-3 yil","3 yildan ko'p"))</f>
        <v>3 yildan ko'p</v>
      </c>
    </row>
    <row r="704" spans="1:23" x14ac:dyDescent="0.3">
      <c r="A704" t="s">
        <v>1233</v>
      </c>
      <c r="B704" t="s">
        <v>273</v>
      </c>
      <c r="C704" t="s">
        <v>20</v>
      </c>
      <c r="D704" s="5">
        <v>33944</v>
      </c>
      <c r="E704" s="5">
        <v>45072</v>
      </c>
      <c r="F704" t="s">
        <v>1300</v>
      </c>
      <c r="G704" t="s">
        <v>52</v>
      </c>
      <c r="H704" t="s">
        <v>33</v>
      </c>
      <c r="I704" t="s">
        <v>34</v>
      </c>
      <c r="J704">
        <v>3490000</v>
      </c>
      <c r="K704">
        <v>5</v>
      </c>
      <c r="L704">
        <v>3</v>
      </c>
      <c r="M704">
        <v>9</v>
      </c>
      <c r="N704" t="s">
        <v>41</v>
      </c>
      <c r="O704" t="s">
        <v>53</v>
      </c>
      <c r="P704" t="s">
        <v>36</v>
      </c>
      <c r="Q704" s="5"/>
      <c r="S704">
        <f>DATEDIF(D704,DATE(2026,9,30),"Y")</f>
        <v>33</v>
      </c>
      <c r="T704" s="6">
        <f>(IF(Q704="",DATE(2026,9,30),Q704)-E704)/365.25</f>
        <v>3.3483915126625599</v>
      </c>
      <c r="U704" t="str">
        <f>_xlfn.XLOOKUP(Table1_1[[#This Row],[Bo''lim]],Bolimlar!A:A,Bolimlar!B:B,"Topilmadi")</f>
        <v>Shahlo Ismoilova</v>
      </c>
      <c r="V704">
        <f>IF(P704="Ha",1,0)</f>
        <v>0</v>
      </c>
      <c r="W704" t="str">
        <f>IF(T704&lt;1,"1 yildan kam",IF(T704&lt;3,"1-3 yil","3 yildan ko'p"))</f>
        <v>3 yildan ko'p</v>
      </c>
    </row>
    <row r="705" spans="1:23" x14ac:dyDescent="0.3">
      <c r="A705" t="s">
        <v>381</v>
      </c>
      <c r="B705" t="s">
        <v>382</v>
      </c>
      <c r="C705" t="s">
        <v>20</v>
      </c>
      <c r="D705" s="5">
        <v>29187</v>
      </c>
      <c r="E705" s="5">
        <v>45471</v>
      </c>
      <c r="F705" t="s">
        <v>1035</v>
      </c>
      <c r="G705" t="s">
        <v>65</v>
      </c>
      <c r="H705" t="s">
        <v>33</v>
      </c>
      <c r="I705" t="s">
        <v>206</v>
      </c>
      <c r="J705">
        <v>3480000</v>
      </c>
      <c r="L705">
        <v>3</v>
      </c>
      <c r="M705">
        <v>6</v>
      </c>
      <c r="N705" t="s">
        <v>25</v>
      </c>
      <c r="O705" t="s">
        <v>35</v>
      </c>
      <c r="P705" t="s">
        <v>36</v>
      </c>
      <c r="Q705" s="5"/>
      <c r="S705">
        <f>DATEDIF(D705,DATE(2026,9,30),"Y")</f>
        <v>46</v>
      </c>
      <c r="T705" s="6">
        <f>(IF(Q705="",DATE(2026,9,30),Q705)-E705)/365.25</f>
        <v>2.2559890485968515</v>
      </c>
      <c r="U705" t="str">
        <f>_xlfn.XLOOKUP(Table1_1[[#This Row],[Bo''lim]],Bolimlar!A:A,Bolimlar!B:B,"Topilmadi")</f>
        <v>Aziz Karimov</v>
      </c>
      <c r="V705">
        <f>IF(P705="Ha",1,0)</f>
        <v>0</v>
      </c>
      <c r="W705" t="str">
        <f>IF(T705&lt;1,"1 yildan kam",IF(T705&lt;3,"1-3 yil","3 yildan ko'p"))</f>
        <v>1-3 yil</v>
      </c>
    </row>
    <row r="706" spans="1:23" x14ac:dyDescent="0.3">
      <c r="A706" t="s">
        <v>568</v>
      </c>
      <c r="B706" t="s">
        <v>569</v>
      </c>
      <c r="C706" t="s">
        <v>31</v>
      </c>
      <c r="D706" s="5">
        <v>33523</v>
      </c>
      <c r="E706" s="5">
        <v>46211</v>
      </c>
      <c r="F706" t="s">
        <v>484</v>
      </c>
      <c r="G706" t="s">
        <v>115</v>
      </c>
      <c r="H706" t="s">
        <v>33</v>
      </c>
      <c r="I706" t="s">
        <v>24</v>
      </c>
      <c r="J706">
        <v>3480000</v>
      </c>
      <c r="K706">
        <v>3</v>
      </c>
      <c r="L706">
        <v>3</v>
      </c>
      <c r="M706">
        <v>20</v>
      </c>
      <c r="N706" t="s">
        <v>41</v>
      </c>
      <c r="O706" t="s">
        <v>35</v>
      </c>
      <c r="P706" t="s">
        <v>27</v>
      </c>
      <c r="Q706" s="5">
        <v>46292</v>
      </c>
      <c r="R706" t="s">
        <v>145</v>
      </c>
      <c r="S706">
        <f>DATEDIF(D706,DATE(2026,9,30),"Y")</f>
        <v>34</v>
      </c>
      <c r="T706" s="6">
        <f>(IF(Q706="",DATE(2026,9,30),Q706)-E706)/365.25</f>
        <v>0.22176591375770022</v>
      </c>
      <c r="U706" t="str">
        <f>_xlfn.XLOOKUP(Table1_1[[#This Row],[Bo''lim]],Bolimlar!A:A,Bolimlar!B:B,"Topilmadi")</f>
        <v>Sardor Nazarov</v>
      </c>
      <c r="V706">
        <f>IF(P706="Ha",1,0)</f>
        <v>1</v>
      </c>
      <c r="W706" t="str">
        <f>IF(T706&lt;1,"1 yildan kam",IF(T706&lt;3,"1-3 yil","3 yildan ko'p"))</f>
        <v>1 yildan kam</v>
      </c>
    </row>
    <row r="707" spans="1:23" x14ac:dyDescent="0.3">
      <c r="A707" t="s">
        <v>593</v>
      </c>
      <c r="B707" t="s">
        <v>594</v>
      </c>
      <c r="C707" t="s">
        <v>31</v>
      </c>
      <c r="D707" s="5">
        <v>38688</v>
      </c>
      <c r="E707" s="5">
        <v>46222</v>
      </c>
      <c r="F707" t="s">
        <v>1035</v>
      </c>
      <c r="G707" t="s">
        <v>73</v>
      </c>
      <c r="H707" t="s">
        <v>33</v>
      </c>
      <c r="I707" t="s">
        <v>24</v>
      </c>
      <c r="J707">
        <v>3480000</v>
      </c>
      <c r="K707">
        <v>4</v>
      </c>
      <c r="L707">
        <v>2</v>
      </c>
      <c r="M707">
        <v>16</v>
      </c>
      <c r="N707" t="s">
        <v>25</v>
      </c>
      <c r="O707" t="s">
        <v>26</v>
      </c>
      <c r="P707" t="s">
        <v>36</v>
      </c>
      <c r="Q707" s="5"/>
      <c r="S707">
        <f>DATEDIF(D707,DATE(2026,9,30),"Y")</f>
        <v>20</v>
      </c>
      <c r="T707" s="6">
        <f>(IF(Q707="",DATE(2026,9,30),Q707)-E707)/365.25</f>
        <v>0.1998631074606434</v>
      </c>
      <c r="U707" t="str">
        <f>_xlfn.XLOOKUP(Table1_1[[#This Row],[Bo''lim]],Bolimlar!A:A,Bolimlar!B:B,"Topilmadi")</f>
        <v>Aziz Karimov</v>
      </c>
      <c r="V707">
        <f>IF(P707="Ha",1,0)</f>
        <v>0</v>
      </c>
      <c r="W707" t="str">
        <f>IF(T707&lt;1,"1 yildan kam",IF(T707&lt;3,"1-3 yil","3 yildan ko'p"))</f>
        <v>1 yildan kam</v>
      </c>
    </row>
    <row r="708" spans="1:23" x14ac:dyDescent="0.3">
      <c r="A708" t="s">
        <v>616</v>
      </c>
      <c r="B708" t="s">
        <v>617</v>
      </c>
      <c r="C708" t="s">
        <v>31</v>
      </c>
      <c r="D708" s="5">
        <v>34162</v>
      </c>
      <c r="E708" s="5">
        <v>46230</v>
      </c>
      <c r="F708" t="s">
        <v>1035</v>
      </c>
      <c r="G708" t="s">
        <v>73</v>
      </c>
      <c r="H708" t="s">
        <v>33</v>
      </c>
      <c r="I708" t="s">
        <v>44</v>
      </c>
      <c r="J708">
        <v>3480000</v>
      </c>
      <c r="K708">
        <v>4</v>
      </c>
      <c r="L708">
        <v>2</v>
      </c>
      <c r="M708">
        <v>31</v>
      </c>
      <c r="N708" t="s">
        <v>41</v>
      </c>
      <c r="O708" t="s">
        <v>26</v>
      </c>
      <c r="P708" t="s">
        <v>27</v>
      </c>
      <c r="Q708" s="5">
        <v>46294</v>
      </c>
      <c r="R708" t="s">
        <v>111</v>
      </c>
      <c r="S708">
        <f>DATEDIF(D708,DATE(2026,9,30),"Y")</f>
        <v>33</v>
      </c>
      <c r="T708" s="6">
        <f>(IF(Q708="",DATE(2026,9,30),Q708)-E708)/365.25</f>
        <v>0.17522245037645448</v>
      </c>
      <c r="U708" t="str">
        <f>_xlfn.XLOOKUP(Table1_1[[#This Row],[Bo''lim]],Bolimlar!A:A,Bolimlar!B:B,"Topilmadi")</f>
        <v>Aziz Karimov</v>
      </c>
      <c r="V708">
        <f>IF(P708="Ha",1,0)</f>
        <v>1</v>
      </c>
      <c r="W708" t="str">
        <f>IF(T708&lt;1,"1 yildan kam",IF(T708&lt;3,"1-3 yil","3 yildan ko'p"))</f>
        <v>1 yildan kam</v>
      </c>
    </row>
    <row r="709" spans="1:23" x14ac:dyDescent="0.3">
      <c r="A709" t="s">
        <v>876</v>
      </c>
      <c r="B709" t="s">
        <v>877</v>
      </c>
      <c r="C709" t="s">
        <v>31</v>
      </c>
      <c r="D709" s="5">
        <v>32857</v>
      </c>
      <c r="E709" s="5">
        <v>46045</v>
      </c>
      <c r="F709" t="s">
        <v>1226</v>
      </c>
      <c r="G709" t="s">
        <v>142</v>
      </c>
      <c r="H709" t="s">
        <v>33</v>
      </c>
      <c r="I709" t="s">
        <v>82</v>
      </c>
      <c r="J709">
        <v>3480000</v>
      </c>
      <c r="K709">
        <v>4</v>
      </c>
      <c r="L709">
        <v>2</v>
      </c>
      <c r="M709">
        <v>18</v>
      </c>
      <c r="N709" t="s">
        <v>25</v>
      </c>
      <c r="O709" t="s">
        <v>53</v>
      </c>
      <c r="P709" t="s">
        <v>27</v>
      </c>
      <c r="Q709" s="5">
        <v>46137</v>
      </c>
      <c r="R709" t="s">
        <v>155</v>
      </c>
      <c r="S709">
        <f>DATEDIF(D709,DATE(2026,9,30),"Y")</f>
        <v>36</v>
      </c>
      <c r="T709" s="6">
        <f>(IF(Q709="",DATE(2026,9,30),Q709)-E709)/365.25</f>
        <v>0.2518822724161533</v>
      </c>
      <c r="U709" t="str">
        <f>_xlfn.XLOOKUP(Table1_1[[#This Row],[Bo''lim]],Bolimlar!A:A,Bolimlar!B:B,"Topilmadi")</f>
        <v>Madina Abdullayeva</v>
      </c>
      <c r="V709">
        <f>IF(P709="Ha",1,0)</f>
        <v>1</v>
      </c>
      <c r="W709" t="str">
        <f>IF(T709&lt;1,"1 yildan kam",IF(T709&lt;3,"1-3 yil","3 yildan ko'p"))</f>
        <v>1 yildan kam</v>
      </c>
    </row>
    <row r="710" spans="1:23" x14ac:dyDescent="0.3">
      <c r="A710" t="s">
        <v>1172</v>
      </c>
      <c r="B710" t="s">
        <v>1173</v>
      </c>
      <c r="C710" t="s">
        <v>31</v>
      </c>
      <c r="D710" s="5">
        <v>33843</v>
      </c>
      <c r="E710" s="5">
        <v>45326</v>
      </c>
      <c r="F710" t="s">
        <v>1035</v>
      </c>
      <c r="G710" t="s">
        <v>73</v>
      </c>
      <c r="H710" t="s">
        <v>33</v>
      </c>
      <c r="I710" t="s">
        <v>82</v>
      </c>
      <c r="J710">
        <v>3480000</v>
      </c>
      <c r="K710">
        <v>4</v>
      </c>
      <c r="L710">
        <v>4</v>
      </c>
      <c r="M710">
        <v>27</v>
      </c>
      <c r="N710" t="s">
        <v>41</v>
      </c>
      <c r="O710" t="s">
        <v>35</v>
      </c>
      <c r="P710" t="s">
        <v>36</v>
      </c>
      <c r="Q710" s="5"/>
      <c r="S710">
        <f>DATEDIF(D710,DATE(2026,9,30),"Y")</f>
        <v>34</v>
      </c>
      <c r="T710" s="6">
        <f>(IF(Q710="",DATE(2026,9,30),Q710)-E710)/365.25</f>
        <v>2.6529774127310062</v>
      </c>
      <c r="U710" t="str">
        <f>_xlfn.XLOOKUP(Table1_1[[#This Row],[Bo''lim]],Bolimlar!A:A,Bolimlar!B:B,"Topilmadi")</f>
        <v>Aziz Karimov</v>
      </c>
      <c r="V710">
        <f>IF(P710="Ha",1,0)</f>
        <v>0</v>
      </c>
      <c r="W710" t="str">
        <f>IF(T710&lt;1,"1 yildan kam",IF(T710&lt;3,"1-3 yil","3 yildan ko'p"))</f>
        <v>1-3 yil</v>
      </c>
    </row>
    <row r="711" spans="1:23" x14ac:dyDescent="0.3">
      <c r="A711" t="s">
        <v>1114</v>
      </c>
      <c r="B711" t="s">
        <v>384</v>
      </c>
      <c r="C711" t="s">
        <v>31</v>
      </c>
      <c r="D711" s="5">
        <v>33415</v>
      </c>
      <c r="E711" s="5">
        <v>44727</v>
      </c>
      <c r="F711" t="s">
        <v>245</v>
      </c>
      <c r="G711" t="s">
        <v>127</v>
      </c>
      <c r="H711" t="s">
        <v>33</v>
      </c>
      <c r="I711" t="s">
        <v>24</v>
      </c>
      <c r="J711">
        <v>3460000</v>
      </c>
      <c r="K711">
        <v>1</v>
      </c>
      <c r="L711">
        <v>1</v>
      </c>
      <c r="M711">
        <v>0</v>
      </c>
      <c r="N711" t="s">
        <v>41</v>
      </c>
      <c r="O711" t="s">
        <v>35</v>
      </c>
      <c r="P711" t="s">
        <v>36</v>
      </c>
      <c r="Q711" s="5"/>
      <c r="S711">
        <f>DATEDIF(D711,DATE(2026,9,30),"Y")</f>
        <v>35</v>
      </c>
      <c r="T711" s="6">
        <f>(IF(Q711="",DATE(2026,9,30),Q711)-E711)/365.25</f>
        <v>4.2929500342231348</v>
      </c>
      <c r="U711" t="str">
        <f>_xlfn.XLOOKUP(Table1_1[[#This Row],[Bo''lim]],Bolimlar!A:A,Bolimlar!B:B,"Topilmadi")</f>
        <v>Dilnoza Rahimova</v>
      </c>
      <c r="V711">
        <f>IF(P711="Ha",1,0)</f>
        <v>0</v>
      </c>
      <c r="W711" t="str">
        <f>IF(T711&lt;1,"1 yildan kam",IF(T711&lt;3,"1-3 yil","3 yildan ko'p"))</f>
        <v>3 yildan ko'p</v>
      </c>
    </row>
    <row r="712" spans="1:23" x14ac:dyDescent="0.3">
      <c r="A712" t="s">
        <v>1115</v>
      </c>
      <c r="B712" t="s">
        <v>839</v>
      </c>
      <c r="C712" t="s">
        <v>20</v>
      </c>
      <c r="D712" s="5">
        <v>32094</v>
      </c>
      <c r="E712" s="5">
        <v>45709</v>
      </c>
      <c r="F712" t="s">
        <v>1300</v>
      </c>
      <c r="G712" t="s">
        <v>93</v>
      </c>
      <c r="H712" t="s">
        <v>33</v>
      </c>
      <c r="I712" t="s">
        <v>24</v>
      </c>
      <c r="J712">
        <v>3460000</v>
      </c>
      <c r="K712">
        <v>3</v>
      </c>
      <c r="L712">
        <v>2</v>
      </c>
      <c r="M712">
        <v>23</v>
      </c>
      <c r="N712" t="s">
        <v>41</v>
      </c>
      <c r="O712" t="s">
        <v>53</v>
      </c>
      <c r="P712" t="s">
        <v>36</v>
      </c>
      <c r="Q712" s="5"/>
      <c r="S712">
        <f>DATEDIF(D712,DATE(2026,9,30),"Y")</f>
        <v>38</v>
      </c>
      <c r="T712" s="6">
        <f>(IF(Q712="",DATE(2026,9,30),Q712)-E712)/365.25</f>
        <v>1.6043805612594113</v>
      </c>
      <c r="U712" t="str">
        <f>_xlfn.XLOOKUP(Table1_1[[#This Row],[Bo''lim]],Bolimlar!A:A,Bolimlar!B:B,"Topilmadi")</f>
        <v>Shahlo Ismoilova</v>
      </c>
      <c r="V712">
        <f>IF(P712="Ha",1,0)</f>
        <v>0</v>
      </c>
      <c r="W712" t="str">
        <f>IF(T712&lt;1,"1 yildan kam",IF(T712&lt;3,"1-3 yil","3 yildan ko'p"))</f>
        <v>1-3 yil</v>
      </c>
    </row>
    <row r="713" spans="1:23" x14ac:dyDescent="0.3">
      <c r="A713" t="s">
        <v>1227</v>
      </c>
      <c r="B713" t="s">
        <v>1228</v>
      </c>
      <c r="C713" t="s">
        <v>31</v>
      </c>
      <c r="D713" s="5">
        <v>34467</v>
      </c>
      <c r="E713" s="5">
        <v>44793</v>
      </c>
      <c r="F713" t="s">
        <v>245</v>
      </c>
      <c r="G713" t="s">
        <v>48</v>
      </c>
      <c r="H713" t="s">
        <v>33</v>
      </c>
      <c r="I713" t="s">
        <v>24</v>
      </c>
      <c r="J713">
        <v>3460000</v>
      </c>
      <c r="K713">
        <v>3</v>
      </c>
      <c r="L713">
        <v>2</v>
      </c>
      <c r="M713">
        <v>13</v>
      </c>
      <c r="N713" t="s">
        <v>41</v>
      </c>
      <c r="O713" t="s">
        <v>35</v>
      </c>
      <c r="P713" t="s">
        <v>36</v>
      </c>
      <c r="Q713" s="5"/>
      <c r="S713">
        <f>DATEDIF(D713,DATE(2026,9,30),"Y")</f>
        <v>32</v>
      </c>
      <c r="T713" s="6">
        <f>(IF(Q713="",DATE(2026,9,30),Q713)-E713)/365.25</f>
        <v>4.1122518822724166</v>
      </c>
      <c r="U713" t="str">
        <f>_xlfn.XLOOKUP(Table1_1[[#This Row],[Bo''lim]],Bolimlar!A:A,Bolimlar!B:B,"Topilmadi")</f>
        <v>Dilnoza Rahimova</v>
      </c>
      <c r="V713">
        <f>IF(P713="Ha",1,0)</f>
        <v>0</v>
      </c>
      <c r="W713" t="str">
        <f>IF(T713&lt;1,"1 yildan kam",IF(T713&lt;3,"1-3 yil","3 yildan ko'p"))</f>
        <v>3 yildan ko'p</v>
      </c>
    </row>
    <row r="714" spans="1:23" x14ac:dyDescent="0.3">
      <c r="A714" t="s">
        <v>1242</v>
      </c>
      <c r="B714" t="s">
        <v>1243</v>
      </c>
      <c r="C714" t="s">
        <v>31</v>
      </c>
      <c r="D714" s="5">
        <v>35463</v>
      </c>
      <c r="E714" s="5">
        <v>44630</v>
      </c>
      <c r="F714" t="s">
        <v>39</v>
      </c>
      <c r="G714" t="s">
        <v>170</v>
      </c>
      <c r="H714" t="s">
        <v>33</v>
      </c>
      <c r="I714" t="s">
        <v>44</v>
      </c>
      <c r="J714">
        <v>3450000</v>
      </c>
      <c r="K714">
        <v>4</v>
      </c>
      <c r="L714">
        <v>4</v>
      </c>
      <c r="M714">
        <v>23</v>
      </c>
      <c r="N714" t="s">
        <v>41</v>
      </c>
      <c r="O714" t="s">
        <v>53</v>
      </c>
      <c r="P714" t="s">
        <v>36</v>
      </c>
      <c r="Q714" s="5"/>
      <c r="S714">
        <f>DATEDIF(D714,DATE(2026,9,30),"Y")</f>
        <v>29</v>
      </c>
      <c r="T714" s="6">
        <f>(IF(Q714="",DATE(2026,9,30),Q714)-E714)/365.25</f>
        <v>4.5585215605749489</v>
      </c>
      <c r="U714" t="str">
        <f>_xlfn.XLOOKUP(Table1_1[[#This Row],[Bo''lim]],Bolimlar!A:A,Bolimlar!B:B,"Topilmadi")</f>
        <v>Nodira Tursunova</v>
      </c>
      <c r="V714">
        <f>IF(P714="Ha",1,0)</f>
        <v>0</v>
      </c>
      <c r="W714" t="str">
        <f>IF(T714&lt;1,"1 yildan kam",IF(T714&lt;3,"1-3 yil","3 yildan ko'p"))</f>
        <v>3 yildan ko'p</v>
      </c>
    </row>
    <row r="715" spans="1:23" x14ac:dyDescent="0.3">
      <c r="A715" t="s">
        <v>450</v>
      </c>
      <c r="B715" t="s">
        <v>451</v>
      </c>
      <c r="C715" t="s">
        <v>20</v>
      </c>
      <c r="D715" s="5">
        <v>32534</v>
      </c>
      <c r="E715" s="5">
        <v>45751</v>
      </c>
      <c r="F715" t="s">
        <v>1226</v>
      </c>
      <c r="G715" t="s">
        <v>142</v>
      </c>
      <c r="H715" t="s">
        <v>33</v>
      </c>
      <c r="I715" t="s">
        <v>34</v>
      </c>
      <c r="J715">
        <v>3440000</v>
      </c>
      <c r="K715">
        <v>3</v>
      </c>
      <c r="L715">
        <v>3</v>
      </c>
      <c r="M715">
        <v>1</v>
      </c>
      <c r="N715" t="s">
        <v>25</v>
      </c>
      <c r="O715" t="s">
        <v>53</v>
      </c>
      <c r="P715" t="s">
        <v>36</v>
      </c>
      <c r="Q715" s="5"/>
      <c r="S715">
        <f>DATEDIF(D715,DATE(2026,9,30),"Y")</f>
        <v>37</v>
      </c>
      <c r="T715" s="6">
        <f>(IF(Q715="",DATE(2026,9,30),Q715)-E715)/365.25</f>
        <v>1.4893908281998631</v>
      </c>
      <c r="U715" t="str">
        <f>_xlfn.XLOOKUP(Table1_1[[#This Row],[Bo''lim]],Bolimlar!A:A,Bolimlar!B:B,"Topilmadi")</f>
        <v>Madina Abdullayeva</v>
      </c>
      <c r="V715">
        <f>IF(P715="Ha",1,0)</f>
        <v>0</v>
      </c>
      <c r="W715" t="str">
        <f>IF(T715&lt;1,"1 yildan kam",IF(T715&lt;3,"1-3 yil","3 yildan ko'p"))</f>
        <v>1-3 yil</v>
      </c>
    </row>
    <row r="716" spans="1:23" x14ac:dyDescent="0.3">
      <c r="A716" t="s">
        <v>633</v>
      </c>
      <c r="B716" t="s">
        <v>634</v>
      </c>
      <c r="C716" t="s">
        <v>31</v>
      </c>
      <c r="D716" s="5">
        <v>35316</v>
      </c>
      <c r="E716" s="5">
        <v>44103</v>
      </c>
      <c r="F716" t="s">
        <v>1035</v>
      </c>
      <c r="G716" t="s">
        <v>65</v>
      </c>
      <c r="H716" t="s">
        <v>33</v>
      </c>
      <c r="I716" t="s">
        <v>104</v>
      </c>
      <c r="J716">
        <v>3430000</v>
      </c>
      <c r="K716">
        <v>5</v>
      </c>
      <c r="L716">
        <v>3</v>
      </c>
      <c r="M716">
        <v>44</v>
      </c>
      <c r="N716" t="s">
        <v>41</v>
      </c>
      <c r="O716" t="s">
        <v>26</v>
      </c>
      <c r="P716" t="s">
        <v>36</v>
      </c>
      <c r="Q716" s="5"/>
      <c r="S716">
        <f>DATEDIF(D716,DATE(2026,9,30),"Y")</f>
        <v>30</v>
      </c>
      <c r="T716" s="6">
        <f>(IF(Q716="",DATE(2026,9,30),Q716)-E716)/365.25</f>
        <v>6.0013689253935665</v>
      </c>
      <c r="U716" t="str">
        <f>_xlfn.XLOOKUP(Table1_1[[#This Row],[Bo''lim]],Bolimlar!A:A,Bolimlar!B:B,"Topilmadi")</f>
        <v>Aziz Karimov</v>
      </c>
      <c r="V716">
        <f>IF(P716="Ha",1,0)</f>
        <v>0</v>
      </c>
      <c r="W716" t="str">
        <f>IF(T716&lt;1,"1 yildan kam",IF(T716&lt;3,"1-3 yil","3 yildan ko'p"))</f>
        <v>3 yildan ko'p</v>
      </c>
    </row>
    <row r="717" spans="1:23" x14ac:dyDescent="0.3">
      <c r="A717" t="s">
        <v>915</v>
      </c>
      <c r="B717" t="s">
        <v>916</v>
      </c>
      <c r="C717" t="s">
        <v>20</v>
      </c>
      <c r="D717" s="5">
        <v>34875</v>
      </c>
      <c r="E717" s="5">
        <v>45508</v>
      </c>
      <c r="F717" t="s">
        <v>1035</v>
      </c>
      <c r="G717" t="s">
        <v>65</v>
      </c>
      <c r="H717" t="s">
        <v>33</v>
      </c>
      <c r="I717" t="s">
        <v>82</v>
      </c>
      <c r="J717">
        <v>3430000</v>
      </c>
      <c r="K717">
        <v>1</v>
      </c>
      <c r="L717">
        <v>4</v>
      </c>
      <c r="M717">
        <v>6</v>
      </c>
      <c r="N717" t="s">
        <v>41</v>
      </c>
      <c r="O717" t="s">
        <v>26</v>
      </c>
      <c r="P717" t="s">
        <v>36</v>
      </c>
      <c r="Q717" s="5"/>
      <c r="S717">
        <f>DATEDIF(D717,DATE(2026,9,30),"Y")</f>
        <v>31</v>
      </c>
      <c r="T717" s="6">
        <f>(IF(Q717="",DATE(2026,9,30),Q717)-E717)/365.25</f>
        <v>2.1546885694729636</v>
      </c>
      <c r="U717" t="str">
        <f>_xlfn.XLOOKUP(Table1_1[[#This Row],[Bo''lim]],Bolimlar!A:A,Bolimlar!B:B,"Topilmadi")</f>
        <v>Aziz Karimov</v>
      </c>
      <c r="V717">
        <f>IF(P717="Ha",1,0)</f>
        <v>0</v>
      </c>
      <c r="W717" t="str">
        <f>IF(T717&lt;1,"1 yildan kam",IF(T717&lt;3,"1-3 yil","3 yildan ko'p"))</f>
        <v>1-3 yil</v>
      </c>
    </row>
    <row r="718" spans="1:23" x14ac:dyDescent="0.3">
      <c r="A718" t="s">
        <v>691</v>
      </c>
      <c r="B718" t="s">
        <v>420</v>
      </c>
      <c r="C718" t="s">
        <v>31</v>
      </c>
      <c r="D718" s="5">
        <v>31255</v>
      </c>
      <c r="E718" s="5">
        <v>43219</v>
      </c>
      <c r="F718" t="s">
        <v>1300</v>
      </c>
      <c r="G718" t="s">
        <v>52</v>
      </c>
      <c r="H718" t="s">
        <v>33</v>
      </c>
      <c r="I718" t="s">
        <v>24</v>
      </c>
      <c r="J718">
        <v>3420000</v>
      </c>
      <c r="K718">
        <v>4</v>
      </c>
      <c r="L718">
        <v>5</v>
      </c>
      <c r="M718">
        <v>21</v>
      </c>
      <c r="N718" t="s">
        <v>41</v>
      </c>
      <c r="O718" t="s">
        <v>26</v>
      </c>
      <c r="P718" t="s">
        <v>36</v>
      </c>
      <c r="Q718" s="5"/>
      <c r="S718">
        <f>DATEDIF(D718,DATE(2026,9,30),"Y")</f>
        <v>41</v>
      </c>
      <c r="T718" s="6">
        <f>(IF(Q718="",DATE(2026,9,30),Q718)-E718)/365.25</f>
        <v>8.4216290212183438</v>
      </c>
      <c r="U718" t="str">
        <f>_xlfn.XLOOKUP(Table1_1[[#This Row],[Bo''lim]],Bolimlar!A:A,Bolimlar!B:B,"Topilmadi")</f>
        <v>Shahlo Ismoilova</v>
      </c>
      <c r="V718">
        <f>IF(P718="Ha",1,0)</f>
        <v>0</v>
      </c>
      <c r="W718" t="str">
        <f>IF(T718&lt;1,"1 yildan kam",IF(T718&lt;3,"1-3 yil","3 yildan ko'p"))</f>
        <v>3 yildan ko'p</v>
      </c>
    </row>
    <row r="719" spans="1:23" x14ac:dyDescent="0.3">
      <c r="A719" t="s">
        <v>89</v>
      </c>
      <c r="B719" t="s">
        <v>19</v>
      </c>
      <c r="C719" t="s">
        <v>20</v>
      </c>
      <c r="D719" s="5">
        <v>32195</v>
      </c>
      <c r="E719" s="5">
        <v>44085</v>
      </c>
      <c r="F719" t="s">
        <v>245</v>
      </c>
      <c r="G719" t="s">
        <v>90</v>
      </c>
      <c r="H719" t="s">
        <v>33</v>
      </c>
      <c r="I719" t="s">
        <v>24</v>
      </c>
      <c r="J719">
        <v>3410000</v>
      </c>
      <c r="K719">
        <v>4</v>
      </c>
      <c r="L719">
        <v>5</v>
      </c>
      <c r="M719">
        <v>19</v>
      </c>
      <c r="N719" t="s">
        <v>25</v>
      </c>
      <c r="O719" t="s">
        <v>35</v>
      </c>
      <c r="P719" t="s">
        <v>36</v>
      </c>
      <c r="Q719" s="5"/>
      <c r="S719">
        <f>DATEDIF(D719,DATE(2026,9,30),"Y")</f>
        <v>38</v>
      </c>
      <c r="T719" s="6">
        <f>(IF(Q719="",DATE(2026,9,30),Q719)-E719)/365.25</f>
        <v>6.0506502395619437</v>
      </c>
      <c r="U719" t="str">
        <f>_xlfn.XLOOKUP(Table1_1[[#This Row],[Bo''lim]],Bolimlar!A:A,Bolimlar!B:B,"Topilmadi")</f>
        <v>Dilnoza Rahimova</v>
      </c>
      <c r="V719">
        <f>IF(P719="Ha",1,0)</f>
        <v>0</v>
      </c>
      <c r="W719" t="str">
        <f>IF(T719&lt;1,"1 yildan kam",IF(T719&lt;3,"1-3 yil","3 yildan ko'p"))</f>
        <v>3 yildan ko'p</v>
      </c>
    </row>
    <row r="720" spans="1:23" x14ac:dyDescent="0.3">
      <c r="A720" t="s">
        <v>921</v>
      </c>
      <c r="B720" t="s">
        <v>922</v>
      </c>
      <c r="C720" t="s">
        <v>20</v>
      </c>
      <c r="D720" s="5">
        <v>33445</v>
      </c>
      <c r="E720" s="5">
        <v>43730</v>
      </c>
      <c r="F720" t="s">
        <v>1300</v>
      </c>
      <c r="G720" t="s">
        <v>52</v>
      </c>
      <c r="H720" t="s">
        <v>33</v>
      </c>
      <c r="I720" t="s">
        <v>34</v>
      </c>
      <c r="J720">
        <v>3410000</v>
      </c>
      <c r="K720">
        <v>3</v>
      </c>
      <c r="L720">
        <v>4</v>
      </c>
      <c r="M720">
        <v>4</v>
      </c>
      <c r="N720" t="s">
        <v>25</v>
      </c>
      <c r="O720" t="s">
        <v>26</v>
      </c>
      <c r="P720" t="s">
        <v>36</v>
      </c>
      <c r="Q720" s="5"/>
      <c r="S720">
        <f>DATEDIF(D720,DATE(2026,9,30),"Y")</f>
        <v>35</v>
      </c>
      <c r="T720" s="6">
        <f>(IF(Q720="",DATE(2026,9,30),Q720)-E720)/365.25</f>
        <v>7.0225872689938402</v>
      </c>
      <c r="U720" t="str">
        <f>_xlfn.XLOOKUP(Table1_1[[#This Row],[Bo''lim]],Bolimlar!A:A,Bolimlar!B:B,"Topilmadi")</f>
        <v>Shahlo Ismoilova</v>
      </c>
      <c r="V720">
        <f>IF(P720="Ha",1,0)</f>
        <v>0</v>
      </c>
      <c r="W720" t="str">
        <f>IF(T720&lt;1,"1 yildan kam",IF(T720&lt;3,"1-3 yil","3 yildan ko'p"))</f>
        <v>3 yildan ko'p</v>
      </c>
    </row>
    <row r="721" spans="1:23" x14ac:dyDescent="0.3">
      <c r="A721" t="s">
        <v>176</v>
      </c>
      <c r="B721" t="s">
        <v>177</v>
      </c>
      <c r="C721" t="s">
        <v>20</v>
      </c>
      <c r="D721" s="5">
        <v>38761</v>
      </c>
      <c r="E721" s="5">
        <v>46244</v>
      </c>
      <c r="F721" t="s">
        <v>1226</v>
      </c>
      <c r="G721" t="s">
        <v>142</v>
      </c>
      <c r="H721" t="s">
        <v>33</v>
      </c>
      <c r="I721" t="s">
        <v>24</v>
      </c>
      <c r="J721">
        <v>3400000</v>
      </c>
      <c r="K721">
        <v>5</v>
      </c>
      <c r="L721">
        <v>3</v>
      </c>
      <c r="M721">
        <v>8</v>
      </c>
      <c r="N721" t="s">
        <v>25</v>
      </c>
      <c r="O721" t="s">
        <v>26</v>
      </c>
      <c r="P721" t="s">
        <v>36</v>
      </c>
      <c r="Q721" s="5"/>
      <c r="S721">
        <f>DATEDIF(D721,DATE(2026,9,30),"Y")</f>
        <v>20</v>
      </c>
      <c r="T721" s="6">
        <f>(IF(Q721="",DATE(2026,9,30),Q721)-E721)/365.25</f>
        <v>0.13963039014373715</v>
      </c>
      <c r="U721" t="str">
        <f>_xlfn.XLOOKUP(Table1_1[[#This Row],[Bo''lim]],Bolimlar!A:A,Bolimlar!B:B,"Topilmadi")</f>
        <v>Madina Abdullayeva</v>
      </c>
      <c r="V721">
        <f>IF(P721="Ha",1,0)</f>
        <v>0</v>
      </c>
      <c r="W721" t="str">
        <f>IF(T721&lt;1,"1 yildan kam",IF(T721&lt;3,"1-3 yil","3 yildan ko'p"))</f>
        <v>1 yildan kam</v>
      </c>
    </row>
    <row r="722" spans="1:23" x14ac:dyDescent="0.3">
      <c r="A722" t="s">
        <v>883</v>
      </c>
      <c r="B722" t="s">
        <v>658</v>
      </c>
      <c r="C722" t="s">
        <v>31</v>
      </c>
      <c r="D722" s="5">
        <v>35379</v>
      </c>
      <c r="E722" s="5">
        <v>46190</v>
      </c>
      <c r="F722" t="s">
        <v>484</v>
      </c>
      <c r="G722" t="s">
        <v>115</v>
      </c>
      <c r="H722" t="s">
        <v>33</v>
      </c>
      <c r="I722" t="s">
        <v>34</v>
      </c>
      <c r="J722">
        <v>3400000</v>
      </c>
      <c r="K722">
        <v>5</v>
      </c>
      <c r="L722">
        <v>4</v>
      </c>
      <c r="M722">
        <v>16</v>
      </c>
      <c r="N722" t="s">
        <v>41</v>
      </c>
      <c r="O722" t="s">
        <v>53</v>
      </c>
      <c r="P722" t="s">
        <v>36</v>
      </c>
      <c r="Q722" s="5"/>
      <c r="S722">
        <f>DATEDIF(D722,DATE(2026,9,30),"Y")</f>
        <v>29</v>
      </c>
      <c r="T722" s="6">
        <f>(IF(Q722="",DATE(2026,9,30),Q722)-E722)/365.25</f>
        <v>0.28747433264887062</v>
      </c>
      <c r="U722" t="str">
        <f>_xlfn.XLOOKUP(Table1_1[[#This Row],[Bo''lim]],Bolimlar!A:A,Bolimlar!B:B,"Topilmadi")</f>
        <v>Sardor Nazarov</v>
      </c>
      <c r="V722">
        <f>IF(P722="Ha",1,0)</f>
        <v>0</v>
      </c>
      <c r="W722" t="str">
        <f>IF(T722&lt;1,"1 yildan kam",IF(T722&lt;3,"1-3 yil","3 yildan ko'p"))</f>
        <v>1 yildan kam</v>
      </c>
    </row>
    <row r="723" spans="1:23" x14ac:dyDescent="0.3">
      <c r="A723" t="s">
        <v>998</v>
      </c>
      <c r="B723" t="s">
        <v>256</v>
      </c>
      <c r="C723" t="s">
        <v>20</v>
      </c>
      <c r="D723" s="5">
        <v>38678</v>
      </c>
      <c r="E723" s="5">
        <v>46259</v>
      </c>
      <c r="F723" t="s">
        <v>1226</v>
      </c>
      <c r="G723" t="s">
        <v>60</v>
      </c>
      <c r="H723" t="s">
        <v>33</v>
      </c>
      <c r="I723" t="s">
        <v>34</v>
      </c>
      <c r="J723">
        <v>3400000</v>
      </c>
      <c r="K723">
        <v>4</v>
      </c>
      <c r="L723">
        <v>5</v>
      </c>
      <c r="M723">
        <v>16</v>
      </c>
      <c r="N723" t="s">
        <v>25</v>
      </c>
      <c r="O723" t="s">
        <v>26</v>
      </c>
      <c r="P723" t="s">
        <v>36</v>
      </c>
      <c r="Q723" s="5"/>
      <c r="S723">
        <f>DATEDIF(D723,DATE(2026,9,30),"Y")</f>
        <v>20</v>
      </c>
      <c r="T723" s="6">
        <f>(IF(Q723="",DATE(2026,9,30),Q723)-E723)/365.25</f>
        <v>9.856262833675565E-2</v>
      </c>
      <c r="U723" t="str">
        <f>_xlfn.XLOOKUP(Table1_1[[#This Row],[Bo''lim]],Bolimlar!A:A,Bolimlar!B:B,"Topilmadi")</f>
        <v>Madina Abdullayeva</v>
      </c>
      <c r="V723">
        <f>IF(P723="Ha",1,0)</f>
        <v>0</v>
      </c>
      <c r="W723" t="str">
        <f>IF(T723&lt;1,"1 yildan kam",IF(T723&lt;3,"1-3 yil","3 yildan ko'p"))</f>
        <v>1 yildan kam</v>
      </c>
    </row>
    <row r="724" spans="1:23" x14ac:dyDescent="0.3">
      <c r="A724" t="s">
        <v>861</v>
      </c>
      <c r="B724" t="s">
        <v>390</v>
      </c>
      <c r="C724" t="s">
        <v>31</v>
      </c>
      <c r="D724" s="5">
        <v>34610</v>
      </c>
      <c r="E724" s="5">
        <v>45574</v>
      </c>
      <c r="F724" t="s">
        <v>1300</v>
      </c>
      <c r="G724" t="s">
        <v>52</v>
      </c>
      <c r="H724" t="s">
        <v>33</v>
      </c>
      <c r="I724" t="s">
        <v>24</v>
      </c>
      <c r="J724">
        <v>3390000</v>
      </c>
      <c r="K724">
        <v>5</v>
      </c>
      <c r="L724">
        <v>4</v>
      </c>
      <c r="M724">
        <v>12</v>
      </c>
      <c r="N724" t="s">
        <v>41</v>
      </c>
      <c r="O724" t="s">
        <v>26</v>
      </c>
      <c r="P724" t="s">
        <v>27</v>
      </c>
      <c r="Q724" s="5">
        <v>45812</v>
      </c>
      <c r="R724" t="s">
        <v>28</v>
      </c>
      <c r="S724">
        <f>DATEDIF(D724,DATE(2026,9,30),"Y")</f>
        <v>31</v>
      </c>
      <c r="T724" s="6">
        <f>(IF(Q724="",DATE(2026,9,30),Q724)-E724)/365.25</f>
        <v>0.65160848733744015</v>
      </c>
      <c r="U724" t="str">
        <f>_xlfn.XLOOKUP(Table1_1[[#This Row],[Bo''lim]],Bolimlar!A:A,Bolimlar!B:B,"Topilmadi")</f>
        <v>Shahlo Ismoilova</v>
      </c>
      <c r="V724">
        <f>IF(P724="Ha",1,0)</f>
        <v>1</v>
      </c>
      <c r="W724" t="str">
        <f>IF(T724&lt;1,"1 yildan kam",IF(T724&lt;3,"1-3 yil","3 yildan ko'p"))</f>
        <v>1 yildan kam</v>
      </c>
    </row>
    <row r="725" spans="1:23" x14ac:dyDescent="0.3">
      <c r="A725" t="s">
        <v>1162</v>
      </c>
      <c r="B725" t="s">
        <v>526</v>
      </c>
      <c r="C725" t="s">
        <v>20</v>
      </c>
      <c r="D725" s="5">
        <v>36233</v>
      </c>
      <c r="E725" s="5">
        <v>45569</v>
      </c>
      <c r="F725" t="s">
        <v>1300</v>
      </c>
      <c r="G725" t="s">
        <v>52</v>
      </c>
      <c r="H725" t="s">
        <v>33</v>
      </c>
      <c r="I725" t="s">
        <v>34</v>
      </c>
      <c r="J725">
        <v>3380000</v>
      </c>
      <c r="K725">
        <v>3</v>
      </c>
      <c r="L725">
        <v>4</v>
      </c>
      <c r="M725">
        <v>32</v>
      </c>
      <c r="N725" t="s">
        <v>88</v>
      </c>
      <c r="O725" t="s">
        <v>26</v>
      </c>
      <c r="P725" t="s">
        <v>36</v>
      </c>
      <c r="Q725" s="5"/>
      <c r="S725">
        <f>DATEDIF(D725,DATE(2026,9,30),"Y")</f>
        <v>27</v>
      </c>
      <c r="T725" s="6">
        <f>(IF(Q725="",DATE(2026,9,30),Q725)-E725)/365.25</f>
        <v>1.9876796714579055</v>
      </c>
      <c r="U725" t="str">
        <f>_xlfn.XLOOKUP(Table1_1[[#This Row],[Bo''lim]],Bolimlar!A:A,Bolimlar!B:B,"Topilmadi")</f>
        <v>Shahlo Ismoilova</v>
      </c>
      <c r="V725">
        <f>IF(P725="Ha",1,0)</f>
        <v>0</v>
      </c>
      <c r="W725" t="str">
        <f>IF(T725&lt;1,"1 yildan kam",IF(T725&lt;3,"1-3 yil","3 yildan ko'p"))</f>
        <v>1-3 yil</v>
      </c>
    </row>
    <row r="726" spans="1:23" x14ac:dyDescent="0.3">
      <c r="A726" t="s">
        <v>312</v>
      </c>
      <c r="B726" t="s">
        <v>313</v>
      </c>
      <c r="C726" t="s">
        <v>20</v>
      </c>
      <c r="D726" s="5">
        <v>38824</v>
      </c>
      <c r="E726" s="5">
        <v>46230</v>
      </c>
      <c r="F726" t="s">
        <v>1300</v>
      </c>
      <c r="G726" t="s">
        <v>52</v>
      </c>
      <c r="H726" t="s">
        <v>33</v>
      </c>
      <c r="I726" t="s">
        <v>24</v>
      </c>
      <c r="J726">
        <v>3370000</v>
      </c>
      <c r="K726">
        <v>3</v>
      </c>
      <c r="L726">
        <v>5</v>
      </c>
      <c r="M726">
        <v>19</v>
      </c>
      <c r="N726" t="s">
        <v>25</v>
      </c>
      <c r="O726" t="s">
        <v>35</v>
      </c>
      <c r="P726" t="s">
        <v>36</v>
      </c>
      <c r="Q726" s="5"/>
      <c r="S726">
        <f>DATEDIF(D726,DATE(2026,9,30),"Y")</f>
        <v>20</v>
      </c>
      <c r="T726" s="6">
        <f>(IF(Q726="",DATE(2026,9,30),Q726)-E726)/365.25</f>
        <v>0.17796030116358658</v>
      </c>
      <c r="U726" t="str">
        <f>_xlfn.XLOOKUP(Table1_1[[#This Row],[Bo''lim]],Bolimlar!A:A,Bolimlar!B:B,"Topilmadi")</f>
        <v>Shahlo Ismoilova</v>
      </c>
      <c r="V726">
        <f>IF(P726="Ha",1,0)</f>
        <v>0</v>
      </c>
      <c r="W726" t="str">
        <f>IF(T726&lt;1,"1 yildan kam",IF(T726&lt;3,"1-3 yil","3 yildan ko'p"))</f>
        <v>1 yildan kam</v>
      </c>
    </row>
    <row r="727" spans="1:23" x14ac:dyDescent="0.3">
      <c r="A727" t="s">
        <v>591</v>
      </c>
      <c r="B727" t="s">
        <v>592</v>
      </c>
      <c r="C727" t="s">
        <v>31</v>
      </c>
      <c r="D727" s="5">
        <v>36962</v>
      </c>
      <c r="E727" s="5">
        <v>46166</v>
      </c>
      <c r="F727" t="s">
        <v>484</v>
      </c>
      <c r="G727" t="s">
        <v>196</v>
      </c>
      <c r="H727" t="s">
        <v>33</v>
      </c>
      <c r="I727" t="s">
        <v>44</v>
      </c>
      <c r="J727">
        <v>3370000</v>
      </c>
      <c r="K727">
        <v>4</v>
      </c>
      <c r="L727">
        <v>2</v>
      </c>
      <c r="M727">
        <v>3</v>
      </c>
      <c r="N727" t="s">
        <v>41</v>
      </c>
      <c r="O727" t="s">
        <v>35</v>
      </c>
      <c r="P727" t="s">
        <v>36</v>
      </c>
      <c r="Q727" s="5"/>
      <c r="S727">
        <f>DATEDIF(D727,DATE(2026,9,30),"Y")</f>
        <v>25</v>
      </c>
      <c r="T727" s="6">
        <f>(IF(Q727="",DATE(2026,9,30),Q727)-E727)/365.25</f>
        <v>0.35318275154004108</v>
      </c>
      <c r="U727" t="str">
        <f>_xlfn.XLOOKUP(Table1_1[[#This Row],[Bo''lim]],Bolimlar!A:A,Bolimlar!B:B,"Topilmadi")</f>
        <v>Sardor Nazarov</v>
      </c>
      <c r="V727">
        <f>IF(P727="Ha",1,0)</f>
        <v>0</v>
      </c>
      <c r="W727" t="str">
        <f>IF(T727&lt;1,"1 yildan kam",IF(T727&lt;3,"1-3 yil","3 yildan ko'p"))</f>
        <v>1 yildan kam</v>
      </c>
    </row>
    <row r="728" spans="1:23" x14ac:dyDescent="0.3">
      <c r="A728" t="s">
        <v>956</v>
      </c>
      <c r="B728" t="s">
        <v>957</v>
      </c>
      <c r="C728" t="s">
        <v>31</v>
      </c>
      <c r="D728" s="5">
        <v>36542</v>
      </c>
      <c r="E728" s="5">
        <v>44909</v>
      </c>
      <c r="F728" t="s">
        <v>1226</v>
      </c>
      <c r="G728" t="s">
        <v>142</v>
      </c>
      <c r="H728" t="s">
        <v>33</v>
      </c>
      <c r="I728" t="s">
        <v>24</v>
      </c>
      <c r="J728">
        <v>3370000</v>
      </c>
      <c r="K728">
        <v>3</v>
      </c>
      <c r="L728">
        <v>2</v>
      </c>
      <c r="M728">
        <v>29</v>
      </c>
      <c r="N728" t="s">
        <v>88</v>
      </c>
      <c r="O728" t="s">
        <v>53</v>
      </c>
      <c r="P728" t="s">
        <v>36</v>
      </c>
      <c r="Q728" s="5"/>
      <c r="S728">
        <f>DATEDIF(D728,DATE(2026,9,30),"Y")</f>
        <v>26</v>
      </c>
      <c r="T728" s="6">
        <f>(IF(Q728="",DATE(2026,9,30),Q728)-E728)/365.25</f>
        <v>3.7946611909650922</v>
      </c>
      <c r="U728" t="str">
        <f>_xlfn.XLOOKUP(Table1_1[[#This Row],[Bo''lim]],Bolimlar!A:A,Bolimlar!B:B,"Topilmadi")</f>
        <v>Madina Abdullayeva</v>
      </c>
      <c r="V728">
        <f>IF(P728="Ha",1,0)</f>
        <v>0</v>
      </c>
      <c r="W728" t="str">
        <f>IF(T728&lt;1,"1 yildan kam",IF(T728&lt;3,"1-3 yil","3 yildan ko'p"))</f>
        <v>3 yildan ko'p</v>
      </c>
    </row>
    <row r="729" spans="1:23" x14ac:dyDescent="0.3">
      <c r="A729" t="s">
        <v>284</v>
      </c>
      <c r="B729" t="s">
        <v>285</v>
      </c>
      <c r="C729" t="s">
        <v>20</v>
      </c>
      <c r="D729" s="5">
        <v>38074</v>
      </c>
      <c r="E729" s="5">
        <v>46171</v>
      </c>
      <c r="F729" t="s">
        <v>484</v>
      </c>
      <c r="G729" t="s">
        <v>115</v>
      </c>
      <c r="H729" t="s">
        <v>33</v>
      </c>
      <c r="I729" t="s">
        <v>96</v>
      </c>
      <c r="J729">
        <v>3360000</v>
      </c>
      <c r="K729">
        <v>3</v>
      </c>
      <c r="L729">
        <v>3</v>
      </c>
      <c r="M729">
        <v>30</v>
      </c>
      <c r="N729" t="s">
        <v>88</v>
      </c>
      <c r="O729" t="s">
        <v>53</v>
      </c>
      <c r="P729" t="s">
        <v>36</v>
      </c>
      <c r="Q729" s="5"/>
      <c r="S729">
        <f>DATEDIF(D729,DATE(2026,9,30),"Y")</f>
        <v>22</v>
      </c>
      <c r="T729" s="6">
        <f>(IF(Q729="",DATE(2026,9,30),Q729)-E729)/365.25</f>
        <v>0.33949349760438058</v>
      </c>
      <c r="U729" t="str">
        <f>_xlfn.XLOOKUP(Table1_1[[#This Row],[Bo''lim]],Bolimlar!A:A,Bolimlar!B:B,"Topilmadi")</f>
        <v>Sardor Nazarov</v>
      </c>
      <c r="V729">
        <f>IF(P729="Ha",1,0)</f>
        <v>0</v>
      </c>
      <c r="W729" t="str">
        <f>IF(T729&lt;1,"1 yildan kam",IF(T729&lt;3,"1-3 yil","3 yildan ko'p"))</f>
        <v>1 yildan kam</v>
      </c>
    </row>
    <row r="730" spans="1:23" x14ac:dyDescent="0.3">
      <c r="A730" t="s">
        <v>749</v>
      </c>
      <c r="B730" t="s">
        <v>495</v>
      </c>
      <c r="C730" t="s">
        <v>20</v>
      </c>
      <c r="D730" s="5">
        <v>35613</v>
      </c>
      <c r="E730" s="5">
        <v>46095</v>
      </c>
      <c r="F730" t="s">
        <v>1035</v>
      </c>
      <c r="G730" t="s">
        <v>79</v>
      </c>
      <c r="H730" t="s">
        <v>33</v>
      </c>
      <c r="I730" t="s">
        <v>24</v>
      </c>
      <c r="J730">
        <v>3360000</v>
      </c>
      <c r="K730">
        <v>5</v>
      </c>
      <c r="L730">
        <v>3</v>
      </c>
      <c r="M730">
        <v>2</v>
      </c>
      <c r="N730" t="s">
        <v>88</v>
      </c>
      <c r="O730" t="s">
        <v>26</v>
      </c>
      <c r="P730" t="s">
        <v>27</v>
      </c>
      <c r="Q730" s="5">
        <v>46190</v>
      </c>
      <c r="R730" t="s">
        <v>235</v>
      </c>
      <c r="S730">
        <f>DATEDIF(D730,DATE(2026,9,30),"Y")</f>
        <v>29</v>
      </c>
      <c r="T730" s="6">
        <f>(IF(Q730="",DATE(2026,9,30),Q730)-E730)/365.25</f>
        <v>0.26009582477754961</v>
      </c>
      <c r="U730" t="str">
        <f>_xlfn.XLOOKUP(Table1_1[[#This Row],[Bo''lim]],Bolimlar!A:A,Bolimlar!B:B,"Topilmadi")</f>
        <v>Aziz Karimov</v>
      </c>
      <c r="V730">
        <f>IF(P730="Ha",1,0)</f>
        <v>1</v>
      </c>
      <c r="W730" t="str">
        <f>IF(T730&lt;1,"1 yildan kam",IF(T730&lt;3,"1-3 yil","3 yildan ko'p"))</f>
        <v>1 yildan kam</v>
      </c>
    </row>
    <row r="731" spans="1:23" x14ac:dyDescent="0.3">
      <c r="A731" t="s">
        <v>1132</v>
      </c>
      <c r="B731" t="s">
        <v>801</v>
      </c>
      <c r="C731" t="s">
        <v>20</v>
      </c>
      <c r="D731" s="5">
        <v>39008</v>
      </c>
      <c r="E731" s="5">
        <v>46267</v>
      </c>
      <c r="F731" t="s">
        <v>1035</v>
      </c>
      <c r="G731" t="s">
        <v>65</v>
      </c>
      <c r="H731" t="s">
        <v>33</v>
      </c>
      <c r="I731" t="s">
        <v>206</v>
      </c>
      <c r="J731">
        <v>3350000</v>
      </c>
      <c r="K731">
        <v>4</v>
      </c>
      <c r="L731">
        <v>5</v>
      </c>
      <c r="M731">
        <v>26</v>
      </c>
      <c r="N731" t="s">
        <v>25</v>
      </c>
      <c r="O731" t="s">
        <v>35</v>
      </c>
      <c r="P731" t="s">
        <v>36</v>
      </c>
      <c r="Q731" s="5"/>
      <c r="S731">
        <f>DATEDIF(D731,DATE(2026,9,30),"Y")</f>
        <v>19</v>
      </c>
      <c r="T731" s="6">
        <f>(IF(Q731="",DATE(2026,9,30),Q731)-E731)/365.25</f>
        <v>7.665982203969883E-2</v>
      </c>
      <c r="U731" t="str">
        <f>_xlfn.XLOOKUP(Table1_1[[#This Row],[Bo''lim]],Bolimlar!A:A,Bolimlar!B:B,"Topilmadi")</f>
        <v>Aziz Karimov</v>
      </c>
      <c r="V731">
        <f>IF(P731="Ha",1,0)</f>
        <v>0</v>
      </c>
      <c r="W731" t="str">
        <f>IF(T731&lt;1,"1 yildan kam",IF(T731&lt;3,"1-3 yil","3 yildan ko'p"))</f>
        <v>1 yildan kam</v>
      </c>
    </row>
    <row r="732" spans="1:23" x14ac:dyDescent="0.3">
      <c r="A732" t="s">
        <v>1216</v>
      </c>
      <c r="B732" t="s">
        <v>1217</v>
      </c>
      <c r="C732" t="s">
        <v>20</v>
      </c>
      <c r="D732" s="5">
        <v>32521</v>
      </c>
      <c r="E732" s="5">
        <v>44654</v>
      </c>
      <c r="F732" t="s">
        <v>1035</v>
      </c>
      <c r="G732" t="s">
        <v>73</v>
      </c>
      <c r="H732" t="s">
        <v>33</v>
      </c>
      <c r="I732" t="s">
        <v>44</v>
      </c>
      <c r="J732">
        <v>3340000</v>
      </c>
      <c r="K732">
        <v>5</v>
      </c>
      <c r="L732">
        <v>4</v>
      </c>
      <c r="M732">
        <v>8</v>
      </c>
      <c r="N732" t="s">
        <v>41</v>
      </c>
      <c r="O732" t="s">
        <v>35</v>
      </c>
      <c r="P732" t="s">
        <v>36</v>
      </c>
      <c r="Q732" s="5"/>
      <c r="S732">
        <f>DATEDIF(D732,DATE(2026,9,30),"Y")</f>
        <v>37</v>
      </c>
      <c r="T732" s="6">
        <f>(IF(Q732="",DATE(2026,9,30),Q732)-E732)/365.25</f>
        <v>4.4928131416837784</v>
      </c>
      <c r="U732" t="str">
        <f>_xlfn.XLOOKUP(Table1_1[[#This Row],[Bo''lim]],Bolimlar!A:A,Bolimlar!B:B,"Topilmadi")</f>
        <v>Aziz Karimov</v>
      </c>
      <c r="V732">
        <f>IF(P732="Ha",1,0)</f>
        <v>0</v>
      </c>
      <c r="W732" t="str">
        <f>IF(T732&lt;1,"1 yildan kam",IF(T732&lt;3,"1-3 yil","3 yildan ko'p"))</f>
        <v>3 yildan ko'p</v>
      </c>
    </row>
    <row r="733" spans="1:23" x14ac:dyDescent="0.3">
      <c r="A733" t="s">
        <v>582</v>
      </c>
      <c r="B733" t="s">
        <v>576</v>
      </c>
      <c r="C733" t="s">
        <v>20</v>
      </c>
      <c r="D733" s="5">
        <v>39048</v>
      </c>
      <c r="E733" s="5">
        <v>46294</v>
      </c>
      <c r="F733" t="s">
        <v>484</v>
      </c>
      <c r="G733" t="s">
        <v>196</v>
      </c>
      <c r="H733" t="s">
        <v>33</v>
      </c>
      <c r="I733" t="s">
        <v>24</v>
      </c>
      <c r="J733">
        <v>3310000</v>
      </c>
      <c r="K733">
        <v>3</v>
      </c>
      <c r="L733">
        <v>5</v>
      </c>
      <c r="M733">
        <v>7</v>
      </c>
      <c r="N733" t="s">
        <v>88</v>
      </c>
      <c r="O733" t="s">
        <v>35</v>
      </c>
      <c r="P733" t="s">
        <v>36</v>
      </c>
      <c r="Q733" s="5"/>
      <c r="S733">
        <f>DATEDIF(D733,DATE(2026,9,30),"Y")</f>
        <v>19</v>
      </c>
      <c r="T733" s="6">
        <f>(IF(Q733="",DATE(2026,9,30),Q733)-E733)/365.25</f>
        <v>2.7378507871321013E-3</v>
      </c>
      <c r="U733" t="str">
        <f>_xlfn.XLOOKUP(Table1_1[[#This Row],[Bo''lim]],Bolimlar!A:A,Bolimlar!B:B,"Topilmadi")</f>
        <v>Sardor Nazarov</v>
      </c>
      <c r="V733">
        <f>IF(P733="Ha",1,0)</f>
        <v>0</v>
      </c>
      <c r="W733" t="str">
        <f>IF(T733&lt;1,"1 yildan kam",IF(T733&lt;3,"1-3 yil","3 yildan ko'p"))</f>
        <v>1 yildan kam</v>
      </c>
    </row>
    <row r="734" spans="1:23" x14ac:dyDescent="0.3">
      <c r="A734" t="s">
        <v>564</v>
      </c>
      <c r="B734" t="s">
        <v>565</v>
      </c>
      <c r="C734" t="s">
        <v>20</v>
      </c>
      <c r="D734" s="5">
        <v>38899</v>
      </c>
      <c r="E734" s="5">
        <v>46256</v>
      </c>
      <c r="F734" t="s">
        <v>1035</v>
      </c>
      <c r="G734" t="s">
        <v>73</v>
      </c>
      <c r="H734" t="s">
        <v>33</v>
      </c>
      <c r="I734" t="s">
        <v>96</v>
      </c>
      <c r="J734">
        <v>3290000</v>
      </c>
      <c r="K734">
        <v>3</v>
      </c>
      <c r="L734">
        <v>1</v>
      </c>
      <c r="M734">
        <v>16</v>
      </c>
      <c r="N734" t="s">
        <v>41</v>
      </c>
      <c r="O734" t="s">
        <v>35</v>
      </c>
      <c r="P734" t="s">
        <v>36</v>
      </c>
      <c r="Q734" s="5"/>
      <c r="S734">
        <f>DATEDIF(D734,DATE(2026,9,30),"Y")</f>
        <v>20</v>
      </c>
      <c r="T734" s="6">
        <f>(IF(Q734="",DATE(2026,9,30),Q734)-E734)/365.25</f>
        <v>0.10677618069815195</v>
      </c>
      <c r="U734" t="str">
        <f>_xlfn.XLOOKUP(Table1_1[[#This Row],[Bo''lim]],Bolimlar!A:A,Bolimlar!B:B,"Topilmadi")</f>
        <v>Aziz Karimov</v>
      </c>
      <c r="V734">
        <f>IF(P734="Ha",1,0)</f>
        <v>0</v>
      </c>
      <c r="W734" t="str">
        <f>IF(T734&lt;1,"1 yildan kam",IF(T734&lt;3,"1-3 yil","3 yildan ko'p"))</f>
        <v>1 yildan kam</v>
      </c>
    </row>
    <row r="735" spans="1:23" x14ac:dyDescent="0.3">
      <c r="A735" t="s">
        <v>49</v>
      </c>
      <c r="B735" t="s">
        <v>50</v>
      </c>
      <c r="C735" t="s">
        <v>31</v>
      </c>
      <c r="D735" s="5">
        <v>35259</v>
      </c>
      <c r="E735" s="5">
        <v>44851</v>
      </c>
      <c r="F735" t="s">
        <v>1300</v>
      </c>
      <c r="G735" t="s">
        <v>52</v>
      </c>
      <c r="H735" t="s">
        <v>33</v>
      </c>
      <c r="I735" t="s">
        <v>24</v>
      </c>
      <c r="J735">
        <v>3280000</v>
      </c>
      <c r="K735">
        <v>5</v>
      </c>
      <c r="L735">
        <v>4</v>
      </c>
      <c r="M735">
        <v>35</v>
      </c>
      <c r="N735" t="s">
        <v>41</v>
      </c>
      <c r="O735" t="s">
        <v>53</v>
      </c>
      <c r="P735" t="s">
        <v>36</v>
      </c>
      <c r="Q735" s="5"/>
      <c r="S735">
        <f>DATEDIF(D735,DATE(2026,9,30),"Y")</f>
        <v>30</v>
      </c>
      <c r="T735" s="6">
        <f>(IF(Q735="",DATE(2026,9,30),Q735)-E735)/365.25</f>
        <v>3.9534565366187544</v>
      </c>
      <c r="U735" t="str">
        <f>_xlfn.XLOOKUP(Table1_1[[#This Row],[Bo''lim]],Bolimlar!A:A,Bolimlar!B:B,"Topilmadi")</f>
        <v>Shahlo Ismoilova</v>
      </c>
      <c r="V735">
        <f>IF(P735="Ha",1,0)</f>
        <v>0</v>
      </c>
      <c r="W735" t="str">
        <f>IF(T735&lt;1,"1 yildan kam",IF(T735&lt;3,"1-3 yil","3 yildan ko'p"))</f>
        <v>3 yildan ko'p</v>
      </c>
    </row>
    <row r="736" spans="1:23" x14ac:dyDescent="0.3">
      <c r="A736" t="s">
        <v>997</v>
      </c>
      <c r="B736" t="s">
        <v>411</v>
      </c>
      <c r="C736" t="s">
        <v>31</v>
      </c>
      <c r="D736" s="5">
        <v>35006</v>
      </c>
      <c r="E736" s="5">
        <v>45309</v>
      </c>
      <c r="F736" t="s">
        <v>1035</v>
      </c>
      <c r="G736" t="s">
        <v>73</v>
      </c>
      <c r="H736" t="s">
        <v>33</v>
      </c>
      <c r="I736" t="s">
        <v>44</v>
      </c>
      <c r="J736">
        <v>3280000</v>
      </c>
      <c r="K736">
        <v>3</v>
      </c>
      <c r="L736">
        <v>3</v>
      </c>
      <c r="M736">
        <v>0</v>
      </c>
      <c r="N736" t="s">
        <v>25</v>
      </c>
      <c r="O736" t="s">
        <v>26</v>
      </c>
      <c r="P736" t="s">
        <v>36</v>
      </c>
      <c r="Q736" s="5"/>
      <c r="S736">
        <f>DATEDIF(D736,DATE(2026,9,30),"Y")</f>
        <v>30</v>
      </c>
      <c r="T736" s="6">
        <f>(IF(Q736="",DATE(2026,9,30),Q736)-E736)/365.25</f>
        <v>2.6995208761122518</v>
      </c>
      <c r="U736" t="str">
        <f>_xlfn.XLOOKUP(Table1_1[[#This Row],[Bo''lim]],Bolimlar!A:A,Bolimlar!B:B,"Topilmadi")</f>
        <v>Aziz Karimov</v>
      </c>
      <c r="V736">
        <f>IF(P736="Ha",1,0)</f>
        <v>0</v>
      </c>
      <c r="W736" t="str">
        <f>IF(T736&lt;1,"1 yildan kam",IF(T736&lt;3,"1-3 yil","3 yildan ko'p"))</f>
        <v>1-3 yil</v>
      </c>
    </row>
    <row r="737" spans="1:23" x14ac:dyDescent="0.3">
      <c r="A737" t="s">
        <v>1261</v>
      </c>
      <c r="B737" t="s">
        <v>30</v>
      </c>
      <c r="C737" t="s">
        <v>31</v>
      </c>
      <c r="D737" s="5">
        <v>39057</v>
      </c>
      <c r="E737" s="5">
        <v>46278</v>
      </c>
      <c r="F737" t="s">
        <v>1035</v>
      </c>
      <c r="G737" t="s">
        <v>65</v>
      </c>
      <c r="H737" t="s">
        <v>33</v>
      </c>
      <c r="I737" t="s">
        <v>82</v>
      </c>
      <c r="J737">
        <v>3280000</v>
      </c>
      <c r="K737">
        <v>3</v>
      </c>
      <c r="L737">
        <v>4</v>
      </c>
      <c r="M737">
        <v>3</v>
      </c>
      <c r="N737" t="s">
        <v>88</v>
      </c>
      <c r="O737" t="s">
        <v>26</v>
      </c>
      <c r="P737" t="s">
        <v>36</v>
      </c>
      <c r="Q737" s="5"/>
      <c r="S737">
        <f>DATEDIF(D737,DATE(2026,9,30),"Y")</f>
        <v>19</v>
      </c>
      <c r="T737" s="6">
        <f>(IF(Q737="",DATE(2026,9,30),Q737)-E737)/365.25</f>
        <v>4.6543463381245723E-2</v>
      </c>
      <c r="U737" t="str">
        <f>_xlfn.XLOOKUP(Table1_1[[#This Row],[Bo''lim]],Bolimlar!A:A,Bolimlar!B:B,"Topilmadi")</f>
        <v>Aziz Karimov</v>
      </c>
      <c r="V737">
        <f>IF(P737="Ha",1,0)</f>
        <v>0</v>
      </c>
      <c r="W737" t="str">
        <f>IF(T737&lt;1,"1 yildan kam",IF(T737&lt;3,"1-3 yil","3 yildan ko'p"))</f>
        <v>1 yildan kam</v>
      </c>
    </row>
    <row r="738" spans="1:23" x14ac:dyDescent="0.3">
      <c r="A738" t="s">
        <v>737</v>
      </c>
      <c r="B738" t="s">
        <v>738</v>
      </c>
      <c r="C738" t="s">
        <v>31</v>
      </c>
      <c r="D738" s="5">
        <v>33484</v>
      </c>
      <c r="E738" s="5">
        <v>44777</v>
      </c>
      <c r="F738" t="s">
        <v>1300</v>
      </c>
      <c r="G738" t="s">
        <v>52</v>
      </c>
      <c r="H738" t="s">
        <v>33</v>
      </c>
      <c r="I738" t="s">
        <v>24</v>
      </c>
      <c r="J738">
        <v>3270000</v>
      </c>
      <c r="K738">
        <v>4</v>
      </c>
      <c r="L738">
        <v>3</v>
      </c>
      <c r="M738">
        <v>22</v>
      </c>
      <c r="N738" t="s">
        <v>41</v>
      </c>
      <c r="O738" t="s">
        <v>26</v>
      </c>
      <c r="P738" t="s">
        <v>36</v>
      </c>
      <c r="Q738" s="5"/>
      <c r="S738">
        <f>DATEDIF(D738,DATE(2026,9,30),"Y")</f>
        <v>35</v>
      </c>
      <c r="T738" s="6">
        <f>(IF(Q738="",DATE(2026,9,30),Q738)-E738)/365.25</f>
        <v>4.1560574948665296</v>
      </c>
      <c r="U738" t="str">
        <f>_xlfn.XLOOKUP(Table1_1[[#This Row],[Bo''lim]],Bolimlar!A:A,Bolimlar!B:B,"Topilmadi")</f>
        <v>Shahlo Ismoilova</v>
      </c>
      <c r="V738">
        <f>IF(P738="Ha",1,0)</f>
        <v>0</v>
      </c>
      <c r="W738" t="str">
        <f>IF(T738&lt;1,"1 yildan kam",IF(T738&lt;3,"1-3 yil","3 yildan ko'p"))</f>
        <v>3 yildan ko'p</v>
      </c>
    </row>
    <row r="739" spans="1:23" x14ac:dyDescent="0.3">
      <c r="A739" t="s">
        <v>189</v>
      </c>
      <c r="B739" t="s">
        <v>190</v>
      </c>
      <c r="C739" t="s">
        <v>31</v>
      </c>
      <c r="D739" s="5">
        <v>34048</v>
      </c>
      <c r="E739" s="5">
        <v>44869</v>
      </c>
      <c r="F739" t="s">
        <v>484</v>
      </c>
      <c r="G739" t="s">
        <v>115</v>
      </c>
      <c r="H739" t="s">
        <v>33</v>
      </c>
      <c r="I739" t="s">
        <v>82</v>
      </c>
      <c r="J739">
        <v>3260000</v>
      </c>
      <c r="K739">
        <v>5</v>
      </c>
      <c r="L739">
        <v>5</v>
      </c>
      <c r="M739">
        <v>11</v>
      </c>
      <c r="N739" t="s">
        <v>88</v>
      </c>
      <c r="O739" t="s">
        <v>35</v>
      </c>
      <c r="P739" t="s">
        <v>36</v>
      </c>
      <c r="Q739" s="5"/>
      <c r="S739">
        <f>DATEDIF(D739,DATE(2026,9,30),"Y")</f>
        <v>33</v>
      </c>
      <c r="T739" s="6">
        <f>(IF(Q739="",DATE(2026,9,30),Q739)-E739)/365.25</f>
        <v>3.9041752224503763</v>
      </c>
      <c r="U739" t="str">
        <f>_xlfn.XLOOKUP(Table1_1[[#This Row],[Bo''lim]],Bolimlar!A:A,Bolimlar!B:B,"Topilmadi")</f>
        <v>Sardor Nazarov</v>
      </c>
      <c r="V739">
        <f>IF(P739="Ha",1,0)</f>
        <v>0</v>
      </c>
      <c r="W739" t="str">
        <f>IF(T739&lt;1,"1 yildan kam",IF(T739&lt;3,"1-3 yil","3 yildan ko'p"))</f>
        <v>3 yildan ko'p</v>
      </c>
    </row>
    <row r="740" spans="1:23" x14ac:dyDescent="0.3">
      <c r="A740" t="s">
        <v>934</v>
      </c>
      <c r="B740" t="s">
        <v>935</v>
      </c>
      <c r="C740" t="s">
        <v>31</v>
      </c>
      <c r="D740" s="5">
        <v>33902</v>
      </c>
      <c r="E740" s="5">
        <v>44552</v>
      </c>
      <c r="F740" t="s">
        <v>484</v>
      </c>
      <c r="G740" t="s">
        <v>196</v>
      </c>
      <c r="H740" t="s">
        <v>33</v>
      </c>
      <c r="I740" t="s">
        <v>24</v>
      </c>
      <c r="J740">
        <v>3260000</v>
      </c>
      <c r="K740">
        <v>4</v>
      </c>
      <c r="L740">
        <v>4</v>
      </c>
      <c r="M740">
        <v>13</v>
      </c>
      <c r="N740" t="s">
        <v>41</v>
      </c>
      <c r="O740" t="s">
        <v>26</v>
      </c>
      <c r="P740" t="s">
        <v>36</v>
      </c>
      <c r="Q740" s="5"/>
      <c r="S740">
        <f>DATEDIF(D740,DATE(2026,9,30),"Y")</f>
        <v>33</v>
      </c>
      <c r="T740" s="6">
        <f>(IF(Q740="",DATE(2026,9,30),Q740)-E740)/365.25</f>
        <v>4.7720739219712529</v>
      </c>
      <c r="U740" t="str">
        <f>_xlfn.XLOOKUP(Table1_1[[#This Row],[Bo''lim]],Bolimlar!A:A,Bolimlar!B:B,"Topilmadi")</f>
        <v>Sardor Nazarov</v>
      </c>
      <c r="V740">
        <f>IF(P740="Ha",1,0)</f>
        <v>0</v>
      </c>
      <c r="W740" t="str">
        <f>IF(T740&lt;1,"1 yildan kam",IF(T740&lt;3,"1-3 yil","3 yildan ko'p"))</f>
        <v>3 yildan ko'p</v>
      </c>
    </row>
    <row r="741" spans="1:23" x14ac:dyDescent="0.3">
      <c r="A741" t="s">
        <v>977</v>
      </c>
      <c r="B741" t="s">
        <v>978</v>
      </c>
      <c r="C741" t="s">
        <v>31</v>
      </c>
      <c r="D741" s="5">
        <v>34157</v>
      </c>
      <c r="E741" s="5">
        <v>45060</v>
      </c>
      <c r="F741" t="s">
        <v>39</v>
      </c>
      <c r="G741" t="s">
        <v>170</v>
      </c>
      <c r="H741" t="s">
        <v>33</v>
      </c>
      <c r="I741" t="s">
        <v>34</v>
      </c>
      <c r="J741">
        <v>3260000</v>
      </c>
      <c r="K741">
        <v>5</v>
      </c>
      <c r="L741">
        <v>4</v>
      </c>
      <c r="M741">
        <v>13</v>
      </c>
      <c r="N741" t="s">
        <v>41</v>
      </c>
      <c r="O741" t="s">
        <v>35</v>
      </c>
      <c r="P741" t="s">
        <v>36</v>
      </c>
      <c r="Q741" s="5"/>
      <c r="S741">
        <f>DATEDIF(D741,DATE(2026,9,30),"Y")</f>
        <v>33</v>
      </c>
      <c r="T741" s="6">
        <f>(IF(Q741="",DATE(2026,9,30),Q741)-E741)/365.25</f>
        <v>3.3812457221081451</v>
      </c>
      <c r="U741" t="str">
        <f>_xlfn.XLOOKUP(Table1_1[[#This Row],[Bo''lim]],Bolimlar!A:A,Bolimlar!B:B,"Topilmadi")</f>
        <v>Nodira Tursunova</v>
      </c>
      <c r="V741">
        <f>IF(P741="Ha",1,0)</f>
        <v>0</v>
      </c>
      <c r="W741" t="str">
        <f>IF(T741&lt;1,"1 yildan kam",IF(T741&lt;3,"1-3 yil","3 yildan ko'p"))</f>
        <v>3 yildan ko'p</v>
      </c>
    </row>
    <row r="742" spans="1:23" x14ac:dyDescent="0.3">
      <c r="A742" t="s">
        <v>1074</v>
      </c>
      <c r="B742" t="s">
        <v>437</v>
      </c>
      <c r="C742" t="s">
        <v>20</v>
      </c>
      <c r="D742" s="5">
        <v>32132</v>
      </c>
      <c r="E742" s="5">
        <v>46209</v>
      </c>
      <c r="F742" t="s">
        <v>1035</v>
      </c>
      <c r="G742" t="s">
        <v>73</v>
      </c>
      <c r="H742" t="s">
        <v>33</v>
      </c>
      <c r="I742" t="s">
        <v>34</v>
      </c>
      <c r="J742">
        <v>3260000</v>
      </c>
      <c r="K742">
        <v>5</v>
      </c>
      <c r="L742">
        <v>3</v>
      </c>
      <c r="M742">
        <v>17</v>
      </c>
      <c r="N742" t="s">
        <v>88</v>
      </c>
      <c r="O742" t="s">
        <v>53</v>
      </c>
      <c r="P742" t="s">
        <v>36</v>
      </c>
      <c r="Q742" s="5"/>
      <c r="S742">
        <f>DATEDIF(D742,DATE(2026,9,30),"Y")</f>
        <v>38</v>
      </c>
      <c r="T742" s="6">
        <f>(IF(Q742="",DATE(2026,9,30),Q742)-E742)/365.25</f>
        <v>0.23545516769336072</v>
      </c>
      <c r="U742" t="str">
        <f>_xlfn.XLOOKUP(Table1_1[[#This Row],[Bo''lim]],Bolimlar!A:A,Bolimlar!B:B,"Topilmadi")</f>
        <v>Aziz Karimov</v>
      </c>
      <c r="V742">
        <f>IF(P742="Ha",1,0)</f>
        <v>0</v>
      </c>
      <c r="W742" t="str">
        <f>IF(T742&lt;1,"1 yildan kam",IF(T742&lt;3,"1-3 yil","3 yildan ko'p"))</f>
        <v>1 yildan kam</v>
      </c>
    </row>
    <row r="743" spans="1:23" x14ac:dyDescent="0.3">
      <c r="A743" t="s">
        <v>1194</v>
      </c>
      <c r="B743" t="s">
        <v>725</v>
      </c>
      <c r="C743" t="s">
        <v>20</v>
      </c>
      <c r="D743" s="5">
        <v>32785</v>
      </c>
      <c r="E743" s="5">
        <v>45306</v>
      </c>
      <c r="F743" t="s">
        <v>1035</v>
      </c>
      <c r="G743" t="s">
        <v>65</v>
      </c>
      <c r="H743" t="s">
        <v>33</v>
      </c>
      <c r="I743" t="s">
        <v>34</v>
      </c>
      <c r="J743">
        <v>3260000</v>
      </c>
      <c r="K743">
        <v>3</v>
      </c>
      <c r="L743">
        <v>5</v>
      </c>
      <c r="M743">
        <v>14</v>
      </c>
      <c r="N743" t="s">
        <v>88</v>
      </c>
      <c r="O743" t="s">
        <v>35</v>
      </c>
      <c r="P743" t="s">
        <v>27</v>
      </c>
      <c r="Q743" s="5">
        <v>45678</v>
      </c>
      <c r="R743" t="s">
        <v>235</v>
      </c>
      <c r="S743">
        <f>DATEDIF(D743,DATE(2026,9,30),"Y")</f>
        <v>36</v>
      </c>
      <c r="T743" s="6">
        <f>(IF(Q743="",DATE(2026,9,30),Q743)-E743)/365.25</f>
        <v>1.0184804928131417</v>
      </c>
      <c r="U743" t="str">
        <f>_xlfn.XLOOKUP(Table1_1[[#This Row],[Bo''lim]],Bolimlar!A:A,Bolimlar!B:B,"Topilmadi")</f>
        <v>Aziz Karimov</v>
      </c>
      <c r="V743">
        <f>IF(P743="Ha",1,0)</f>
        <v>1</v>
      </c>
      <c r="W743" t="str">
        <f>IF(T743&lt;1,"1 yildan kam",IF(T743&lt;3,"1-3 yil","3 yildan ko'p"))</f>
        <v>1-3 yil</v>
      </c>
    </row>
    <row r="744" spans="1:23" x14ac:dyDescent="0.3">
      <c r="A744" t="s">
        <v>195</v>
      </c>
      <c r="B744" t="s">
        <v>152</v>
      </c>
      <c r="C744" t="s">
        <v>31</v>
      </c>
      <c r="D744" s="5">
        <v>33502</v>
      </c>
      <c r="E744" s="5">
        <v>44112</v>
      </c>
      <c r="F744" t="s">
        <v>484</v>
      </c>
      <c r="G744" t="s">
        <v>196</v>
      </c>
      <c r="H744" t="s">
        <v>33</v>
      </c>
      <c r="I744" t="s">
        <v>24</v>
      </c>
      <c r="J744">
        <v>3240000</v>
      </c>
      <c r="K744">
        <v>2</v>
      </c>
      <c r="L744">
        <v>5</v>
      </c>
      <c r="M744">
        <v>32</v>
      </c>
      <c r="N744" t="s">
        <v>25</v>
      </c>
      <c r="O744" t="s">
        <v>26</v>
      </c>
      <c r="P744" t="s">
        <v>27</v>
      </c>
      <c r="Q744" s="5">
        <v>46105</v>
      </c>
      <c r="R744" t="s">
        <v>111</v>
      </c>
      <c r="S744">
        <f>DATEDIF(D744,DATE(2026,9,30),"Y")</f>
        <v>35</v>
      </c>
      <c r="T744" s="6">
        <f>(IF(Q744="",DATE(2026,9,30),Q744)-E744)/365.25</f>
        <v>5.4565366187542779</v>
      </c>
      <c r="U744" t="str">
        <f>_xlfn.XLOOKUP(Table1_1[[#This Row],[Bo''lim]],Bolimlar!A:A,Bolimlar!B:B,"Topilmadi")</f>
        <v>Sardor Nazarov</v>
      </c>
      <c r="V744">
        <f>IF(P744="Ha",1,0)</f>
        <v>1</v>
      </c>
      <c r="W744" t="str">
        <f>IF(T744&lt;1,"1 yildan kam",IF(T744&lt;3,"1-3 yil","3 yildan ko'p"))</f>
        <v>3 yildan ko'p</v>
      </c>
    </row>
    <row r="745" spans="1:23" x14ac:dyDescent="0.3">
      <c r="A745" t="s">
        <v>500</v>
      </c>
      <c r="B745" t="s">
        <v>501</v>
      </c>
      <c r="C745" t="s">
        <v>31</v>
      </c>
      <c r="D745" s="5">
        <v>33897</v>
      </c>
      <c r="E745" s="5">
        <v>46119</v>
      </c>
      <c r="F745" t="s">
        <v>1300</v>
      </c>
      <c r="G745" t="s">
        <v>52</v>
      </c>
      <c r="H745" t="s">
        <v>33</v>
      </c>
      <c r="I745" t="s">
        <v>96</v>
      </c>
      <c r="J745">
        <v>3240000</v>
      </c>
      <c r="K745">
        <v>3</v>
      </c>
      <c r="L745">
        <v>2</v>
      </c>
      <c r="M745">
        <v>33</v>
      </c>
      <c r="N745" t="s">
        <v>41</v>
      </c>
      <c r="O745" t="s">
        <v>26</v>
      </c>
      <c r="P745" t="s">
        <v>27</v>
      </c>
      <c r="Q745" s="5">
        <v>46212</v>
      </c>
      <c r="R745" t="s">
        <v>61</v>
      </c>
      <c r="S745">
        <f>DATEDIF(D745,DATE(2026,9,30),"Y")</f>
        <v>33</v>
      </c>
      <c r="T745" s="6">
        <f>(IF(Q745="",DATE(2026,9,30),Q745)-E745)/365.25</f>
        <v>0.25462012320328542</v>
      </c>
      <c r="U745" t="str">
        <f>_xlfn.XLOOKUP(Table1_1[[#This Row],[Bo''lim]],Bolimlar!A:A,Bolimlar!B:B,"Topilmadi")</f>
        <v>Shahlo Ismoilova</v>
      </c>
      <c r="V745">
        <f>IF(P745="Ha",1,0)</f>
        <v>1</v>
      </c>
      <c r="W745" t="str">
        <f>IF(T745&lt;1,"1 yildan kam",IF(T745&lt;3,"1-3 yil","3 yildan ko'p"))</f>
        <v>1 yildan kam</v>
      </c>
    </row>
    <row r="746" spans="1:23" x14ac:dyDescent="0.3">
      <c r="A746" t="s">
        <v>711</v>
      </c>
      <c r="B746" t="s">
        <v>443</v>
      </c>
      <c r="C746" t="s">
        <v>31</v>
      </c>
      <c r="D746" s="5">
        <v>36379</v>
      </c>
      <c r="E746" s="5">
        <v>44868</v>
      </c>
      <c r="F746" t="s">
        <v>1035</v>
      </c>
      <c r="G746" t="s">
        <v>65</v>
      </c>
      <c r="H746" t="s">
        <v>33</v>
      </c>
      <c r="I746" t="s">
        <v>34</v>
      </c>
      <c r="J746">
        <v>3240000</v>
      </c>
      <c r="K746">
        <v>2</v>
      </c>
      <c r="L746">
        <v>3</v>
      </c>
      <c r="M746">
        <v>6</v>
      </c>
      <c r="N746" t="s">
        <v>88</v>
      </c>
      <c r="O746" t="s">
        <v>35</v>
      </c>
      <c r="P746" t="s">
        <v>36</v>
      </c>
      <c r="Q746" s="5"/>
      <c r="S746">
        <f>DATEDIF(D746,DATE(2026,9,30),"Y")</f>
        <v>27</v>
      </c>
      <c r="T746" s="6">
        <f>(IF(Q746="",DATE(2026,9,30),Q746)-E746)/365.25</f>
        <v>3.9069130732375084</v>
      </c>
      <c r="U746" t="str">
        <f>_xlfn.XLOOKUP(Table1_1[[#This Row],[Bo''lim]],Bolimlar!A:A,Bolimlar!B:B,"Topilmadi")</f>
        <v>Aziz Karimov</v>
      </c>
      <c r="V746">
        <f>IF(P746="Ha",1,0)</f>
        <v>0</v>
      </c>
      <c r="W746" t="str">
        <f>IF(T746&lt;1,"1 yildan kam",IF(T746&lt;3,"1-3 yil","3 yildan ko'p"))</f>
        <v>3 yildan ko'p</v>
      </c>
    </row>
    <row r="747" spans="1:23" x14ac:dyDescent="0.3">
      <c r="A747" t="s">
        <v>1199</v>
      </c>
      <c r="B747" t="s">
        <v>38</v>
      </c>
      <c r="C747" t="s">
        <v>31</v>
      </c>
      <c r="D747" s="5">
        <v>32727</v>
      </c>
      <c r="E747" s="5">
        <v>46094</v>
      </c>
      <c r="F747" t="s">
        <v>484</v>
      </c>
      <c r="G747" t="s">
        <v>150</v>
      </c>
      <c r="H747" t="s">
        <v>33</v>
      </c>
      <c r="I747" t="s">
        <v>34</v>
      </c>
      <c r="J747">
        <v>3240000</v>
      </c>
      <c r="K747">
        <v>3</v>
      </c>
      <c r="L747">
        <v>1</v>
      </c>
      <c r="M747">
        <v>13</v>
      </c>
      <c r="N747" t="s">
        <v>25</v>
      </c>
      <c r="O747" t="s">
        <v>26</v>
      </c>
      <c r="P747" t="s">
        <v>27</v>
      </c>
      <c r="Q747" s="5">
        <v>46181</v>
      </c>
      <c r="R747" t="s">
        <v>111</v>
      </c>
      <c r="S747">
        <f>DATEDIF(D747,DATE(2026,9,30),"Y")</f>
        <v>37</v>
      </c>
      <c r="T747" s="6">
        <f>(IF(Q747="",DATE(2026,9,30),Q747)-E747)/365.25</f>
        <v>0.23819301848049282</v>
      </c>
      <c r="U747" t="str">
        <f>_xlfn.XLOOKUP(Table1_1[[#This Row],[Bo''lim]],Bolimlar!A:A,Bolimlar!B:B,"Topilmadi")</f>
        <v>Sardor Nazarov</v>
      </c>
      <c r="V747">
        <f>IF(P747="Ha",1,0)</f>
        <v>1</v>
      </c>
      <c r="W747" t="str">
        <f>IF(T747&lt;1,"1 yildan kam",IF(T747&lt;3,"1-3 yil","3 yildan ko'p"))</f>
        <v>1 yildan kam</v>
      </c>
    </row>
    <row r="748" spans="1:23" x14ac:dyDescent="0.3">
      <c r="A748" t="s">
        <v>705</v>
      </c>
      <c r="B748" t="s">
        <v>244</v>
      </c>
      <c r="C748" t="s">
        <v>31</v>
      </c>
      <c r="D748" s="5">
        <v>34874</v>
      </c>
      <c r="E748" s="5">
        <v>45565</v>
      </c>
      <c r="F748" t="s">
        <v>1035</v>
      </c>
      <c r="G748" t="s">
        <v>73</v>
      </c>
      <c r="H748" t="s">
        <v>33</v>
      </c>
      <c r="I748" t="s">
        <v>24</v>
      </c>
      <c r="J748">
        <v>3230000</v>
      </c>
      <c r="K748">
        <v>4</v>
      </c>
      <c r="L748">
        <v>2</v>
      </c>
      <c r="M748">
        <v>16</v>
      </c>
      <c r="N748" t="s">
        <v>41</v>
      </c>
      <c r="O748" t="s">
        <v>26</v>
      </c>
      <c r="P748" t="s">
        <v>36</v>
      </c>
      <c r="Q748" s="5"/>
      <c r="S748">
        <f>DATEDIF(D748,DATE(2026,9,30),"Y")</f>
        <v>31</v>
      </c>
      <c r="T748" s="6">
        <f>(IF(Q748="",DATE(2026,9,30),Q748)-E748)/365.25</f>
        <v>1.998631074606434</v>
      </c>
      <c r="U748" t="str">
        <f>_xlfn.XLOOKUP(Table1_1[[#This Row],[Bo''lim]],Bolimlar!A:A,Bolimlar!B:B,"Topilmadi")</f>
        <v>Aziz Karimov</v>
      </c>
      <c r="V748">
        <f>IF(P748="Ha",1,0)</f>
        <v>0</v>
      </c>
      <c r="W748" t="str">
        <f>IF(T748&lt;1,"1 yildan kam",IF(T748&lt;3,"1-3 yil","3 yildan ko'p"))</f>
        <v>1-3 yil</v>
      </c>
    </row>
    <row r="749" spans="1:23" x14ac:dyDescent="0.3">
      <c r="A749" t="s">
        <v>898</v>
      </c>
      <c r="B749" t="s">
        <v>532</v>
      </c>
      <c r="C749" t="s">
        <v>31</v>
      </c>
      <c r="D749" s="5">
        <v>34744</v>
      </c>
      <c r="E749" s="5">
        <v>45760</v>
      </c>
      <c r="F749" t="s">
        <v>1035</v>
      </c>
      <c r="G749" t="s">
        <v>73</v>
      </c>
      <c r="H749" t="s">
        <v>33</v>
      </c>
      <c r="I749" t="s">
        <v>24</v>
      </c>
      <c r="J749">
        <v>3230000</v>
      </c>
      <c r="K749">
        <v>3</v>
      </c>
      <c r="L749">
        <v>3</v>
      </c>
      <c r="M749">
        <v>8</v>
      </c>
      <c r="N749" t="s">
        <v>41</v>
      </c>
      <c r="O749" t="s">
        <v>35</v>
      </c>
      <c r="P749" t="s">
        <v>36</v>
      </c>
      <c r="Q749" s="5"/>
      <c r="S749">
        <f>DATEDIF(D749,DATE(2026,9,30),"Y")</f>
        <v>31</v>
      </c>
      <c r="T749" s="6">
        <f>(IF(Q749="",DATE(2026,9,30),Q749)-E749)/365.25</f>
        <v>1.4647501711156743</v>
      </c>
      <c r="U749" t="str">
        <f>_xlfn.XLOOKUP(Table1_1[[#This Row],[Bo''lim]],Bolimlar!A:A,Bolimlar!B:B,"Topilmadi")</f>
        <v>Aziz Karimov</v>
      </c>
      <c r="V749">
        <f>IF(P749="Ha",1,0)</f>
        <v>0</v>
      </c>
      <c r="W749" t="str">
        <f>IF(T749&lt;1,"1 yildan kam",IF(T749&lt;3,"1-3 yil","3 yildan ko'p"))</f>
        <v>1-3 yil</v>
      </c>
    </row>
    <row r="750" spans="1:23" x14ac:dyDescent="0.3">
      <c r="A750" t="s">
        <v>91</v>
      </c>
      <c r="B750" t="s">
        <v>92</v>
      </c>
      <c r="C750" t="s">
        <v>20</v>
      </c>
      <c r="D750" s="5">
        <v>31995</v>
      </c>
      <c r="E750" s="5">
        <v>44577</v>
      </c>
      <c r="F750" t="s">
        <v>1300</v>
      </c>
      <c r="G750" t="s">
        <v>93</v>
      </c>
      <c r="H750" t="s">
        <v>33</v>
      </c>
      <c r="I750" t="s">
        <v>24</v>
      </c>
      <c r="J750">
        <v>3220000</v>
      </c>
      <c r="K750">
        <v>3</v>
      </c>
      <c r="L750">
        <v>2</v>
      </c>
      <c r="M750">
        <v>14</v>
      </c>
      <c r="N750" t="s">
        <v>41</v>
      </c>
      <c r="O750" t="s">
        <v>35</v>
      </c>
      <c r="P750" t="s">
        <v>27</v>
      </c>
      <c r="Q750" s="5">
        <v>46004</v>
      </c>
      <c r="R750" t="s">
        <v>61</v>
      </c>
      <c r="S750">
        <f>DATEDIF(D750,DATE(2026,9,30),"Y")</f>
        <v>39</v>
      </c>
      <c r="T750" s="6">
        <f>(IF(Q750="",DATE(2026,9,30),Q750)-E750)/365.25</f>
        <v>3.9069130732375084</v>
      </c>
      <c r="U750" t="str">
        <f>_xlfn.XLOOKUP(Table1_1[[#This Row],[Bo''lim]],Bolimlar!A:A,Bolimlar!B:B,"Topilmadi")</f>
        <v>Shahlo Ismoilova</v>
      </c>
      <c r="V750">
        <f>IF(P750="Ha",1,0)</f>
        <v>1</v>
      </c>
      <c r="W750" t="str">
        <f>IF(T750&lt;1,"1 yildan kam",IF(T750&lt;3,"1-3 yil","3 yildan ko'p"))</f>
        <v>3 yildan ko'p</v>
      </c>
    </row>
    <row r="751" spans="1:23" x14ac:dyDescent="0.3">
      <c r="A751" t="s">
        <v>642</v>
      </c>
      <c r="B751" t="s">
        <v>106</v>
      </c>
      <c r="C751" t="s">
        <v>20</v>
      </c>
      <c r="D751" s="5">
        <v>33958</v>
      </c>
      <c r="E751" s="5">
        <v>44261</v>
      </c>
      <c r="F751" t="s">
        <v>1035</v>
      </c>
      <c r="G751" t="s">
        <v>79</v>
      </c>
      <c r="H751" t="s">
        <v>33</v>
      </c>
      <c r="I751" t="s">
        <v>44</v>
      </c>
      <c r="J751">
        <v>3210000</v>
      </c>
      <c r="K751">
        <v>4</v>
      </c>
      <c r="L751">
        <v>5</v>
      </c>
      <c r="M751">
        <v>5</v>
      </c>
      <c r="N751" t="s">
        <v>25</v>
      </c>
      <c r="O751" t="s">
        <v>35</v>
      </c>
      <c r="P751" t="s">
        <v>27</v>
      </c>
      <c r="Q751" s="5">
        <v>46221</v>
      </c>
      <c r="R751" t="s">
        <v>145</v>
      </c>
      <c r="S751">
        <f>DATEDIF(D751,DATE(2026,9,30),"Y")</f>
        <v>33</v>
      </c>
      <c r="T751" s="6">
        <f>(IF(Q751="",DATE(2026,9,30),Q751)-E751)/365.25</f>
        <v>5.3661875427789187</v>
      </c>
      <c r="U751" t="str">
        <f>_xlfn.XLOOKUP(Table1_1[[#This Row],[Bo''lim]],Bolimlar!A:A,Bolimlar!B:B,"Topilmadi")</f>
        <v>Aziz Karimov</v>
      </c>
      <c r="V751">
        <f>IF(P751="Ha",1,0)</f>
        <v>1</v>
      </c>
      <c r="W751" t="str">
        <f>IF(T751&lt;1,"1 yildan kam",IF(T751&lt;3,"1-3 yil","3 yildan ko'p"))</f>
        <v>3 yildan ko'p</v>
      </c>
    </row>
    <row r="752" spans="1:23" x14ac:dyDescent="0.3">
      <c r="A752" t="s">
        <v>37</v>
      </c>
      <c r="B752" t="s">
        <v>38</v>
      </c>
      <c r="C752" t="s">
        <v>31</v>
      </c>
      <c r="D752" s="5">
        <v>35596</v>
      </c>
      <c r="E752" s="5">
        <v>44356</v>
      </c>
      <c r="F752" t="s">
        <v>39</v>
      </c>
      <c r="G752" t="s">
        <v>40</v>
      </c>
      <c r="H752" t="s">
        <v>33</v>
      </c>
      <c r="I752" t="s">
        <v>24</v>
      </c>
      <c r="J752">
        <v>3190000</v>
      </c>
      <c r="K752">
        <v>4</v>
      </c>
      <c r="L752">
        <v>2</v>
      </c>
      <c r="M752">
        <v>2</v>
      </c>
      <c r="N752" t="s">
        <v>41</v>
      </c>
      <c r="O752" t="s">
        <v>26</v>
      </c>
      <c r="P752" t="s">
        <v>36</v>
      </c>
      <c r="Q752" s="5"/>
      <c r="S752">
        <f>DATEDIF(D752,DATE(2026,9,30),"Y")</f>
        <v>29</v>
      </c>
      <c r="T752" s="6">
        <f>(IF(Q752="",DATE(2026,9,30),Q752)-E752)/365.25</f>
        <v>5.3086926762491444</v>
      </c>
      <c r="U752" t="str">
        <f>_xlfn.XLOOKUP(Table1_1[[#This Row],[Bo''lim]],Bolimlar!A:A,Bolimlar!B:B,"Topilmadi")</f>
        <v>Nodira Tursunova</v>
      </c>
      <c r="V752">
        <f>IF(P752="Ha",1,0)</f>
        <v>0</v>
      </c>
      <c r="W752" t="str">
        <f>IF(T752&lt;1,"1 yildan kam",IF(T752&lt;3,"1-3 yil","3 yildan ko'p"))</f>
        <v>3 yildan ko'p</v>
      </c>
    </row>
    <row r="753" spans="1:23" x14ac:dyDescent="0.3">
      <c r="A753" t="s">
        <v>249</v>
      </c>
      <c r="B753" t="s">
        <v>250</v>
      </c>
      <c r="C753" t="s">
        <v>31</v>
      </c>
      <c r="D753" s="5">
        <v>32409</v>
      </c>
      <c r="E753" s="5">
        <v>42567</v>
      </c>
      <c r="F753" t="s">
        <v>245</v>
      </c>
      <c r="G753" t="s">
        <v>127</v>
      </c>
      <c r="H753" t="s">
        <v>33</v>
      </c>
      <c r="I753" t="s">
        <v>34</v>
      </c>
      <c r="J753">
        <v>3190000</v>
      </c>
      <c r="K753">
        <v>4</v>
      </c>
      <c r="L753">
        <v>4</v>
      </c>
      <c r="M753">
        <v>0</v>
      </c>
      <c r="N753" t="s">
        <v>88</v>
      </c>
      <c r="O753" t="s">
        <v>26</v>
      </c>
      <c r="P753" t="s">
        <v>36</v>
      </c>
      <c r="Q753" s="5"/>
      <c r="S753">
        <f>DATEDIF(D753,DATE(2026,9,30),"Y")</f>
        <v>38</v>
      </c>
      <c r="T753" s="6">
        <f>(IF(Q753="",DATE(2026,9,30),Q753)-E753)/365.25</f>
        <v>10.206707734428473</v>
      </c>
      <c r="U753" t="str">
        <f>_xlfn.XLOOKUP(Table1_1[[#This Row],[Bo''lim]],Bolimlar!A:A,Bolimlar!B:B,"Topilmadi")</f>
        <v>Dilnoza Rahimova</v>
      </c>
      <c r="V753">
        <f>IF(P753="Ha",1,0)</f>
        <v>0</v>
      </c>
      <c r="W753" t="str">
        <f>IF(T753&lt;1,"1 yildan kam",IF(T753&lt;3,"1-3 yil","3 yildan ko'p"))</f>
        <v>3 yildan ko'p</v>
      </c>
    </row>
    <row r="754" spans="1:23" x14ac:dyDescent="0.3">
      <c r="A754" t="s">
        <v>988</v>
      </c>
      <c r="B754" t="s">
        <v>718</v>
      </c>
      <c r="C754" t="s">
        <v>20</v>
      </c>
      <c r="D754" s="5">
        <v>37602</v>
      </c>
      <c r="E754" s="5">
        <v>45846</v>
      </c>
      <c r="F754" t="s">
        <v>484</v>
      </c>
      <c r="G754" t="s">
        <v>196</v>
      </c>
      <c r="H754" t="s">
        <v>33</v>
      </c>
      <c r="I754" t="s">
        <v>34</v>
      </c>
      <c r="J754">
        <v>3190000</v>
      </c>
      <c r="K754">
        <v>5</v>
      </c>
      <c r="L754">
        <v>3</v>
      </c>
      <c r="M754">
        <v>13</v>
      </c>
      <c r="N754" t="s">
        <v>25</v>
      </c>
      <c r="O754" t="s">
        <v>53</v>
      </c>
      <c r="P754" t="s">
        <v>36</v>
      </c>
      <c r="Q754" s="5"/>
      <c r="S754">
        <f>DATEDIF(D754,DATE(2026,9,30),"Y")</f>
        <v>23</v>
      </c>
      <c r="T754" s="6">
        <f>(IF(Q754="",DATE(2026,9,30),Q754)-E754)/365.25</f>
        <v>1.2292950034223136</v>
      </c>
      <c r="U754" t="str">
        <f>_xlfn.XLOOKUP(Table1_1[[#This Row],[Bo''lim]],Bolimlar!A:A,Bolimlar!B:B,"Topilmadi")</f>
        <v>Sardor Nazarov</v>
      </c>
      <c r="V754">
        <f>IF(P754="Ha",1,0)</f>
        <v>0</v>
      </c>
      <c r="W754" t="str">
        <f>IF(T754&lt;1,"1 yildan kam",IF(T754&lt;3,"1-3 yil","3 yildan ko'p"))</f>
        <v>1-3 yil</v>
      </c>
    </row>
    <row r="755" spans="1:23" x14ac:dyDescent="0.3">
      <c r="A755" t="s">
        <v>476</v>
      </c>
      <c r="B755" t="s">
        <v>477</v>
      </c>
      <c r="C755" t="s">
        <v>31</v>
      </c>
      <c r="D755" s="5">
        <v>37214</v>
      </c>
      <c r="E755" s="5">
        <v>45624</v>
      </c>
      <c r="F755" t="s">
        <v>1300</v>
      </c>
      <c r="G755" t="s">
        <v>52</v>
      </c>
      <c r="H755" t="s">
        <v>33</v>
      </c>
      <c r="I755" t="s">
        <v>24</v>
      </c>
      <c r="J755">
        <v>3170000</v>
      </c>
      <c r="L755">
        <v>4</v>
      </c>
      <c r="M755">
        <v>1</v>
      </c>
      <c r="N755" t="s">
        <v>41</v>
      </c>
      <c r="O755" t="s">
        <v>26</v>
      </c>
      <c r="P755" t="s">
        <v>36</v>
      </c>
      <c r="Q755" s="5"/>
      <c r="S755">
        <f>DATEDIF(D755,DATE(2026,9,30),"Y")</f>
        <v>24</v>
      </c>
      <c r="T755" s="6">
        <f>(IF(Q755="",DATE(2026,9,30),Q755)-E755)/365.25</f>
        <v>1.83709787816564</v>
      </c>
      <c r="U755" t="str">
        <f>_xlfn.XLOOKUP(Table1_1[[#This Row],[Bo''lim]],Bolimlar!A:A,Bolimlar!B:B,"Topilmadi")</f>
        <v>Shahlo Ismoilova</v>
      </c>
      <c r="V755">
        <f>IF(P755="Ha",1,0)</f>
        <v>0</v>
      </c>
      <c r="W755" t="str">
        <f>IF(T755&lt;1,"1 yildan kam",IF(T755&lt;3,"1-3 yil","3 yildan ko'p"))</f>
        <v>1-3 yil</v>
      </c>
    </row>
    <row r="756" spans="1:23" x14ac:dyDescent="0.3">
      <c r="A756" t="s">
        <v>811</v>
      </c>
      <c r="B756" t="s">
        <v>812</v>
      </c>
      <c r="C756" t="s">
        <v>31</v>
      </c>
      <c r="D756" s="5">
        <v>33498</v>
      </c>
      <c r="E756" s="5">
        <v>45304</v>
      </c>
      <c r="F756" t="s">
        <v>1035</v>
      </c>
      <c r="G756" t="s">
        <v>73</v>
      </c>
      <c r="H756" t="s">
        <v>33</v>
      </c>
      <c r="I756" t="s">
        <v>24</v>
      </c>
      <c r="J756">
        <v>3160000</v>
      </c>
      <c r="K756">
        <v>2</v>
      </c>
      <c r="L756">
        <v>3</v>
      </c>
      <c r="M756">
        <v>27</v>
      </c>
      <c r="N756" t="s">
        <v>41</v>
      </c>
      <c r="O756" t="s">
        <v>26</v>
      </c>
      <c r="P756" t="s">
        <v>27</v>
      </c>
      <c r="Q756" s="5">
        <v>45691</v>
      </c>
      <c r="R756" t="s">
        <v>145</v>
      </c>
      <c r="S756">
        <f>DATEDIF(D756,DATE(2026,9,30),"Y")</f>
        <v>35</v>
      </c>
      <c r="T756" s="6">
        <f>(IF(Q756="",DATE(2026,9,30),Q756)-E756)/365.25</f>
        <v>1.0595482546201231</v>
      </c>
      <c r="U756" t="str">
        <f>_xlfn.XLOOKUP(Table1_1[[#This Row],[Bo''lim]],Bolimlar!A:A,Bolimlar!B:B,"Topilmadi")</f>
        <v>Aziz Karimov</v>
      </c>
      <c r="V756">
        <f>IF(P756="Ha",1,0)</f>
        <v>1</v>
      </c>
      <c r="W756" t="str">
        <f>IF(T756&lt;1,"1 yildan kam",IF(T756&lt;3,"1-3 yil","3 yildan ko'p"))</f>
        <v>1-3 yil</v>
      </c>
    </row>
    <row r="757" spans="1:23" x14ac:dyDescent="0.3">
      <c r="A757" t="s">
        <v>724</v>
      </c>
      <c r="B757" t="s">
        <v>725</v>
      </c>
      <c r="C757" t="s">
        <v>20</v>
      </c>
      <c r="D757" s="5">
        <v>34917</v>
      </c>
      <c r="E757" s="5">
        <v>45091</v>
      </c>
      <c r="F757" t="s">
        <v>39</v>
      </c>
      <c r="G757" t="s">
        <v>40</v>
      </c>
      <c r="H757" t="s">
        <v>33</v>
      </c>
      <c r="I757" t="s">
        <v>96</v>
      </c>
      <c r="J757">
        <v>3140000</v>
      </c>
      <c r="K757">
        <v>2</v>
      </c>
      <c r="L757">
        <v>4</v>
      </c>
      <c r="M757">
        <v>2</v>
      </c>
      <c r="N757" t="s">
        <v>88</v>
      </c>
      <c r="O757" t="s">
        <v>53</v>
      </c>
      <c r="P757" t="s">
        <v>36</v>
      </c>
      <c r="Q757" s="5"/>
      <c r="S757">
        <f>DATEDIF(D757,DATE(2026,9,30),"Y")</f>
        <v>31</v>
      </c>
      <c r="T757" s="6">
        <f>(IF(Q757="",DATE(2026,9,30),Q757)-E757)/365.25</f>
        <v>3.2963723477070501</v>
      </c>
      <c r="U757" t="str">
        <f>_xlfn.XLOOKUP(Table1_1[[#This Row],[Bo''lim]],Bolimlar!A:A,Bolimlar!B:B,"Topilmadi")</f>
        <v>Nodira Tursunova</v>
      </c>
      <c r="V757">
        <f>IF(P757="Ha",1,0)</f>
        <v>0</v>
      </c>
      <c r="W757" t="str">
        <f>IF(T757&lt;1,"1 yildan kam",IF(T757&lt;3,"1-3 yil","3 yildan ko'p"))</f>
        <v>3 yildan ko'p</v>
      </c>
    </row>
    <row r="758" spans="1:23" x14ac:dyDescent="0.3">
      <c r="A758" t="s">
        <v>220</v>
      </c>
      <c r="B758" t="s">
        <v>221</v>
      </c>
      <c r="C758" t="s">
        <v>20</v>
      </c>
      <c r="D758" s="5">
        <v>35254</v>
      </c>
      <c r="E758" s="5">
        <v>44770</v>
      </c>
      <c r="F758" t="s">
        <v>1300</v>
      </c>
      <c r="G758" t="s">
        <v>93</v>
      </c>
      <c r="H758" t="s">
        <v>33</v>
      </c>
      <c r="I758" t="s">
        <v>96</v>
      </c>
      <c r="J758">
        <v>3130000</v>
      </c>
      <c r="K758">
        <v>4</v>
      </c>
      <c r="L758">
        <v>3</v>
      </c>
      <c r="M758">
        <v>18</v>
      </c>
      <c r="N758" t="s">
        <v>25</v>
      </c>
      <c r="O758" t="s">
        <v>26</v>
      </c>
      <c r="P758" t="s">
        <v>36</v>
      </c>
      <c r="Q758" s="5"/>
      <c r="S758">
        <f>DATEDIF(D758,DATE(2026,9,30),"Y")</f>
        <v>30</v>
      </c>
      <c r="T758" s="6">
        <f>(IF(Q758="",DATE(2026,9,30),Q758)-E758)/365.25</f>
        <v>4.1752224503764541</v>
      </c>
      <c r="U758" t="str">
        <f>_xlfn.XLOOKUP(Table1_1[[#This Row],[Bo''lim]],Bolimlar!A:A,Bolimlar!B:B,"Topilmadi")</f>
        <v>Shahlo Ismoilova</v>
      </c>
      <c r="V758">
        <f>IF(P758="Ha",1,0)</f>
        <v>0</v>
      </c>
      <c r="W758" t="str">
        <f>IF(T758&lt;1,"1 yildan kam",IF(T758&lt;3,"1-3 yil","3 yildan ko'p"))</f>
        <v>3 yildan ko'p</v>
      </c>
    </row>
    <row r="759" spans="1:23" x14ac:dyDescent="0.3">
      <c r="A759" t="s">
        <v>247</v>
      </c>
      <c r="B759" t="s">
        <v>248</v>
      </c>
      <c r="C759" t="s">
        <v>31</v>
      </c>
      <c r="D759" s="5">
        <v>32131</v>
      </c>
      <c r="E759" s="5">
        <v>45346</v>
      </c>
      <c r="F759" t="s">
        <v>1300</v>
      </c>
      <c r="G759" t="s">
        <v>93</v>
      </c>
      <c r="H759" t="s">
        <v>33</v>
      </c>
      <c r="I759" t="s">
        <v>24</v>
      </c>
      <c r="J759">
        <v>3130000</v>
      </c>
      <c r="K759">
        <v>4</v>
      </c>
      <c r="L759">
        <v>2</v>
      </c>
      <c r="M759">
        <v>25</v>
      </c>
      <c r="N759" t="s">
        <v>88</v>
      </c>
      <c r="O759" t="s">
        <v>53</v>
      </c>
      <c r="P759" t="s">
        <v>36</v>
      </c>
      <c r="Q759" s="5"/>
      <c r="S759">
        <f>DATEDIF(D759,DATE(2026,9,30),"Y")</f>
        <v>38</v>
      </c>
      <c r="T759" s="6">
        <f>(IF(Q759="",DATE(2026,9,30),Q759)-E759)/365.25</f>
        <v>2.5982203969883639</v>
      </c>
      <c r="U759" t="str">
        <f>_xlfn.XLOOKUP(Table1_1[[#This Row],[Bo''lim]],Bolimlar!A:A,Bolimlar!B:B,"Topilmadi")</f>
        <v>Shahlo Ismoilova</v>
      </c>
      <c r="V759">
        <f>IF(P759="Ha",1,0)</f>
        <v>0</v>
      </c>
      <c r="W759" t="str">
        <f>IF(T759&lt;1,"1 yildan kam",IF(T759&lt;3,"1-3 yil","3 yildan ko'p"))</f>
        <v>1-3 yil</v>
      </c>
    </row>
    <row r="760" spans="1:23" x14ac:dyDescent="0.3">
      <c r="A760" t="s">
        <v>346</v>
      </c>
      <c r="B760" t="s">
        <v>347</v>
      </c>
      <c r="C760" t="s">
        <v>20</v>
      </c>
      <c r="D760" s="5">
        <v>37325</v>
      </c>
      <c r="E760" s="5">
        <v>45299</v>
      </c>
      <c r="F760" t="s">
        <v>39</v>
      </c>
      <c r="G760" t="s">
        <v>170</v>
      </c>
      <c r="H760" t="s">
        <v>33</v>
      </c>
      <c r="I760" t="s">
        <v>24</v>
      </c>
      <c r="J760">
        <v>3110000</v>
      </c>
      <c r="K760">
        <v>4</v>
      </c>
      <c r="L760">
        <v>3</v>
      </c>
      <c r="M760">
        <v>12</v>
      </c>
      <c r="N760" t="s">
        <v>88</v>
      </c>
      <c r="O760" t="s">
        <v>35</v>
      </c>
      <c r="P760" t="s">
        <v>36</v>
      </c>
      <c r="Q760" s="5"/>
      <c r="S760">
        <f>DATEDIF(D760,DATE(2026,9,30),"Y")</f>
        <v>24</v>
      </c>
      <c r="T760" s="6">
        <f>(IF(Q760="",DATE(2026,9,30),Q760)-E760)/365.25</f>
        <v>2.7268993839835729</v>
      </c>
      <c r="U760" t="str">
        <f>_xlfn.XLOOKUP(Table1_1[[#This Row],[Bo''lim]],Bolimlar!A:A,Bolimlar!B:B,"Topilmadi")</f>
        <v>Nodira Tursunova</v>
      </c>
      <c r="V760">
        <f>IF(P760="Ha",1,0)</f>
        <v>0</v>
      </c>
      <c r="W760" t="str">
        <f>IF(T760&lt;1,"1 yildan kam",IF(T760&lt;3,"1-3 yil","3 yildan ko'p"))</f>
        <v>1-3 yil</v>
      </c>
    </row>
    <row r="761" spans="1:23" x14ac:dyDescent="0.3">
      <c r="A761" t="s">
        <v>447</v>
      </c>
      <c r="B761" t="s">
        <v>448</v>
      </c>
      <c r="C761" t="s">
        <v>31</v>
      </c>
      <c r="D761" s="5">
        <v>35513</v>
      </c>
      <c r="E761" s="5">
        <v>44572</v>
      </c>
      <c r="F761" t="s">
        <v>39</v>
      </c>
      <c r="G761" t="s">
        <v>40</v>
      </c>
      <c r="H761" t="s">
        <v>33</v>
      </c>
      <c r="I761" t="s">
        <v>34</v>
      </c>
      <c r="J761">
        <v>3110000</v>
      </c>
      <c r="K761">
        <v>5</v>
      </c>
      <c r="L761">
        <v>5</v>
      </c>
      <c r="M761">
        <v>23</v>
      </c>
      <c r="N761" t="s">
        <v>41</v>
      </c>
      <c r="O761" t="s">
        <v>35</v>
      </c>
      <c r="P761" t="s">
        <v>36</v>
      </c>
      <c r="Q761" s="5"/>
      <c r="S761">
        <f>DATEDIF(D761,DATE(2026,9,30),"Y")</f>
        <v>29</v>
      </c>
      <c r="T761" s="6">
        <f>(IF(Q761="",DATE(2026,9,30),Q761)-E761)/365.25</f>
        <v>4.7173169062286107</v>
      </c>
      <c r="U761" t="str">
        <f>_xlfn.XLOOKUP(Table1_1[[#This Row],[Bo''lim]],Bolimlar!A:A,Bolimlar!B:B,"Topilmadi")</f>
        <v>Nodira Tursunova</v>
      </c>
      <c r="V761">
        <f>IF(P761="Ha",1,0)</f>
        <v>0</v>
      </c>
      <c r="W761" t="str">
        <f>IF(T761&lt;1,"1 yildan kam",IF(T761&lt;3,"1-3 yil","3 yildan ko'p"))</f>
        <v>3 yildan ko'p</v>
      </c>
    </row>
    <row r="762" spans="1:23" x14ac:dyDescent="0.3">
      <c r="A762" t="s">
        <v>926</v>
      </c>
      <c r="B762" t="s">
        <v>192</v>
      </c>
      <c r="C762" t="s">
        <v>20</v>
      </c>
      <c r="D762" s="5">
        <v>31277</v>
      </c>
      <c r="E762" s="5">
        <v>45869</v>
      </c>
      <c r="F762" t="s">
        <v>484</v>
      </c>
      <c r="G762" t="s">
        <v>150</v>
      </c>
      <c r="H762" t="s">
        <v>33</v>
      </c>
      <c r="I762" t="s">
        <v>24</v>
      </c>
      <c r="J762">
        <v>3110000</v>
      </c>
      <c r="K762">
        <v>4</v>
      </c>
      <c r="L762">
        <v>1</v>
      </c>
      <c r="M762">
        <v>21</v>
      </c>
      <c r="N762" t="s">
        <v>41</v>
      </c>
      <c r="O762" t="s">
        <v>26</v>
      </c>
      <c r="P762" t="s">
        <v>27</v>
      </c>
      <c r="Q762" s="5">
        <v>46183</v>
      </c>
      <c r="R762" t="s">
        <v>235</v>
      </c>
      <c r="S762">
        <f>DATEDIF(D762,DATE(2026,9,30),"Y")</f>
        <v>41</v>
      </c>
      <c r="T762" s="6">
        <f>(IF(Q762="",DATE(2026,9,30),Q762)-E762)/365.25</f>
        <v>0.85968514715947986</v>
      </c>
      <c r="U762" t="str">
        <f>_xlfn.XLOOKUP(Table1_1[[#This Row],[Bo''lim]],Bolimlar!A:A,Bolimlar!B:B,"Topilmadi")</f>
        <v>Sardor Nazarov</v>
      </c>
      <c r="V762">
        <f>IF(P762="Ha",1,0)</f>
        <v>1</v>
      </c>
      <c r="W762" t="str">
        <f>IF(T762&lt;1,"1 yildan kam",IF(T762&lt;3,"1-3 yil","3 yildan ko'p"))</f>
        <v>1 yildan kam</v>
      </c>
    </row>
    <row r="763" spans="1:23" x14ac:dyDescent="0.3">
      <c r="A763" t="s">
        <v>912</v>
      </c>
      <c r="B763" t="s">
        <v>836</v>
      </c>
      <c r="C763" t="s">
        <v>31</v>
      </c>
      <c r="D763" s="5">
        <v>28492</v>
      </c>
      <c r="E763" s="5">
        <v>45581</v>
      </c>
      <c r="F763" t="s">
        <v>1300</v>
      </c>
      <c r="G763" t="s">
        <v>93</v>
      </c>
      <c r="H763" t="s">
        <v>33</v>
      </c>
      <c r="I763" t="s">
        <v>206</v>
      </c>
      <c r="J763">
        <v>3090000</v>
      </c>
      <c r="K763">
        <v>4</v>
      </c>
      <c r="L763">
        <v>4</v>
      </c>
      <c r="M763">
        <v>5</v>
      </c>
      <c r="N763" t="s">
        <v>25</v>
      </c>
      <c r="O763" t="s">
        <v>26</v>
      </c>
      <c r="P763" t="s">
        <v>36</v>
      </c>
      <c r="Q763" s="5"/>
      <c r="S763">
        <f>DATEDIF(D763,DATE(2026,9,30),"Y")</f>
        <v>48</v>
      </c>
      <c r="T763" s="6">
        <f>(IF(Q763="",DATE(2026,9,30),Q763)-E763)/365.25</f>
        <v>1.9548254620123204</v>
      </c>
      <c r="U763" t="str">
        <f>_xlfn.XLOOKUP(Table1_1[[#This Row],[Bo''lim]],Bolimlar!A:A,Bolimlar!B:B,"Topilmadi")</f>
        <v>Shahlo Ismoilova</v>
      </c>
      <c r="V763">
        <f>IF(P763="Ha",1,0)</f>
        <v>0</v>
      </c>
      <c r="W763" t="str">
        <f>IF(T763&lt;1,"1 yildan kam",IF(T763&lt;3,"1-3 yil","3 yildan ko'p"))</f>
        <v>1-3 yil</v>
      </c>
    </row>
    <row r="764" spans="1:23" x14ac:dyDescent="0.3">
      <c r="A764" t="s">
        <v>441</v>
      </c>
      <c r="B764" t="s">
        <v>277</v>
      </c>
      <c r="C764" t="s">
        <v>20</v>
      </c>
      <c r="D764" s="5">
        <v>36695</v>
      </c>
      <c r="E764" s="5">
        <v>45430</v>
      </c>
      <c r="F764" t="s">
        <v>1035</v>
      </c>
      <c r="G764" t="s">
        <v>65</v>
      </c>
      <c r="H764" t="s">
        <v>33</v>
      </c>
      <c r="I764" t="s">
        <v>104</v>
      </c>
      <c r="J764">
        <v>3070000</v>
      </c>
      <c r="K764">
        <v>3</v>
      </c>
      <c r="L764">
        <v>5</v>
      </c>
      <c r="M764">
        <v>7</v>
      </c>
      <c r="N764" t="s">
        <v>25</v>
      </c>
      <c r="O764" t="s">
        <v>26</v>
      </c>
      <c r="P764" t="s">
        <v>36</v>
      </c>
      <c r="Q764" s="5"/>
      <c r="S764">
        <f>DATEDIF(D764,DATE(2026,9,30),"Y")</f>
        <v>26</v>
      </c>
      <c r="T764" s="6">
        <f>(IF(Q764="",DATE(2026,9,30),Q764)-E764)/365.25</f>
        <v>2.3682409308692676</v>
      </c>
      <c r="U764" t="str">
        <f>_xlfn.XLOOKUP(Table1_1[[#This Row],[Bo''lim]],Bolimlar!A:A,Bolimlar!B:B,"Topilmadi")</f>
        <v>Aziz Karimov</v>
      </c>
      <c r="V764">
        <f>IF(P764="Ha",1,0)</f>
        <v>0</v>
      </c>
      <c r="W764" t="str">
        <f>IF(T764&lt;1,"1 yildan kam",IF(T764&lt;3,"1-3 yil","3 yildan ko'p"))</f>
        <v>1-3 yil</v>
      </c>
    </row>
    <row r="765" spans="1:23" x14ac:dyDescent="0.3">
      <c r="A765" t="s">
        <v>485</v>
      </c>
      <c r="B765" t="s">
        <v>400</v>
      </c>
      <c r="C765" t="s">
        <v>31</v>
      </c>
      <c r="D765" s="5">
        <v>32102</v>
      </c>
      <c r="E765" s="5">
        <v>43858</v>
      </c>
      <c r="F765" t="s">
        <v>1300</v>
      </c>
      <c r="G765" t="s">
        <v>52</v>
      </c>
      <c r="H765" t="s">
        <v>33</v>
      </c>
      <c r="I765" t="s">
        <v>44</v>
      </c>
      <c r="J765">
        <v>3060000</v>
      </c>
      <c r="K765">
        <v>1</v>
      </c>
      <c r="L765">
        <v>2</v>
      </c>
      <c r="M765">
        <v>23</v>
      </c>
      <c r="N765" t="s">
        <v>88</v>
      </c>
      <c r="O765" t="s">
        <v>26</v>
      </c>
      <c r="P765" t="s">
        <v>27</v>
      </c>
      <c r="Q765" s="5">
        <v>45902</v>
      </c>
      <c r="R765" t="s">
        <v>111</v>
      </c>
      <c r="S765">
        <f>DATEDIF(D765,DATE(2026,9,30),"Y")</f>
        <v>38</v>
      </c>
      <c r="T765" s="6">
        <f>(IF(Q765="",DATE(2026,9,30),Q765)-E765)/365.25</f>
        <v>5.5961670088980151</v>
      </c>
      <c r="U765" t="str">
        <f>_xlfn.XLOOKUP(Table1_1[[#This Row],[Bo''lim]],Bolimlar!A:A,Bolimlar!B:B,"Topilmadi")</f>
        <v>Shahlo Ismoilova</v>
      </c>
      <c r="V765">
        <f>IF(P765="Ha",1,0)</f>
        <v>1</v>
      </c>
      <c r="W765" t="str">
        <f>IF(T765&lt;1,"1 yildan kam",IF(T765&lt;3,"1-3 yil","3 yildan ko'p"))</f>
        <v>3 yildan ko'p</v>
      </c>
    </row>
    <row r="766" spans="1:23" x14ac:dyDescent="0.3">
      <c r="A766" t="s">
        <v>626</v>
      </c>
      <c r="B766" t="s">
        <v>627</v>
      </c>
      <c r="C766" t="s">
        <v>31</v>
      </c>
      <c r="D766" s="5">
        <v>35666</v>
      </c>
      <c r="E766" s="5">
        <v>44571</v>
      </c>
      <c r="F766" t="s">
        <v>484</v>
      </c>
      <c r="G766" t="s">
        <v>115</v>
      </c>
      <c r="H766" t="s">
        <v>33</v>
      </c>
      <c r="I766" t="s">
        <v>82</v>
      </c>
      <c r="J766">
        <v>3060000</v>
      </c>
      <c r="K766">
        <v>5</v>
      </c>
      <c r="L766">
        <v>4</v>
      </c>
      <c r="M766">
        <v>19</v>
      </c>
      <c r="N766" t="s">
        <v>25</v>
      </c>
      <c r="P766" t="s">
        <v>36</v>
      </c>
      <c r="Q766" s="5"/>
      <c r="S766">
        <f>DATEDIF(D766,DATE(2026,9,30),"Y")</f>
        <v>29</v>
      </c>
      <c r="T766" s="6">
        <f>(IF(Q766="",DATE(2026,9,30),Q766)-E766)/365.25</f>
        <v>4.7200547570157427</v>
      </c>
      <c r="U766" t="str">
        <f>_xlfn.XLOOKUP(Table1_1[[#This Row],[Bo''lim]],Bolimlar!A:A,Bolimlar!B:B,"Topilmadi")</f>
        <v>Sardor Nazarov</v>
      </c>
      <c r="V766">
        <f>IF(P766="Ha",1,0)</f>
        <v>0</v>
      </c>
      <c r="W766" t="str">
        <f>IF(T766&lt;1,"1 yildan kam",IF(T766&lt;3,"1-3 yil","3 yildan ko'p"))</f>
        <v>3 yildan ko'p</v>
      </c>
    </row>
    <row r="767" spans="1:23" x14ac:dyDescent="0.3">
      <c r="A767" t="s">
        <v>109</v>
      </c>
      <c r="B767" t="s">
        <v>110</v>
      </c>
      <c r="C767" t="s">
        <v>20</v>
      </c>
      <c r="D767" s="5">
        <v>34806</v>
      </c>
      <c r="E767" s="5">
        <v>43085</v>
      </c>
      <c r="F767" t="s">
        <v>1300</v>
      </c>
      <c r="G767" t="s">
        <v>93</v>
      </c>
      <c r="H767" t="s">
        <v>33</v>
      </c>
      <c r="I767" t="s">
        <v>24</v>
      </c>
      <c r="J767">
        <v>3040000</v>
      </c>
      <c r="K767">
        <v>2</v>
      </c>
      <c r="L767">
        <v>1</v>
      </c>
      <c r="M767">
        <v>30</v>
      </c>
      <c r="N767" t="s">
        <v>25</v>
      </c>
      <c r="O767" t="s">
        <v>53</v>
      </c>
      <c r="P767" t="s">
        <v>27</v>
      </c>
      <c r="Q767" s="5">
        <v>46199</v>
      </c>
      <c r="R767" t="s">
        <v>111</v>
      </c>
      <c r="S767">
        <f>DATEDIF(D767,DATE(2026,9,30),"Y")</f>
        <v>31</v>
      </c>
      <c r="T767" s="6">
        <f>(IF(Q767="",DATE(2026,9,30),Q767)-E767)/365.25</f>
        <v>8.5256673511293641</v>
      </c>
      <c r="U767" t="str">
        <f>_xlfn.XLOOKUP(Table1_1[[#This Row],[Bo''lim]],Bolimlar!A:A,Bolimlar!B:B,"Topilmadi")</f>
        <v>Shahlo Ismoilova</v>
      </c>
      <c r="V767">
        <f>IF(P767="Ha",1,0)</f>
        <v>1</v>
      </c>
      <c r="W767" t="str">
        <f>IF(T767&lt;1,"1 yildan kam",IF(T767&lt;3,"1-3 yil","3 yildan ko'p"))</f>
        <v>3 yildan ko'p</v>
      </c>
    </row>
    <row r="768" spans="1:23" x14ac:dyDescent="0.3">
      <c r="A768" t="s">
        <v>804</v>
      </c>
      <c r="B768" t="s">
        <v>734</v>
      </c>
      <c r="C768" t="s">
        <v>31</v>
      </c>
      <c r="D768" s="5">
        <v>32033</v>
      </c>
      <c r="E768" s="5">
        <v>46147</v>
      </c>
      <c r="F768" t="s">
        <v>1300</v>
      </c>
      <c r="G768" t="s">
        <v>93</v>
      </c>
      <c r="H768" t="s">
        <v>33</v>
      </c>
      <c r="I768" t="s">
        <v>96</v>
      </c>
      <c r="J768">
        <v>3040000</v>
      </c>
      <c r="K768">
        <v>4</v>
      </c>
      <c r="L768">
        <v>3</v>
      </c>
      <c r="M768">
        <v>19</v>
      </c>
      <c r="N768" t="s">
        <v>25</v>
      </c>
      <c r="O768" t="s">
        <v>35</v>
      </c>
      <c r="P768" t="s">
        <v>36</v>
      </c>
      <c r="Q768" s="5"/>
      <c r="S768">
        <f>DATEDIF(D768,DATE(2026,9,30),"Y")</f>
        <v>39</v>
      </c>
      <c r="T768" s="6">
        <f>(IF(Q768="",DATE(2026,9,30),Q768)-E768)/365.25</f>
        <v>0.40520191649555098</v>
      </c>
      <c r="U768" t="str">
        <f>_xlfn.XLOOKUP(Table1_1[[#This Row],[Bo''lim]],Bolimlar!A:A,Bolimlar!B:B,"Topilmadi")</f>
        <v>Shahlo Ismoilova</v>
      </c>
      <c r="V768">
        <f>IF(P768="Ha",1,0)</f>
        <v>0</v>
      </c>
      <c r="W768" t="str">
        <f>IF(T768&lt;1,"1 yildan kam",IF(T768&lt;3,"1-3 yil","3 yildan ko'p"))</f>
        <v>1 yildan kam</v>
      </c>
    </row>
    <row r="769" spans="1:23" x14ac:dyDescent="0.3">
      <c r="A769" t="s">
        <v>1061</v>
      </c>
      <c r="B769" t="s">
        <v>124</v>
      </c>
      <c r="C769" t="s">
        <v>31</v>
      </c>
      <c r="D769" s="5">
        <v>33492</v>
      </c>
      <c r="E769" s="5">
        <v>43958</v>
      </c>
      <c r="F769" t="s">
        <v>484</v>
      </c>
      <c r="G769" t="s">
        <v>150</v>
      </c>
      <c r="H769" t="s">
        <v>33</v>
      </c>
      <c r="I769" t="s">
        <v>34</v>
      </c>
      <c r="J769">
        <v>3040000</v>
      </c>
      <c r="L769">
        <v>3</v>
      </c>
      <c r="M769">
        <v>22</v>
      </c>
      <c r="N769" t="s">
        <v>41</v>
      </c>
      <c r="O769" t="s">
        <v>53</v>
      </c>
      <c r="P769" t="s">
        <v>36</v>
      </c>
      <c r="Q769" s="5"/>
      <c r="S769">
        <f>DATEDIF(D769,DATE(2026,9,30),"Y")</f>
        <v>35</v>
      </c>
      <c r="T769" s="6">
        <f>(IF(Q769="",DATE(2026,9,30),Q769)-E769)/365.25</f>
        <v>6.3983572895277208</v>
      </c>
      <c r="U769" t="str">
        <f>_xlfn.XLOOKUP(Table1_1[[#This Row],[Bo''lim]],Bolimlar!A:A,Bolimlar!B:B,"Topilmadi")</f>
        <v>Sardor Nazarov</v>
      </c>
      <c r="V769">
        <f>IF(P769="Ha",1,0)</f>
        <v>0</v>
      </c>
      <c r="W769" t="str">
        <f>IF(T769&lt;1,"1 yildan kam",IF(T769&lt;3,"1-3 yil","3 yildan ko'p"))</f>
        <v>3 yildan ko'p</v>
      </c>
    </row>
    <row r="770" spans="1:23" x14ac:dyDescent="0.3">
      <c r="A770" t="s">
        <v>683</v>
      </c>
      <c r="B770" t="s">
        <v>684</v>
      </c>
      <c r="C770" t="s">
        <v>31</v>
      </c>
      <c r="D770" s="5">
        <v>34234</v>
      </c>
      <c r="E770" s="5">
        <v>42877</v>
      </c>
      <c r="F770" t="s">
        <v>1300</v>
      </c>
      <c r="G770" t="s">
        <v>93</v>
      </c>
      <c r="H770" t="s">
        <v>33</v>
      </c>
      <c r="I770" t="s">
        <v>24</v>
      </c>
      <c r="J770">
        <v>3010000</v>
      </c>
      <c r="K770">
        <v>5</v>
      </c>
      <c r="L770">
        <v>3</v>
      </c>
      <c r="M770">
        <v>11</v>
      </c>
      <c r="N770" t="s">
        <v>25</v>
      </c>
      <c r="O770" t="s">
        <v>26</v>
      </c>
      <c r="P770" t="s">
        <v>27</v>
      </c>
      <c r="Q770" s="5">
        <v>46128</v>
      </c>
      <c r="R770" t="s">
        <v>61</v>
      </c>
      <c r="S770">
        <f>DATEDIF(D770,DATE(2026,9,30),"Y")</f>
        <v>33</v>
      </c>
      <c r="T770" s="6">
        <f>(IF(Q770="",DATE(2026,9,30),Q770)-E770)/365.25</f>
        <v>8.9007529089664619</v>
      </c>
      <c r="U770" t="str">
        <f>_xlfn.XLOOKUP(Table1_1[[#This Row],[Bo''lim]],Bolimlar!A:A,Bolimlar!B:B,"Topilmadi")</f>
        <v>Shahlo Ismoilova</v>
      </c>
      <c r="V770">
        <f>IF(P770="Ha",1,0)</f>
        <v>1</v>
      </c>
      <c r="W770" t="str">
        <f>IF(T770&lt;1,"1 yildan kam",IF(T770&lt;3,"1-3 yil","3 yildan ko'p"))</f>
        <v>3 yildan ko'p</v>
      </c>
    </row>
    <row r="771" spans="1:23" x14ac:dyDescent="0.3">
      <c r="A771" t="s">
        <v>1124</v>
      </c>
      <c r="B771" t="s">
        <v>248</v>
      </c>
      <c r="C771" t="s">
        <v>31</v>
      </c>
      <c r="D771" s="5">
        <v>35286</v>
      </c>
      <c r="E771" s="5">
        <v>45834</v>
      </c>
      <c r="F771" t="s">
        <v>1300</v>
      </c>
      <c r="G771" t="s">
        <v>52</v>
      </c>
      <c r="H771" t="s">
        <v>33</v>
      </c>
      <c r="I771" t="s">
        <v>24</v>
      </c>
      <c r="J771">
        <v>3010000</v>
      </c>
      <c r="K771">
        <v>4</v>
      </c>
      <c r="L771">
        <v>3</v>
      </c>
      <c r="M771">
        <v>17</v>
      </c>
      <c r="N771" t="s">
        <v>41</v>
      </c>
      <c r="O771" t="s">
        <v>26</v>
      </c>
      <c r="P771" t="s">
        <v>36</v>
      </c>
      <c r="Q771" s="5"/>
      <c r="S771">
        <f>DATEDIF(D771,DATE(2026,9,30),"Y")</f>
        <v>30</v>
      </c>
      <c r="T771" s="6">
        <f>(IF(Q771="",DATE(2026,9,30),Q771)-E771)/365.25</f>
        <v>1.2621492128678986</v>
      </c>
      <c r="U771" t="str">
        <f>_xlfn.XLOOKUP(Table1_1[[#This Row],[Bo''lim]],Bolimlar!A:A,Bolimlar!B:B,"Topilmadi")</f>
        <v>Shahlo Ismoilova</v>
      </c>
      <c r="V771">
        <f>IF(P771="Ha",1,0)</f>
        <v>0</v>
      </c>
      <c r="W771" t="str">
        <f>IF(T771&lt;1,"1 yildan kam",IF(T771&lt;3,"1-3 yil","3 yildan ko'p"))</f>
        <v>1-3 yil</v>
      </c>
    </row>
    <row r="772" spans="1:23" x14ac:dyDescent="0.3">
      <c r="A772" t="s">
        <v>1222</v>
      </c>
      <c r="B772" t="s">
        <v>1223</v>
      </c>
      <c r="C772" t="s">
        <v>31</v>
      </c>
      <c r="D772" s="5">
        <v>33472</v>
      </c>
      <c r="E772" s="5">
        <v>43960</v>
      </c>
      <c r="F772" t="s">
        <v>1300</v>
      </c>
      <c r="G772" t="s">
        <v>93</v>
      </c>
      <c r="H772" t="s">
        <v>33</v>
      </c>
      <c r="I772" t="s">
        <v>82</v>
      </c>
      <c r="J772">
        <v>3000000</v>
      </c>
      <c r="K772">
        <v>4</v>
      </c>
      <c r="L772">
        <v>4</v>
      </c>
      <c r="M772">
        <v>4</v>
      </c>
      <c r="N772" t="s">
        <v>88</v>
      </c>
      <c r="O772" t="s">
        <v>53</v>
      </c>
      <c r="P772" t="s">
        <v>36</v>
      </c>
      <c r="Q772" s="5"/>
      <c r="S772">
        <f>DATEDIF(D772,DATE(2026,9,30),"Y")</f>
        <v>35</v>
      </c>
      <c r="T772" s="6">
        <f>(IF(Q772="",DATE(2026,9,30),Q772)-E772)/365.25</f>
        <v>6.3928815879534566</v>
      </c>
      <c r="U772" t="str">
        <f>_xlfn.XLOOKUP(Table1_1[[#This Row],[Bo''lim]],Bolimlar!A:A,Bolimlar!B:B,"Topilmadi")</f>
        <v>Shahlo Ismoilova</v>
      </c>
      <c r="V772">
        <f>IF(P772="Ha",1,0)</f>
        <v>0</v>
      </c>
      <c r="W772" t="str">
        <f>IF(T772&lt;1,"1 yildan kam",IF(T772&lt;3,"1-3 yil","3 yildan ko'p"))</f>
        <v>3 yildan ko'p</v>
      </c>
    </row>
    <row r="773" spans="1:23" x14ac:dyDescent="0.3">
      <c r="A773" t="s">
        <v>1247</v>
      </c>
      <c r="B773" t="s">
        <v>437</v>
      </c>
      <c r="C773" t="s">
        <v>20</v>
      </c>
      <c r="D773" s="5">
        <v>34853</v>
      </c>
      <c r="E773" s="5">
        <v>46152</v>
      </c>
      <c r="F773" t="s">
        <v>1300</v>
      </c>
      <c r="G773" t="s">
        <v>93</v>
      </c>
      <c r="H773" t="s">
        <v>33</v>
      </c>
      <c r="I773" t="s">
        <v>34</v>
      </c>
      <c r="J773">
        <v>2990000</v>
      </c>
      <c r="K773">
        <v>2</v>
      </c>
      <c r="L773">
        <v>2</v>
      </c>
      <c r="M773">
        <v>24</v>
      </c>
      <c r="N773" t="s">
        <v>88</v>
      </c>
      <c r="O773" t="s">
        <v>35</v>
      </c>
      <c r="P773" t="s">
        <v>27</v>
      </c>
      <c r="Q773" s="5">
        <v>46263</v>
      </c>
      <c r="R773" t="s">
        <v>155</v>
      </c>
      <c r="S773">
        <f>DATEDIF(D773,DATE(2026,9,30),"Y")</f>
        <v>31</v>
      </c>
      <c r="T773" s="6">
        <f>(IF(Q773="",DATE(2026,9,30),Q773)-E773)/365.25</f>
        <v>0.30390143737166325</v>
      </c>
      <c r="U773" t="str">
        <f>_xlfn.XLOOKUP(Table1_1[[#This Row],[Bo''lim]],Bolimlar!A:A,Bolimlar!B:B,"Topilmadi")</f>
        <v>Shahlo Ismoilova</v>
      </c>
      <c r="V773">
        <f>IF(P773="Ha",1,0)</f>
        <v>1</v>
      </c>
      <c r="W773" t="str">
        <f>IF(T773&lt;1,"1 yildan kam",IF(T773&lt;3,"1-3 yil","3 yildan ko'p"))</f>
        <v>1 yildan kam</v>
      </c>
    </row>
    <row r="774" spans="1:23" x14ac:dyDescent="0.3">
      <c r="A774" t="s">
        <v>933</v>
      </c>
      <c r="B774" t="s">
        <v>754</v>
      </c>
      <c r="C774" t="s">
        <v>20</v>
      </c>
      <c r="D774" s="5">
        <v>31764</v>
      </c>
      <c r="E774" s="5">
        <v>44905</v>
      </c>
      <c r="F774" t="s">
        <v>1300</v>
      </c>
      <c r="G774" t="s">
        <v>93</v>
      </c>
      <c r="H774" t="s">
        <v>33</v>
      </c>
      <c r="I774" t="s">
        <v>82</v>
      </c>
      <c r="J774">
        <v>2970000</v>
      </c>
      <c r="K774">
        <v>1</v>
      </c>
      <c r="L774">
        <v>5</v>
      </c>
      <c r="M774">
        <v>4</v>
      </c>
      <c r="N774" t="s">
        <v>41</v>
      </c>
      <c r="O774" t="s">
        <v>26</v>
      </c>
      <c r="P774" t="s">
        <v>36</v>
      </c>
      <c r="Q774" s="5"/>
      <c r="S774">
        <f>DATEDIF(D774,DATE(2026,9,30),"Y")</f>
        <v>39</v>
      </c>
      <c r="T774" s="6">
        <f>(IF(Q774="",DATE(2026,9,30),Q774)-E774)/365.25</f>
        <v>3.805612594113621</v>
      </c>
      <c r="U774" t="str">
        <f>_xlfn.XLOOKUP(Table1_1[[#This Row],[Bo''lim]],Bolimlar!A:A,Bolimlar!B:B,"Topilmadi")</f>
        <v>Shahlo Ismoilova</v>
      </c>
      <c r="V774">
        <f>IF(P774="Ha",1,0)</f>
        <v>0</v>
      </c>
      <c r="W774" t="str">
        <f>IF(T774&lt;1,"1 yildan kam",IF(T774&lt;3,"1-3 yil","3 yildan ko'p"))</f>
        <v>3 yildan ko'p</v>
      </c>
    </row>
    <row r="775" spans="1:23" x14ac:dyDescent="0.3">
      <c r="A775" t="s">
        <v>289</v>
      </c>
      <c r="B775" t="s">
        <v>290</v>
      </c>
      <c r="C775" t="s">
        <v>31</v>
      </c>
      <c r="D775" s="5">
        <v>34989</v>
      </c>
      <c r="E775" s="5">
        <v>44602</v>
      </c>
      <c r="F775" t="s">
        <v>484</v>
      </c>
      <c r="G775" t="s">
        <v>115</v>
      </c>
      <c r="H775" t="s">
        <v>33</v>
      </c>
      <c r="I775" t="s">
        <v>24</v>
      </c>
      <c r="J775">
        <v>2950000</v>
      </c>
      <c r="K775">
        <v>4</v>
      </c>
      <c r="L775">
        <v>5</v>
      </c>
      <c r="M775">
        <v>25</v>
      </c>
      <c r="N775" t="s">
        <v>25</v>
      </c>
      <c r="O775" t="s">
        <v>53</v>
      </c>
      <c r="P775" t="s">
        <v>36</v>
      </c>
      <c r="Q775" s="5"/>
      <c r="S775">
        <f>DATEDIF(D775,DATE(2026,9,30),"Y")</f>
        <v>30</v>
      </c>
      <c r="T775" s="6">
        <f>(IF(Q775="",DATE(2026,9,30),Q775)-E775)/365.25</f>
        <v>4.6351813826146477</v>
      </c>
      <c r="U775" t="str">
        <f>_xlfn.XLOOKUP(Table1_1[[#This Row],[Bo''lim]],Bolimlar!A:A,Bolimlar!B:B,"Topilmadi")</f>
        <v>Sardor Nazarov</v>
      </c>
      <c r="V775">
        <f>IF(P775="Ha",1,0)</f>
        <v>0</v>
      </c>
      <c r="W775" t="str">
        <f>IF(T775&lt;1,"1 yildan kam",IF(T775&lt;3,"1-3 yil","3 yildan ko'p"))</f>
        <v>3 yildan ko'p</v>
      </c>
    </row>
    <row r="776" spans="1:23" x14ac:dyDescent="0.3">
      <c r="A776" t="s">
        <v>99</v>
      </c>
      <c r="B776" t="s">
        <v>100</v>
      </c>
      <c r="C776" t="s">
        <v>20</v>
      </c>
      <c r="D776" s="5">
        <v>32237</v>
      </c>
      <c r="E776" s="5">
        <v>43635</v>
      </c>
      <c r="F776" t="s">
        <v>1300</v>
      </c>
      <c r="G776" t="s">
        <v>52</v>
      </c>
      <c r="H776" t="s">
        <v>33</v>
      </c>
      <c r="I776" t="s">
        <v>24</v>
      </c>
      <c r="J776">
        <v>2900000</v>
      </c>
      <c r="K776">
        <v>3</v>
      </c>
      <c r="L776">
        <v>4</v>
      </c>
      <c r="M776">
        <v>24</v>
      </c>
      <c r="N776" t="s">
        <v>41</v>
      </c>
      <c r="O776" t="s">
        <v>26</v>
      </c>
      <c r="P776" t="s">
        <v>36</v>
      </c>
      <c r="Q776" s="5"/>
      <c r="S776">
        <f>DATEDIF(D776,DATE(2026,9,30),"Y")</f>
        <v>38</v>
      </c>
      <c r="T776" s="6">
        <f>(IF(Q776="",DATE(2026,9,30),Q776)-E776)/365.25</f>
        <v>7.2826830937713893</v>
      </c>
      <c r="U776" t="str">
        <f>_xlfn.XLOOKUP(Table1_1[[#This Row],[Bo''lim]],Bolimlar!A:A,Bolimlar!B:B,"Topilmadi")</f>
        <v>Shahlo Ismoilova</v>
      </c>
      <c r="V776">
        <f>IF(P776="Ha",1,0)</f>
        <v>0</v>
      </c>
      <c r="W776" t="str">
        <f>IF(T776&lt;1,"1 yildan kam",IF(T776&lt;3,"1-3 yil","3 yildan ko'p"))</f>
        <v>3 yildan ko'p</v>
      </c>
    </row>
    <row r="777" spans="1:23" x14ac:dyDescent="0.3">
      <c r="A777" t="s">
        <v>427</v>
      </c>
      <c r="B777" t="s">
        <v>428</v>
      </c>
      <c r="C777" t="s">
        <v>31</v>
      </c>
      <c r="D777" s="5">
        <v>34726</v>
      </c>
      <c r="E777" s="5">
        <v>43920</v>
      </c>
      <c r="F777" t="s">
        <v>484</v>
      </c>
      <c r="G777" t="s">
        <v>150</v>
      </c>
      <c r="H777" t="s">
        <v>33</v>
      </c>
      <c r="I777" t="s">
        <v>34</v>
      </c>
      <c r="J777">
        <v>2890000</v>
      </c>
      <c r="K777">
        <v>3</v>
      </c>
      <c r="L777">
        <v>2</v>
      </c>
      <c r="M777">
        <v>12</v>
      </c>
      <c r="N777" t="s">
        <v>41</v>
      </c>
      <c r="O777" t="s">
        <v>35</v>
      </c>
      <c r="P777" t="s">
        <v>27</v>
      </c>
      <c r="Q777" s="5">
        <v>46137</v>
      </c>
      <c r="R777" t="s">
        <v>28</v>
      </c>
      <c r="S777">
        <f>DATEDIF(D777,DATE(2026,9,30),"Y")</f>
        <v>31</v>
      </c>
      <c r="T777" s="6">
        <f>(IF(Q777="",DATE(2026,9,30),Q777)-E777)/365.25</f>
        <v>6.0698151950718682</v>
      </c>
      <c r="U777" t="str">
        <f>_xlfn.XLOOKUP(Table1_1[[#This Row],[Bo''lim]],Bolimlar!A:A,Bolimlar!B:B,"Topilmadi")</f>
        <v>Sardor Nazarov</v>
      </c>
      <c r="V777">
        <f>IF(P777="Ha",1,0)</f>
        <v>1</v>
      </c>
      <c r="W777" t="str">
        <f>IF(T777&lt;1,"1 yildan kam",IF(T777&lt;3,"1-3 yil","3 yildan ko'p"))</f>
        <v>3 yildan ko'p</v>
      </c>
    </row>
    <row r="778" spans="1:23" x14ac:dyDescent="0.3">
      <c r="A778" t="s">
        <v>1098</v>
      </c>
      <c r="B778" t="s">
        <v>124</v>
      </c>
      <c r="C778" t="s">
        <v>31</v>
      </c>
      <c r="D778" s="5">
        <v>33533</v>
      </c>
      <c r="E778" s="5">
        <v>44804</v>
      </c>
      <c r="F778" t="s">
        <v>39</v>
      </c>
      <c r="G778" t="s">
        <v>170</v>
      </c>
      <c r="H778" t="s">
        <v>33</v>
      </c>
      <c r="I778" t="s">
        <v>24</v>
      </c>
      <c r="J778">
        <v>2860000</v>
      </c>
      <c r="K778">
        <v>3</v>
      </c>
      <c r="L778">
        <v>4</v>
      </c>
      <c r="M778">
        <v>18</v>
      </c>
      <c r="N778" t="s">
        <v>41</v>
      </c>
      <c r="O778" t="s">
        <v>26</v>
      </c>
      <c r="P778" t="s">
        <v>36</v>
      </c>
      <c r="Q778" s="5"/>
      <c r="S778">
        <f>DATEDIF(D778,DATE(2026,9,30),"Y")</f>
        <v>34</v>
      </c>
      <c r="T778" s="6">
        <f>(IF(Q778="",DATE(2026,9,30),Q778)-E778)/365.25</f>
        <v>4.0821355236139629</v>
      </c>
      <c r="U778" t="str">
        <f>_xlfn.XLOOKUP(Table1_1[[#This Row],[Bo''lim]],Bolimlar!A:A,Bolimlar!B:B,"Topilmadi")</f>
        <v>Nodira Tursunova</v>
      </c>
      <c r="V778">
        <f>IF(P778="Ha",1,0)</f>
        <v>0</v>
      </c>
      <c r="W778" t="str">
        <f>IF(T778&lt;1,"1 yildan kam",IF(T778&lt;3,"1-3 yil","3 yildan ko'p"))</f>
        <v>3 yildan ko'p</v>
      </c>
    </row>
    <row r="779" spans="1:23" x14ac:dyDescent="0.3">
      <c r="A779" t="s">
        <v>490</v>
      </c>
      <c r="B779" t="s">
        <v>119</v>
      </c>
      <c r="C779" t="s">
        <v>31</v>
      </c>
      <c r="D779" s="5">
        <v>32071</v>
      </c>
      <c r="E779" s="5">
        <v>42864</v>
      </c>
      <c r="F779" t="s">
        <v>484</v>
      </c>
      <c r="G779" t="s">
        <v>196</v>
      </c>
      <c r="H779" t="s">
        <v>33</v>
      </c>
      <c r="I779" t="s">
        <v>24</v>
      </c>
      <c r="J779">
        <v>2820000</v>
      </c>
      <c r="K779">
        <v>3</v>
      </c>
      <c r="L779">
        <v>1</v>
      </c>
      <c r="M779">
        <v>2</v>
      </c>
      <c r="N779" t="s">
        <v>41</v>
      </c>
      <c r="O779" t="s">
        <v>26</v>
      </c>
      <c r="P779" t="s">
        <v>27</v>
      </c>
      <c r="Q779" s="5">
        <v>45734</v>
      </c>
      <c r="R779" t="s">
        <v>28</v>
      </c>
      <c r="S779">
        <f>DATEDIF(D779,DATE(2026,9,30),"Y")</f>
        <v>38</v>
      </c>
      <c r="T779" s="6">
        <f>(IF(Q779="",DATE(2026,9,30),Q779)-E779)/365.25</f>
        <v>7.8576317590691307</v>
      </c>
      <c r="U779" t="str">
        <f>_xlfn.XLOOKUP(Table1_1[[#This Row],[Bo''lim]],Bolimlar!A:A,Bolimlar!B:B,"Topilmadi")</f>
        <v>Sardor Nazarov</v>
      </c>
      <c r="V779">
        <f>IF(P779="Ha",1,0)</f>
        <v>1</v>
      </c>
      <c r="W779" t="str">
        <f>IF(T779&lt;1,"1 yildan kam",IF(T779&lt;3,"1-3 yil","3 yildan ko'p"))</f>
        <v>3 yildan ko'p</v>
      </c>
    </row>
    <row r="780" spans="1:23" x14ac:dyDescent="0.3">
      <c r="A780" t="s">
        <v>1142</v>
      </c>
      <c r="B780" t="s">
        <v>121</v>
      </c>
      <c r="C780" t="s">
        <v>31</v>
      </c>
      <c r="D780" s="5">
        <v>33651</v>
      </c>
      <c r="E780" s="5">
        <v>44689</v>
      </c>
      <c r="F780" t="s">
        <v>1300</v>
      </c>
      <c r="G780" t="s">
        <v>52</v>
      </c>
      <c r="H780" t="s">
        <v>33</v>
      </c>
      <c r="I780" t="s">
        <v>34</v>
      </c>
      <c r="J780">
        <v>2800000</v>
      </c>
      <c r="K780">
        <v>4</v>
      </c>
      <c r="L780">
        <v>4</v>
      </c>
      <c r="M780">
        <v>31</v>
      </c>
      <c r="N780" t="s">
        <v>25</v>
      </c>
      <c r="O780" t="s">
        <v>26</v>
      </c>
      <c r="P780" t="s">
        <v>36</v>
      </c>
      <c r="Q780" s="5"/>
      <c r="S780">
        <f>DATEDIF(D780,DATE(2026,9,30),"Y")</f>
        <v>34</v>
      </c>
      <c r="T780" s="6">
        <f>(IF(Q780="",DATE(2026,9,30),Q780)-E780)/365.25</f>
        <v>4.3969883641341543</v>
      </c>
      <c r="U780" t="str">
        <f>_xlfn.XLOOKUP(Table1_1[[#This Row],[Bo''lim]],Bolimlar!A:A,Bolimlar!B:B,"Topilmadi")</f>
        <v>Shahlo Ismoilova</v>
      </c>
      <c r="V780">
        <f>IF(P780="Ha",1,0)</f>
        <v>0</v>
      </c>
      <c r="W780" t="str">
        <f>IF(T780&lt;1,"1 yildan kam",IF(T780&lt;3,"1-3 yil","3 yildan ko'p"))</f>
        <v>3 yildan ko'p</v>
      </c>
    </row>
    <row r="781" spans="1:23" x14ac:dyDescent="0.3">
      <c r="A781" t="s">
        <v>410</v>
      </c>
      <c r="B781" t="s">
        <v>411</v>
      </c>
      <c r="C781" t="s">
        <v>31</v>
      </c>
      <c r="D781" s="5">
        <v>37157</v>
      </c>
      <c r="E781" s="5">
        <v>45511</v>
      </c>
      <c r="F781" t="s">
        <v>484</v>
      </c>
      <c r="G781" t="s">
        <v>196</v>
      </c>
      <c r="H781" t="s">
        <v>33</v>
      </c>
      <c r="I781" t="s">
        <v>24</v>
      </c>
      <c r="J781">
        <v>2790000</v>
      </c>
      <c r="K781">
        <v>4</v>
      </c>
      <c r="L781">
        <v>3</v>
      </c>
      <c r="M781">
        <v>32</v>
      </c>
      <c r="N781" t="s">
        <v>41</v>
      </c>
      <c r="O781" t="s">
        <v>26</v>
      </c>
      <c r="P781" t="s">
        <v>27</v>
      </c>
      <c r="Q781" s="5">
        <v>46209</v>
      </c>
      <c r="R781" t="s">
        <v>28</v>
      </c>
      <c r="S781">
        <f>DATEDIF(D781,DATE(2026,9,30),"Y")</f>
        <v>25</v>
      </c>
      <c r="T781" s="6">
        <f>(IF(Q781="",DATE(2026,9,30),Q781)-E781)/365.25</f>
        <v>1.9110198494182067</v>
      </c>
      <c r="U781" t="str">
        <f>_xlfn.XLOOKUP(Table1_1[[#This Row],[Bo''lim]],Bolimlar!A:A,Bolimlar!B:B,"Topilmadi")</f>
        <v>Sardor Nazarov</v>
      </c>
      <c r="V781">
        <f>IF(P781="Ha",1,0)</f>
        <v>1</v>
      </c>
      <c r="W781" t="str">
        <f>IF(T781&lt;1,"1 yildan kam",IF(T781&lt;3,"1-3 yil","3 yildan ko'p"))</f>
        <v>1-3 yil</v>
      </c>
    </row>
    <row r="782" spans="1:23" x14ac:dyDescent="0.3">
      <c r="A782" t="s">
        <v>779</v>
      </c>
      <c r="B782" t="s">
        <v>403</v>
      </c>
      <c r="C782" t="s">
        <v>20</v>
      </c>
      <c r="D782" s="5">
        <v>31123</v>
      </c>
      <c r="E782" s="5">
        <v>45591</v>
      </c>
      <c r="F782" t="s">
        <v>1300</v>
      </c>
      <c r="G782" t="s">
        <v>93</v>
      </c>
      <c r="H782" t="s">
        <v>33</v>
      </c>
      <c r="I782" t="s">
        <v>34</v>
      </c>
      <c r="J782">
        <v>2760000</v>
      </c>
      <c r="K782">
        <v>3</v>
      </c>
      <c r="L782">
        <v>3</v>
      </c>
      <c r="M782">
        <v>9</v>
      </c>
      <c r="N782" t="s">
        <v>41</v>
      </c>
      <c r="O782" t="s">
        <v>26</v>
      </c>
      <c r="P782" t="s">
        <v>36</v>
      </c>
      <c r="Q782" s="5"/>
      <c r="S782">
        <f>DATEDIF(D782,DATE(2026,9,30),"Y")</f>
        <v>41</v>
      </c>
      <c r="T782" s="6">
        <f>(IF(Q782="",DATE(2026,9,30),Q782)-E782)/365.25</f>
        <v>1.9274469541409993</v>
      </c>
      <c r="U782" t="str">
        <f>_xlfn.XLOOKUP(Table1_1[[#This Row],[Bo''lim]],Bolimlar!A:A,Bolimlar!B:B,"Topilmadi")</f>
        <v>Shahlo Ismoilova</v>
      </c>
      <c r="V782">
        <f>IF(P782="Ha",1,0)</f>
        <v>0</v>
      </c>
      <c r="W782" t="str">
        <f>IF(T782&lt;1,"1 yildan kam",IF(T782&lt;3,"1-3 yil","3 yildan ko'p"))</f>
        <v>1-3 yil</v>
      </c>
    </row>
    <row r="783" spans="1:23" x14ac:dyDescent="0.3">
      <c r="A783" t="s">
        <v>646</v>
      </c>
      <c r="B783" t="s">
        <v>647</v>
      </c>
      <c r="C783" t="s">
        <v>20</v>
      </c>
      <c r="D783" s="5">
        <v>38478</v>
      </c>
      <c r="E783" s="5">
        <v>45857</v>
      </c>
      <c r="F783" t="s">
        <v>1300</v>
      </c>
      <c r="G783" t="s">
        <v>52</v>
      </c>
      <c r="H783" t="s">
        <v>33</v>
      </c>
      <c r="I783" t="s">
        <v>96</v>
      </c>
      <c r="J783">
        <v>2750000</v>
      </c>
      <c r="K783">
        <v>5</v>
      </c>
      <c r="L783">
        <v>5</v>
      </c>
      <c r="M783">
        <v>16</v>
      </c>
      <c r="N783" t="s">
        <v>41</v>
      </c>
      <c r="O783" t="s">
        <v>53</v>
      </c>
      <c r="P783" t="s">
        <v>27</v>
      </c>
      <c r="Q783" s="5">
        <v>46267</v>
      </c>
      <c r="R783" t="s">
        <v>28</v>
      </c>
      <c r="S783">
        <f>DATEDIF(D783,DATE(2026,9,30),"Y")</f>
        <v>21</v>
      </c>
      <c r="T783" s="6">
        <f>(IF(Q783="",DATE(2026,9,30),Q783)-E783)/365.25</f>
        <v>1.1225188227241616</v>
      </c>
      <c r="U783" t="str">
        <f>_xlfn.XLOOKUP(Table1_1[[#This Row],[Bo''lim]],Bolimlar!A:A,Bolimlar!B:B,"Topilmadi")</f>
        <v>Shahlo Ismoilova</v>
      </c>
      <c r="V783">
        <f>IF(P783="Ha",1,0)</f>
        <v>1</v>
      </c>
      <c r="W783" t="str">
        <f>IF(T783&lt;1,"1 yildan kam",IF(T783&lt;3,"1-3 yil","3 yildan ko'p"))</f>
        <v>1-3 yil</v>
      </c>
    </row>
    <row r="784" spans="1:23" x14ac:dyDescent="0.3">
      <c r="A784" t="s">
        <v>1153</v>
      </c>
      <c r="B784" t="s">
        <v>179</v>
      </c>
      <c r="C784" t="s">
        <v>31</v>
      </c>
      <c r="D784" s="5">
        <v>37594</v>
      </c>
      <c r="E784" s="5">
        <v>46239</v>
      </c>
      <c r="F784" t="s">
        <v>1300</v>
      </c>
      <c r="G784" t="s">
        <v>52</v>
      </c>
      <c r="H784" t="s">
        <v>33</v>
      </c>
      <c r="I784" t="s">
        <v>24</v>
      </c>
      <c r="J784">
        <v>2750000</v>
      </c>
      <c r="K784">
        <v>5</v>
      </c>
      <c r="L784">
        <v>3</v>
      </c>
      <c r="M784">
        <v>3</v>
      </c>
      <c r="N784" t="s">
        <v>25</v>
      </c>
      <c r="O784" t="s">
        <v>26</v>
      </c>
      <c r="P784" t="s">
        <v>36</v>
      </c>
      <c r="Q784" s="5"/>
      <c r="S784">
        <f>DATEDIF(D784,DATE(2026,9,30),"Y")</f>
        <v>23</v>
      </c>
      <c r="T784" s="6">
        <f>(IF(Q784="",DATE(2026,9,30),Q784)-E784)/365.25</f>
        <v>0.15331964407939766</v>
      </c>
      <c r="U784" t="str">
        <f>_xlfn.XLOOKUP(Table1_1[[#This Row],[Bo''lim]],Bolimlar!A:A,Bolimlar!B:B,"Topilmadi")</f>
        <v>Shahlo Ismoilova</v>
      </c>
      <c r="V784">
        <f>IF(P784="Ha",1,0)</f>
        <v>0</v>
      </c>
      <c r="W784" t="str">
        <f>IF(T784&lt;1,"1 yildan kam",IF(T784&lt;3,"1-3 yil","3 yildan ko'p"))</f>
        <v>1 yildan kam</v>
      </c>
    </row>
    <row r="785" spans="1:23" x14ac:dyDescent="0.3">
      <c r="A785" t="s">
        <v>864</v>
      </c>
      <c r="B785" t="s">
        <v>336</v>
      </c>
      <c r="C785" t="s">
        <v>20</v>
      </c>
      <c r="D785" s="5">
        <v>33636</v>
      </c>
      <c r="E785" s="5">
        <v>45595</v>
      </c>
      <c r="F785" t="s">
        <v>484</v>
      </c>
      <c r="G785" t="s">
        <v>115</v>
      </c>
      <c r="H785" t="s">
        <v>33</v>
      </c>
      <c r="I785" t="s">
        <v>24</v>
      </c>
      <c r="J785">
        <v>2710000</v>
      </c>
      <c r="K785">
        <v>2</v>
      </c>
      <c r="L785">
        <v>3</v>
      </c>
      <c r="M785">
        <v>8</v>
      </c>
      <c r="N785" t="s">
        <v>41</v>
      </c>
      <c r="O785" t="s">
        <v>53</v>
      </c>
      <c r="P785" t="s">
        <v>27</v>
      </c>
      <c r="Q785" s="5">
        <v>46112</v>
      </c>
      <c r="R785" t="s">
        <v>401</v>
      </c>
      <c r="S785">
        <f>DATEDIF(D785,DATE(2026,9,30),"Y")</f>
        <v>34</v>
      </c>
      <c r="T785" s="6">
        <f>(IF(Q785="",DATE(2026,9,30),Q785)-E785)/365.25</f>
        <v>1.4154688569472964</v>
      </c>
      <c r="U785" t="str">
        <f>_xlfn.XLOOKUP(Table1_1[[#This Row],[Bo''lim]],Bolimlar!A:A,Bolimlar!B:B,"Topilmadi")</f>
        <v>Sardor Nazarov</v>
      </c>
      <c r="V785">
        <f>IF(P785="Ha",1,0)</f>
        <v>1</v>
      </c>
      <c r="W785" t="str">
        <f>IF(T785&lt;1,"1 yildan kam",IF(T785&lt;3,"1-3 yil","3 yildan ko'p"))</f>
        <v>1-3 yil</v>
      </c>
    </row>
    <row r="786" spans="1:23" x14ac:dyDescent="0.3">
      <c r="A786" t="s">
        <v>1028</v>
      </c>
      <c r="B786" t="s">
        <v>1029</v>
      </c>
      <c r="C786" t="s">
        <v>20</v>
      </c>
      <c r="D786" s="5">
        <v>32091</v>
      </c>
      <c r="E786" s="5">
        <v>43119</v>
      </c>
      <c r="F786" t="s">
        <v>1300</v>
      </c>
      <c r="G786" t="s">
        <v>52</v>
      </c>
      <c r="H786" t="s">
        <v>33</v>
      </c>
      <c r="I786" t="s">
        <v>96</v>
      </c>
      <c r="J786">
        <v>2690000</v>
      </c>
      <c r="K786">
        <v>3</v>
      </c>
      <c r="L786">
        <v>2</v>
      </c>
      <c r="M786">
        <v>12</v>
      </c>
      <c r="N786" t="s">
        <v>41</v>
      </c>
      <c r="O786" t="s">
        <v>53</v>
      </c>
      <c r="P786" t="s">
        <v>36</v>
      </c>
      <c r="Q786" s="5"/>
      <c r="S786">
        <f>DATEDIF(D786,DATE(2026,9,30),"Y")</f>
        <v>38</v>
      </c>
      <c r="T786" s="6">
        <f>(IF(Q786="",DATE(2026,9,30),Q786)-E786)/365.25</f>
        <v>8.6954140999315541</v>
      </c>
      <c r="U786" t="str">
        <f>_xlfn.XLOOKUP(Table1_1[[#This Row],[Bo''lim]],Bolimlar!A:A,Bolimlar!B:B,"Topilmadi")</f>
        <v>Shahlo Ismoilova</v>
      </c>
      <c r="V786">
        <f>IF(P786="Ha",1,0)</f>
        <v>0</v>
      </c>
      <c r="W786" t="str">
        <f>IF(T786&lt;1,"1 yildan kam",IF(T786&lt;3,"1-3 yil","3 yildan ko'p"))</f>
        <v>3 yildan ko'p</v>
      </c>
    </row>
    <row r="787" spans="1:23" x14ac:dyDescent="0.3">
      <c r="A787" t="s">
        <v>360</v>
      </c>
      <c r="B787" t="s">
        <v>182</v>
      </c>
      <c r="C787" t="s">
        <v>20</v>
      </c>
      <c r="D787" s="5">
        <v>36154</v>
      </c>
      <c r="E787" s="5">
        <v>44931</v>
      </c>
      <c r="F787" t="s">
        <v>1300</v>
      </c>
      <c r="G787" t="s">
        <v>52</v>
      </c>
      <c r="H787" t="s">
        <v>33</v>
      </c>
      <c r="I787" t="s">
        <v>104</v>
      </c>
      <c r="J787">
        <v>2640000</v>
      </c>
      <c r="K787">
        <v>3</v>
      </c>
      <c r="L787">
        <v>5</v>
      </c>
      <c r="M787">
        <v>8</v>
      </c>
      <c r="N787" t="s">
        <v>41</v>
      </c>
      <c r="O787" t="s">
        <v>26</v>
      </c>
      <c r="P787" t="s">
        <v>36</v>
      </c>
      <c r="Q787" s="5"/>
      <c r="S787">
        <f>DATEDIF(D787,DATE(2026,9,30),"Y")</f>
        <v>27</v>
      </c>
      <c r="T787" s="6">
        <f>(IF(Q787="",DATE(2026,9,30),Q787)-E787)/365.25</f>
        <v>3.7344284736481863</v>
      </c>
      <c r="U787" t="str">
        <f>_xlfn.XLOOKUP(Table1_1[[#This Row],[Bo''lim]],Bolimlar!A:A,Bolimlar!B:B,"Topilmadi")</f>
        <v>Shahlo Ismoilova</v>
      </c>
      <c r="V787">
        <f>IF(P787="Ha",1,0)</f>
        <v>0</v>
      </c>
      <c r="W787" t="str">
        <f>IF(T787&lt;1,"1 yildan kam",IF(T787&lt;3,"1-3 yil","3 yildan ko'p"))</f>
        <v>3 yildan ko'p</v>
      </c>
    </row>
    <row r="788" spans="1:23" x14ac:dyDescent="0.3">
      <c r="A788" t="s">
        <v>601</v>
      </c>
      <c r="B788" t="s">
        <v>84</v>
      </c>
      <c r="C788" t="s">
        <v>31</v>
      </c>
      <c r="D788" s="5">
        <v>33538</v>
      </c>
      <c r="E788" s="5">
        <v>44760</v>
      </c>
      <c r="F788" t="s">
        <v>1300</v>
      </c>
      <c r="G788" t="s">
        <v>93</v>
      </c>
      <c r="H788" t="s">
        <v>33</v>
      </c>
      <c r="I788" t="s">
        <v>44</v>
      </c>
      <c r="J788">
        <v>2600000</v>
      </c>
      <c r="K788">
        <v>4</v>
      </c>
      <c r="L788">
        <v>4</v>
      </c>
      <c r="M788">
        <v>13</v>
      </c>
      <c r="N788" t="s">
        <v>88</v>
      </c>
      <c r="O788" t="s">
        <v>26</v>
      </c>
      <c r="P788" t="s">
        <v>36</v>
      </c>
      <c r="Q788" s="5"/>
      <c r="S788">
        <f>DATEDIF(D788,DATE(2026,9,30),"Y")</f>
        <v>34</v>
      </c>
      <c r="T788" s="6">
        <f>(IF(Q788="",DATE(2026,9,30),Q788)-E788)/365.25</f>
        <v>4.2026009582477757</v>
      </c>
      <c r="U788" t="str">
        <f>_xlfn.XLOOKUP(Table1_1[[#This Row],[Bo''lim]],Bolimlar!A:A,Bolimlar!B:B,"Topilmadi")</f>
        <v>Shahlo Ismoilova</v>
      </c>
      <c r="V788">
        <f>IF(P788="Ha",1,0)</f>
        <v>0</v>
      </c>
      <c r="W788" t="str">
        <f>IF(T788&lt;1,"1 yildan kam",IF(T788&lt;3,"1-3 yil","3 yildan ko'p"))</f>
        <v>3 yildan ko'p</v>
      </c>
    </row>
    <row r="789" spans="1:23" x14ac:dyDescent="0.3">
      <c r="A789" t="s">
        <v>542</v>
      </c>
      <c r="B789" t="s">
        <v>543</v>
      </c>
      <c r="C789" t="s">
        <v>31</v>
      </c>
      <c r="D789" s="5">
        <v>37253</v>
      </c>
      <c r="E789" s="5">
        <v>44882</v>
      </c>
      <c r="F789" t="s">
        <v>1300</v>
      </c>
      <c r="G789" t="s">
        <v>52</v>
      </c>
      <c r="H789" t="s">
        <v>33</v>
      </c>
      <c r="I789" t="s">
        <v>24</v>
      </c>
      <c r="J789">
        <v>2590000</v>
      </c>
      <c r="K789">
        <v>5</v>
      </c>
      <c r="L789">
        <v>5</v>
      </c>
      <c r="M789">
        <v>14</v>
      </c>
      <c r="N789" t="s">
        <v>41</v>
      </c>
      <c r="O789" t="s">
        <v>53</v>
      </c>
      <c r="P789" t="s">
        <v>27</v>
      </c>
      <c r="Q789" s="5">
        <v>45727</v>
      </c>
      <c r="R789" t="s">
        <v>155</v>
      </c>
      <c r="S789">
        <f>DATEDIF(D789,DATE(2026,9,30),"Y")</f>
        <v>24</v>
      </c>
      <c r="T789" s="6">
        <f>(IF(Q789="",DATE(2026,9,30),Q789)-E789)/365.25</f>
        <v>2.3134839151266258</v>
      </c>
      <c r="U789" t="str">
        <f>_xlfn.XLOOKUP(Table1_1[[#This Row],[Bo''lim]],Bolimlar!A:A,Bolimlar!B:B,"Topilmadi")</f>
        <v>Shahlo Ismoilova</v>
      </c>
      <c r="V789">
        <f>IF(P789="Ha",1,0)</f>
        <v>1</v>
      </c>
      <c r="W789" t="str">
        <f>IF(T789&lt;1,"1 yildan kam",IF(T789&lt;3,"1-3 yil","3 yildan ko'p"))</f>
        <v>1-3 yil</v>
      </c>
    </row>
    <row r="790" spans="1:23" x14ac:dyDescent="0.3">
      <c r="A790" t="s">
        <v>719</v>
      </c>
      <c r="B790" t="s">
        <v>674</v>
      </c>
      <c r="C790" t="s">
        <v>31</v>
      </c>
      <c r="D790" s="5">
        <v>38793</v>
      </c>
      <c r="E790" s="5">
        <v>46132</v>
      </c>
      <c r="F790" t="s">
        <v>1300</v>
      </c>
      <c r="G790" t="s">
        <v>52</v>
      </c>
      <c r="H790" t="s">
        <v>33</v>
      </c>
      <c r="I790" t="s">
        <v>34</v>
      </c>
      <c r="J790">
        <v>2580000</v>
      </c>
      <c r="K790">
        <v>5</v>
      </c>
      <c r="L790">
        <v>3</v>
      </c>
      <c r="M790">
        <v>11</v>
      </c>
      <c r="N790" t="s">
        <v>88</v>
      </c>
      <c r="O790" t="s">
        <v>53</v>
      </c>
      <c r="P790" t="s">
        <v>36</v>
      </c>
      <c r="Q790" s="5"/>
      <c r="S790">
        <f>DATEDIF(D790,DATE(2026,9,30),"Y")</f>
        <v>20</v>
      </c>
      <c r="T790" s="6">
        <f>(IF(Q790="",DATE(2026,9,30),Q790)-E790)/365.25</f>
        <v>0.4462696783025325</v>
      </c>
      <c r="U790" t="str">
        <f>_xlfn.XLOOKUP(Table1_1[[#This Row],[Bo''lim]],Bolimlar!A:A,Bolimlar!B:B,"Topilmadi")</f>
        <v>Shahlo Ismoilova</v>
      </c>
      <c r="V790">
        <f>IF(P790="Ha",1,0)</f>
        <v>0</v>
      </c>
      <c r="W790" t="str">
        <f>IF(T790&lt;1,"1 yildan kam",IF(T790&lt;3,"1-3 yil","3 yildan ko'p"))</f>
        <v>1 yildan kam</v>
      </c>
    </row>
    <row r="791" spans="1:23" x14ac:dyDescent="0.3">
      <c r="A791" t="s">
        <v>739</v>
      </c>
      <c r="B791" t="s">
        <v>740</v>
      </c>
      <c r="C791" t="s">
        <v>20</v>
      </c>
      <c r="D791" s="5">
        <v>38328</v>
      </c>
      <c r="E791" s="5">
        <v>45919</v>
      </c>
      <c r="F791" t="s">
        <v>1300</v>
      </c>
      <c r="G791" t="s">
        <v>52</v>
      </c>
      <c r="H791" t="s">
        <v>33</v>
      </c>
      <c r="I791" t="s">
        <v>24</v>
      </c>
      <c r="J791">
        <v>2540000</v>
      </c>
      <c r="K791">
        <v>5</v>
      </c>
      <c r="L791">
        <v>1</v>
      </c>
      <c r="M791">
        <v>15</v>
      </c>
      <c r="N791" t="s">
        <v>41</v>
      </c>
      <c r="O791" t="s">
        <v>26</v>
      </c>
      <c r="P791" t="s">
        <v>27</v>
      </c>
      <c r="Q791" s="5">
        <v>46202</v>
      </c>
      <c r="R791" t="s">
        <v>155</v>
      </c>
      <c r="S791">
        <f>DATEDIF(D791,DATE(2026,9,30),"Y")</f>
        <v>21</v>
      </c>
      <c r="T791" s="6">
        <f>(IF(Q791="",DATE(2026,9,30),Q791)-E791)/365.25</f>
        <v>0.77481177275838464</v>
      </c>
      <c r="U791" t="str">
        <f>_xlfn.XLOOKUP(Table1_1[[#This Row],[Bo''lim]],Bolimlar!A:A,Bolimlar!B:B,"Topilmadi")</f>
        <v>Shahlo Ismoilova</v>
      </c>
      <c r="V791">
        <f>IF(P791="Ha",1,0)</f>
        <v>1</v>
      </c>
      <c r="W791" t="str">
        <f>IF(T791&lt;1,"1 yildan kam",IF(T791&lt;3,"1-3 yil","3 yildan ko'p"))</f>
        <v>1 yildan kam</v>
      </c>
    </row>
    <row r="792" spans="1:23" x14ac:dyDescent="0.3">
      <c r="A792" t="s">
        <v>1060</v>
      </c>
      <c r="B792" t="s">
        <v>1016</v>
      </c>
      <c r="C792" t="s">
        <v>20</v>
      </c>
      <c r="D792" s="5">
        <v>37752</v>
      </c>
      <c r="E792" s="5">
        <v>45670</v>
      </c>
      <c r="F792" t="s">
        <v>1300</v>
      </c>
      <c r="G792" t="s">
        <v>52</v>
      </c>
      <c r="H792" t="s">
        <v>33</v>
      </c>
      <c r="I792" t="s">
        <v>24</v>
      </c>
      <c r="J792">
        <v>2540000</v>
      </c>
      <c r="K792">
        <v>4</v>
      </c>
      <c r="L792">
        <v>4</v>
      </c>
      <c r="M792">
        <v>14</v>
      </c>
      <c r="N792" t="s">
        <v>25</v>
      </c>
      <c r="O792" t="s">
        <v>35</v>
      </c>
      <c r="P792" t="s">
        <v>27</v>
      </c>
      <c r="Q792" s="5">
        <v>45819</v>
      </c>
      <c r="R792" t="s">
        <v>28</v>
      </c>
      <c r="S792">
        <f>DATEDIF(D792,DATE(2026,9,30),"Y")</f>
        <v>23</v>
      </c>
      <c r="T792" s="6">
        <f>(IF(Q792="",DATE(2026,9,30),Q792)-E792)/365.25</f>
        <v>0.40793976728268311</v>
      </c>
      <c r="U792" t="str">
        <f>_xlfn.XLOOKUP(Table1_1[[#This Row],[Bo''lim]],Bolimlar!A:A,Bolimlar!B:B,"Topilmadi")</f>
        <v>Shahlo Ismoilova</v>
      </c>
      <c r="V792">
        <f>IF(P792="Ha",1,0)</f>
        <v>1</v>
      </c>
      <c r="W792" t="str">
        <f>IF(T792&lt;1,"1 yildan kam",IF(T792&lt;3,"1-3 yil","3 yildan ko'p"))</f>
        <v>1 yildan kam</v>
      </c>
    </row>
    <row r="793" spans="1:23" x14ac:dyDescent="0.3">
      <c r="A793" t="s">
        <v>266</v>
      </c>
      <c r="B793" t="s">
        <v>267</v>
      </c>
      <c r="C793" t="s">
        <v>31</v>
      </c>
      <c r="D793" s="5">
        <v>36959</v>
      </c>
      <c r="E793" s="5">
        <v>44977</v>
      </c>
      <c r="F793" t="s">
        <v>1300</v>
      </c>
      <c r="G793" t="s">
        <v>52</v>
      </c>
      <c r="H793" t="s">
        <v>33</v>
      </c>
      <c r="I793" t="s">
        <v>96</v>
      </c>
      <c r="J793">
        <v>2530000</v>
      </c>
      <c r="K793">
        <v>2</v>
      </c>
      <c r="L793">
        <v>4</v>
      </c>
      <c r="M793">
        <v>11</v>
      </c>
      <c r="N793" t="s">
        <v>41</v>
      </c>
      <c r="O793" t="s">
        <v>53</v>
      </c>
      <c r="P793" t="s">
        <v>36</v>
      </c>
      <c r="Q793" s="5"/>
      <c r="S793">
        <f>DATEDIF(D793,DATE(2026,9,30),"Y")</f>
        <v>25</v>
      </c>
      <c r="T793" s="6">
        <f>(IF(Q793="",DATE(2026,9,30),Q793)-E793)/365.25</f>
        <v>3.6084873374401094</v>
      </c>
      <c r="U793" t="str">
        <f>_xlfn.XLOOKUP(Table1_1[[#This Row],[Bo''lim]],Bolimlar!A:A,Bolimlar!B:B,"Topilmadi")</f>
        <v>Shahlo Ismoilova</v>
      </c>
      <c r="V793">
        <f>IF(P793="Ha",1,0)</f>
        <v>0</v>
      </c>
      <c r="W793" t="str">
        <f>IF(T793&lt;1,"1 yildan kam",IF(T793&lt;3,"1-3 yil","3 yildan ko'p"))</f>
        <v>3 yildan ko'p</v>
      </c>
    </row>
    <row r="794" spans="1:23" x14ac:dyDescent="0.3">
      <c r="A794" t="s">
        <v>293</v>
      </c>
      <c r="B794" t="s">
        <v>294</v>
      </c>
      <c r="C794" t="s">
        <v>31</v>
      </c>
      <c r="D794" s="5">
        <v>31936</v>
      </c>
      <c r="E794" s="5">
        <v>44918</v>
      </c>
      <c r="F794" t="s">
        <v>1300</v>
      </c>
      <c r="G794" t="s">
        <v>93</v>
      </c>
      <c r="H794" t="s">
        <v>33</v>
      </c>
      <c r="I794" t="s">
        <v>24</v>
      </c>
      <c r="J794">
        <v>2510000</v>
      </c>
      <c r="K794">
        <v>3</v>
      </c>
      <c r="L794">
        <v>3</v>
      </c>
      <c r="M794">
        <v>24</v>
      </c>
      <c r="N794" t="s">
        <v>41</v>
      </c>
      <c r="O794" t="s">
        <v>53</v>
      </c>
      <c r="P794" t="s">
        <v>36</v>
      </c>
      <c r="Q794" s="5"/>
      <c r="S794">
        <f>DATEDIF(D794,DATE(2026,9,30),"Y")</f>
        <v>39</v>
      </c>
      <c r="T794" s="6">
        <f>(IF(Q794="",DATE(2026,9,30),Q794)-E794)/365.25</f>
        <v>3.7700205338809036</v>
      </c>
      <c r="U794" t="str">
        <f>_xlfn.XLOOKUP(Table1_1[[#This Row],[Bo''lim]],Bolimlar!A:A,Bolimlar!B:B,"Topilmadi")</f>
        <v>Shahlo Ismoilova</v>
      </c>
      <c r="V794">
        <f>IF(P794="Ha",1,0)</f>
        <v>0</v>
      </c>
      <c r="W794" t="str">
        <f>IF(T794&lt;1,"1 yildan kam",IF(T794&lt;3,"1-3 yil","3 yildan ko'p"))</f>
        <v>3 yildan ko'p</v>
      </c>
    </row>
    <row r="795" spans="1:23" x14ac:dyDescent="0.3">
      <c r="A795" t="s">
        <v>650</v>
      </c>
      <c r="B795" t="s">
        <v>651</v>
      </c>
      <c r="C795" t="s">
        <v>31</v>
      </c>
      <c r="D795" s="5">
        <v>35195</v>
      </c>
      <c r="E795" s="5">
        <v>45619</v>
      </c>
      <c r="F795" t="s">
        <v>1300</v>
      </c>
      <c r="G795" t="s">
        <v>93</v>
      </c>
      <c r="H795" t="s">
        <v>33</v>
      </c>
      <c r="I795" t="s">
        <v>104</v>
      </c>
      <c r="J795">
        <v>2510000</v>
      </c>
      <c r="K795">
        <v>5</v>
      </c>
      <c r="L795">
        <v>1</v>
      </c>
      <c r="M795">
        <v>9</v>
      </c>
      <c r="N795" t="s">
        <v>25</v>
      </c>
      <c r="O795" t="s">
        <v>26</v>
      </c>
      <c r="P795" t="s">
        <v>36</v>
      </c>
      <c r="Q795" s="5"/>
      <c r="S795">
        <f>DATEDIF(D795,DATE(2026,9,30),"Y")</f>
        <v>30</v>
      </c>
      <c r="T795" s="6">
        <f>(IF(Q795="",DATE(2026,9,30),Q795)-E795)/365.25</f>
        <v>1.8507871321013005</v>
      </c>
      <c r="U795" t="str">
        <f>_xlfn.XLOOKUP(Table1_1[[#This Row],[Bo''lim]],Bolimlar!A:A,Bolimlar!B:B,"Topilmadi")</f>
        <v>Shahlo Ismoilova</v>
      </c>
      <c r="V795">
        <f>IF(P795="Ha",1,0)</f>
        <v>0</v>
      </c>
      <c r="W795" t="str">
        <f>IF(T795&lt;1,"1 yildan kam",IF(T795&lt;3,"1-3 yil","3 yildan ko'p"))</f>
        <v>1-3 yil</v>
      </c>
    </row>
    <row r="796" spans="1:23" x14ac:dyDescent="0.3">
      <c r="A796" t="s">
        <v>156</v>
      </c>
      <c r="B796" t="s">
        <v>157</v>
      </c>
      <c r="C796" t="s">
        <v>20</v>
      </c>
      <c r="D796" s="5">
        <v>33793</v>
      </c>
      <c r="E796" s="5">
        <v>42573</v>
      </c>
      <c r="F796" t="s">
        <v>1300</v>
      </c>
      <c r="G796" t="s">
        <v>52</v>
      </c>
      <c r="H796" t="s">
        <v>33</v>
      </c>
      <c r="I796" t="s">
        <v>24</v>
      </c>
      <c r="J796">
        <v>2500000</v>
      </c>
      <c r="K796">
        <v>5</v>
      </c>
      <c r="L796">
        <v>3</v>
      </c>
      <c r="M796">
        <v>11</v>
      </c>
      <c r="N796" t="s">
        <v>88</v>
      </c>
      <c r="O796" t="s">
        <v>53</v>
      </c>
      <c r="P796" t="s">
        <v>36</v>
      </c>
      <c r="Q796" s="5"/>
      <c r="S796">
        <f>DATEDIF(D796,DATE(2026,9,30),"Y")</f>
        <v>34</v>
      </c>
      <c r="T796" s="6">
        <f>(IF(Q796="",DATE(2026,9,30),Q796)-E796)/365.25</f>
        <v>10.190280629705681</v>
      </c>
      <c r="U796" t="str">
        <f>_xlfn.XLOOKUP(Table1_1[[#This Row],[Bo''lim]],Bolimlar!A:A,Bolimlar!B:B,"Topilmadi")</f>
        <v>Shahlo Ismoilova</v>
      </c>
      <c r="V796">
        <f>IF(P796="Ha",1,0)</f>
        <v>0</v>
      </c>
      <c r="W796" t="str">
        <f>IF(T796&lt;1,"1 yildan kam",IF(T796&lt;3,"1-3 yil","3 yildan ko'p"))</f>
        <v>3 yildan ko'p</v>
      </c>
    </row>
    <row r="797" spans="1:23" x14ac:dyDescent="0.3">
      <c r="A797" t="s">
        <v>216</v>
      </c>
      <c r="B797" t="s">
        <v>217</v>
      </c>
      <c r="C797" t="s">
        <v>31</v>
      </c>
      <c r="D797" s="5">
        <v>34751</v>
      </c>
      <c r="E797" s="5">
        <v>44440</v>
      </c>
      <c r="F797" t="s">
        <v>1300</v>
      </c>
      <c r="G797" t="s">
        <v>52</v>
      </c>
      <c r="H797" t="s">
        <v>33</v>
      </c>
      <c r="I797" t="s">
        <v>24</v>
      </c>
      <c r="J797">
        <v>2450000</v>
      </c>
      <c r="K797">
        <v>3</v>
      </c>
      <c r="L797">
        <v>4</v>
      </c>
      <c r="M797">
        <v>22</v>
      </c>
      <c r="N797" t="s">
        <v>41</v>
      </c>
      <c r="O797" t="s">
        <v>35</v>
      </c>
      <c r="P797" t="s">
        <v>36</v>
      </c>
      <c r="Q797" s="5"/>
      <c r="S797">
        <f>DATEDIF(D797,DATE(2026,9,30),"Y")</f>
        <v>31</v>
      </c>
      <c r="T797" s="6">
        <f>(IF(Q797="",DATE(2026,9,30),Q797)-E797)/365.25</f>
        <v>5.0787132101300481</v>
      </c>
      <c r="U797" t="str">
        <f>_xlfn.XLOOKUP(Table1_1[[#This Row],[Bo''lim]],Bolimlar!A:A,Bolimlar!B:B,"Topilmadi")</f>
        <v>Shahlo Ismoilova</v>
      </c>
      <c r="V797">
        <f>IF(P797="Ha",1,0)</f>
        <v>0</v>
      </c>
      <c r="W797" t="str">
        <f>IF(T797&lt;1,"1 yildan kam",IF(T797&lt;3,"1-3 yil","3 yildan ko'p"))</f>
        <v>3 yildan ko'p</v>
      </c>
    </row>
    <row r="798" spans="1:23" x14ac:dyDescent="0.3">
      <c r="A798" t="s">
        <v>910</v>
      </c>
      <c r="B798" t="s">
        <v>420</v>
      </c>
      <c r="C798" t="s">
        <v>31</v>
      </c>
      <c r="D798" s="5">
        <v>34398</v>
      </c>
      <c r="E798" s="5">
        <v>46081</v>
      </c>
      <c r="F798" t="s">
        <v>1300</v>
      </c>
      <c r="G798" t="s">
        <v>52</v>
      </c>
      <c r="H798" t="s">
        <v>33</v>
      </c>
      <c r="I798" t="s">
        <v>24</v>
      </c>
      <c r="J798">
        <v>2430000</v>
      </c>
      <c r="K798">
        <v>3</v>
      </c>
      <c r="L798">
        <v>3</v>
      </c>
      <c r="M798">
        <v>26</v>
      </c>
      <c r="N798" t="s">
        <v>41</v>
      </c>
      <c r="O798" t="s">
        <v>26</v>
      </c>
      <c r="P798" t="s">
        <v>27</v>
      </c>
      <c r="Q798" s="5">
        <v>46204</v>
      </c>
      <c r="R798" t="s">
        <v>111</v>
      </c>
      <c r="S798">
        <f>DATEDIF(D798,DATE(2026,9,30),"Y")</f>
        <v>32</v>
      </c>
      <c r="T798" s="6">
        <f>(IF(Q798="",DATE(2026,9,30),Q798)-E798)/365.25</f>
        <v>0.33675564681724846</v>
      </c>
      <c r="U798" t="str">
        <f>_xlfn.XLOOKUP(Table1_1[[#This Row],[Bo''lim]],Bolimlar!A:A,Bolimlar!B:B,"Topilmadi")</f>
        <v>Shahlo Ismoilova</v>
      </c>
      <c r="V798">
        <f>IF(P798="Ha",1,0)</f>
        <v>1</v>
      </c>
      <c r="W798" t="str">
        <f>IF(T798&lt;1,"1 yildan kam",IF(T798&lt;3,"1-3 yil","3 yildan ko'p"))</f>
        <v>1 yildan kam</v>
      </c>
    </row>
    <row r="799" spans="1:23" x14ac:dyDescent="0.3">
      <c r="A799" t="s">
        <v>270</v>
      </c>
      <c r="B799" t="s">
        <v>271</v>
      </c>
      <c r="C799" t="s">
        <v>31</v>
      </c>
      <c r="D799" s="5">
        <v>33567</v>
      </c>
      <c r="E799" s="5">
        <v>44145</v>
      </c>
      <c r="F799" t="s">
        <v>1300</v>
      </c>
      <c r="G799" t="s">
        <v>93</v>
      </c>
      <c r="H799" t="s">
        <v>33</v>
      </c>
      <c r="I799" t="s">
        <v>24</v>
      </c>
      <c r="J799">
        <v>2410000</v>
      </c>
      <c r="K799">
        <v>3</v>
      </c>
      <c r="L799">
        <v>4</v>
      </c>
      <c r="M799">
        <v>9</v>
      </c>
      <c r="N799" t="s">
        <v>25</v>
      </c>
      <c r="O799" t="s">
        <v>26</v>
      </c>
      <c r="P799" t="s">
        <v>36</v>
      </c>
      <c r="Q799" s="5"/>
      <c r="S799">
        <f>DATEDIF(D799,DATE(2026,9,30),"Y")</f>
        <v>34</v>
      </c>
      <c r="T799" s="6">
        <f>(IF(Q799="",DATE(2026,9,30),Q799)-E799)/365.25</f>
        <v>5.8863791923340179</v>
      </c>
      <c r="U799" t="str">
        <f>_xlfn.XLOOKUP(Table1_1[[#This Row],[Bo''lim]],Bolimlar!A:A,Bolimlar!B:B,"Topilmadi")</f>
        <v>Shahlo Ismoilova</v>
      </c>
      <c r="V799">
        <f>IF(P799="Ha",1,0)</f>
        <v>0</v>
      </c>
      <c r="W799" t="str">
        <f>IF(T799&lt;1,"1 yildan kam",IF(T799&lt;3,"1-3 yil","3 yildan ko'p"))</f>
        <v>3 yildan ko'p</v>
      </c>
    </row>
    <row r="800" spans="1:23" x14ac:dyDescent="0.3">
      <c r="A800" t="s">
        <v>624</v>
      </c>
      <c r="B800" t="s">
        <v>625</v>
      </c>
      <c r="C800" t="s">
        <v>31</v>
      </c>
      <c r="D800" s="5">
        <v>33190</v>
      </c>
      <c r="E800" s="5">
        <v>45733</v>
      </c>
      <c r="F800" t="s">
        <v>484</v>
      </c>
      <c r="G800" t="s">
        <v>150</v>
      </c>
      <c r="H800" t="s">
        <v>68</v>
      </c>
      <c r="I800" t="s">
        <v>24</v>
      </c>
      <c r="K800">
        <v>2</v>
      </c>
      <c r="L800">
        <v>2</v>
      </c>
      <c r="M800">
        <v>38</v>
      </c>
      <c r="N800" t="s">
        <v>41</v>
      </c>
      <c r="O800" t="s">
        <v>26</v>
      </c>
      <c r="P800" t="s">
        <v>36</v>
      </c>
      <c r="Q800" s="5"/>
      <c r="S800">
        <f>DATEDIF(D800,DATE(2026,9,30),"Y")</f>
        <v>35</v>
      </c>
      <c r="T800" s="6">
        <f>(IF(Q800="",DATE(2026,9,30),Q800)-E800)/365.25</f>
        <v>1.538672142368241</v>
      </c>
      <c r="U800" t="str">
        <f>_xlfn.XLOOKUP(Table1_1[[#This Row],[Bo''lim]],Bolimlar!A:A,Bolimlar!B:B,"Topilmadi")</f>
        <v>Sardor Nazarov</v>
      </c>
      <c r="V800">
        <f>IF(P800="Ha",1,0)</f>
        <v>0</v>
      </c>
      <c r="W800" t="str">
        <f>IF(T800&lt;1,"1 yildan kam",IF(T800&lt;3,"1-3 yil","3 yildan ko'p"))</f>
        <v>1-3 yil</v>
      </c>
    </row>
    <row r="801" spans="1:23" x14ac:dyDescent="0.3">
      <c r="A801" t="s">
        <v>1231</v>
      </c>
      <c r="B801" t="s">
        <v>1076</v>
      </c>
      <c r="C801" t="s">
        <v>20</v>
      </c>
      <c r="D801" s="5">
        <v>38245</v>
      </c>
      <c r="E801" s="5">
        <v>45765</v>
      </c>
      <c r="F801" t="s">
        <v>1226</v>
      </c>
      <c r="G801" t="s">
        <v>57</v>
      </c>
      <c r="H801" t="s">
        <v>33</v>
      </c>
      <c r="I801" t="s">
        <v>24</v>
      </c>
      <c r="K801">
        <v>4</v>
      </c>
      <c r="L801">
        <v>2</v>
      </c>
      <c r="M801">
        <v>2</v>
      </c>
      <c r="N801" t="s">
        <v>88</v>
      </c>
      <c r="O801" t="s">
        <v>26</v>
      </c>
      <c r="P801" t="s">
        <v>27</v>
      </c>
      <c r="Q801" s="5">
        <v>46168</v>
      </c>
      <c r="R801" t="s">
        <v>28</v>
      </c>
      <c r="S801">
        <f>DATEDIF(D801,DATE(2026,9,30),"Y")</f>
        <v>22</v>
      </c>
      <c r="T801" s="6">
        <f>(IF(Q801="",DATE(2026,9,30),Q801)-E801)/365.25</f>
        <v>1.1033538672142369</v>
      </c>
      <c r="U801" t="str">
        <f>_xlfn.XLOOKUP(Table1_1[[#This Row],[Bo''lim]],Bolimlar!A:A,Bolimlar!B:B,"Topilmadi")</f>
        <v>Madina Abdullayeva</v>
      </c>
      <c r="V801">
        <f>IF(P801="Ha",1,0)</f>
        <v>1</v>
      </c>
      <c r="W801" t="str">
        <f>IF(T801&lt;1,"1 yildan kam",IF(T801&lt;3,"1-3 yil","3 yildan ko'p"))</f>
        <v>1-3 yil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11"/>
  <sheetViews>
    <sheetView workbookViewId="0">
      <pane xSplit="2" ySplit="1" topLeftCell="H794" activePane="bottomRight" state="frozen"/>
      <selection pane="topRight"/>
      <selection pane="bottomLeft"/>
      <selection pane="bottomRight" activeCell="B817" sqref="B817"/>
    </sheetView>
  </sheetViews>
  <sheetFormatPr defaultRowHeight="14.4" x14ac:dyDescent="0.3"/>
  <cols>
    <col min="1" max="1" width="11.109375" customWidth="1"/>
    <col min="2" max="2" width="24" customWidth="1"/>
    <col min="3" max="3" width="8" customWidth="1"/>
    <col min="4" max="4" width="15.88671875" customWidth="1"/>
    <col min="5" max="5" width="19.109375" customWidth="1"/>
    <col min="6" max="6" width="17" customWidth="1"/>
    <col min="7" max="7" width="28" customWidth="1"/>
    <col min="8" max="8" width="9" customWidth="1"/>
    <col min="9" max="9" width="12" customWidth="1"/>
    <col min="10" max="10" width="13.21875" customWidth="1"/>
    <col min="11" max="11" width="25.6640625" customWidth="1"/>
    <col min="12" max="12" width="23.44140625" customWidth="1"/>
    <col min="13" max="13" width="28.44140625" customWidth="1"/>
    <col min="14" max="14" width="12.5546875" customWidth="1"/>
    <col min="15" max="15" width="13" customWidth="1"/>
    <col min="16" max="16" width="15.5546875" customWidth="1"/>
    <col min="17" max="17" width="14.21875" customWidth="1"/>
    <col min="18" max="18" width="24" customWidth="1"/>
  </cols>
  <sheetData>
    <row r="1" spans="1:18" ht="4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2" t="s">
        <v>19</v>
      </c>
      <c r="C2" s="2" t="s">
        <v>20</v>
      </c>
      <c r="D2" s="3">
        <v>34946</v>
      </c>
      <c r="E2" s="3">
        <v>43842</v>
      </c>
      <c r="F2" s="2" t="s">
        <v>21</v>
      </c>
      <c r="G2" s="2" t="s">
        <v>22</v>
      </c>
      <c r="H2" s="2" t="s">
        <v>23</v>
      </c>
      <c r="I2" s="2" t="s">
        <v>24</v>
      </c>
      <c r="J2" s="4">
        <v>14720000</v>
      </c>
      <c r="K2" s="2">
        <v>3</v>
      </c>
      <c r="L2" s="2">
        <v>2</v>
      </c>
      <c r="M2" s="2">
        <v>8</v>
      </c>
      <c r="N2" s="2" t="s">
        <v>25</v>
      </c>
      <c r="O2" s="2" t="s">
        <v>26</v>
      </c>
      <c r="P2" s="2" t="s">
        <v>27</v>
      </c>
      <c r="Q2" s="3">
        <v>46237</v>
      </c>
      <c r="R2" s="2" t="s">
        <v>28</v>
      </c>
    </row>
    <row r="3" spans="1:18" x14ac:dyDescent="0.3">
      <c r="A3" s="2" t="s">
        <v>29</v>
      </c>
      <c r="B3" s="2" t="s">
        <v>30</v>
      </c>
      <c r="C3" s="2" t="s">
        <v>31</v>
      </c>
      <c r="D3" s="3">
        <v>33307</v>
      </c>
      <c r="E3" s="3">
        <v>44108</v>
      </c>
      <c r="F3" s="2" t="s">
        <v>21</v>
      </c>
      <c r="G3" s="2" t="s">
        <v>32</v>
      </c>
      <c r="H3" s="2" t="s">
        <v>33</v>
      </c>
      <c r="I3" s="2" t="s">
        <v>34</v>
      </c>
      <c r="J3" s="4">
        <v>6490000</v>
      </c>
      <c r="K3" s="2">
        <v>3</v>
      </c>
      <c r="L3" s="2">
        <v>4</v>
      </c>
      <c r="M3" s="2">
        <v>11</v>
      </c>
      <c r="N3" s="2" t="s">
        <v>25</v>
      </c>
      <c r="O3" s="2" t="s">
        <v>35</v>
      </c>
      <c r="P3" s="2" t="s">
        <v>36</v>
      </c>
      <c r="Q3" s="3"/>
      <c r="R3" s="2"/>
    </row>
    <row r="4" spans="1:18" x14ac:dyDescent="0.3">
      <c r="A4" s="2" t="s">
        <v>37</v>
      </c>
      <c r="B4" s="2" t="s">
        <v>38</v>
      </c>
      <c r="C4" s="2" t="s">
        <v>31</v>
      </c>
      <c r="D4" s="3">
        <v>35596</v>
      </c>
      <c r="E4" s="3">
        <v>44356</v>
      </c>
      <c r="F4" s="2" t="s">
        <v>39</v>
      </c>
      <c r="G4" s="2" t="s">
        <v>40</v>
      </c>
      <c r="H4" s="2" t="s">
        <v>33</v>
      </c>
      <c r="I4" s="2" t="s">
        <v>24</v>
      </c>
      <c r="J4" s="4">
        <v>3190000</v>
      </c>
      <c r="K4" s="2">
        <v>4</v>
      </c>
      <c r="L4" s="2">
        <v>2</v>
      </c>
      <c r="M4" s="2">
        <v>2</v>
      </c>
      <c r="N4" s="2" t="s">
        <v>41</v>
      </c>
      <c r="O4" s="2" t="s">
        <v>26</v>
      </c>
      <c r="P4" s="2" t="s">
        <v>36</v>
      </c>
      <c r="Q4" s="3"/>
      <c r="R4" s="2"/>
    </row>
    <row r="5" spans="1:18" x14ac:dyDescent="0.3">
      <c r="A5" s="2" t="s">
        <v>42</v>
      </c>
      <c r="B5" s="2" t="s">
        <v>43</v>
      </c>
      <c r="C5" s="2" t="s">
        <v>31</v>
      </c>
      <c r="D5" s="3">
        <v>38062</v>
      </c>
      <c r="E5" s="3">
        <v>45998</v>
      </c>
      <c r="F5" s="2" t="s">
        <v>21</v>
      </c>
      <c r="G5" s="2" t="s">
        <v>32</v>
      </c>
      <c r="H5" s="2" t="s">
        <v>33</v>
      </c>
      <c r="I5" s="2" t="s">
        <v>44</v>
      </c>
      <c r="J5" s="4">
        <v>6410000</v>
      </c>
      <c r="K5" s="2">
        <v>4</v>
      </c>
      <c r="L5" s="2">
        <v>3</v>
      </c>
      <c r="M5" s="2">
        <v>20</v>
      </c>
      <c r="N5" s="2" t="s">
        <v>41</v>
      </c>
      <c r="O5" s="2" t="s">
        <v>35</v>
      </c>
      <c r="P5" s="2" t="s">
        <v>36</v>
      </c>
      <c r="Q5" s="3"/>
      <c r="R5" s="2"/>
    </row>
    <row r="6" spans="1:18" x14ac:dyDescent="0.3">
      <c r="A6" s="2" t="s">
        <v>45</v>
      </c>
      <c r="B6" s="2" t="s">
        <v>46</v>
      </c>
      <c r="C6" s="2" t="s">
        <v>31</v>
      </c>
      <c r="D6" s="3">
        <v>34691</v>
      </c>
      <c r="E6" s="3">
        <v>45792</v>
      </c>
      <c r="F6" s="2" t="s">
        <v>47</v>
      </c>
      <c r="G6" s="2" t="s">
        <v>48</v>
      </c>
      <c r="H6" s="2" t="s">
        <v>23</v>
      </c>
      <c r="I6" s="2" t="s">
        <v>24</v>
      </c>
      <c r="J6" s="4">
        <v>12290000</v>
      </c>
      <c r="K6" s="2">
        <v>3</v>
      </c>
      <c r="L6" s="2">
        <v>4</v>
      </c>
      <c r="M6" s="2">
        <v>8</v>
      </c>
      <c r="N6" s="2" t="s">
        <v>41</v>
      </c>
      <c r="O6" s="2" t="s">
        <v>35</v>
      </c>
      <c r="P6" s="2" t="s">
        <v>36</v>
      </c>
      <c r="Q6" s="3"/>
      <c r="R6" s="2"/>
    </row>
    <row r="7" spans="1:18" x14ac:dyDescent="0.3">
      <c r="A7" s="2" t="s">
        <v>49</v>
      </c>
      <c r="B7" s="2" t="s">
        <v>50</v>
      </c>
      <c r="C7" s="2" t="s">
        <v>31</v>
      </c>
      <c r="D7" s="3">
        <v>35259</v>
      </c>
      <c r="E7" s="3">
        <v>44851</v>
      </c>
      <c r="F7" s="2" t="s">
        <v>51</v>
      </c>
      <c r="G7" s="2" t="s">
        <v>52</v>
      </c>
      <c r="H7" s="2" t="s">
        <v>33</v>
      </c>
      <c r="I7" s="2" t="s">
        <v>24</v>
      </c>
      <c r="J7" s="4">
        <v>3280000</v>
      </c>
      <c r="K7" s="2">
        <v>5</v>
      </c>
      <c r="L7" s="2">
        <v>4</v>
      </c>
      <c r="M7" s="2">
        <v>35</v>
      </c>
      <c r="N7" s="2" t="s">
        <v>41</v>
      </c>
      <c r="O7" s="2" t="s">
        <v>53</v>
      </c>
      <c r="P7" s="2" t="s">
        <v>36</v>
      </c>
      <c r="Q7" s="3"/>
      <c r="R7" s="2"/>
    </row>
    <row r="8" spans="1:18" x14ac:dyDescent="0.3">
      <c r="A8" s="2" t="s">
        <v>54</v>
      </c>
      <c r="B8" s="2" t="s">
        <v>55</v>
      </c>
      <c r="C8" s="2" t="s">
        <v>31</v>
      </c>
      <c r="D8" s="3">
        <v>33329</v>
      </c>
      <c r="E8" s="3">
        <v>43997</v>
      </c>
      <c r="F8" s="2" t="s">
        <v>56</v>
      </c>
      <c r="G8" s="2" t="s">
        <v>57</v>
      </c>
      <c r="H8" s="2" t="s">
        <v>33</v>
      </c>
      <c r="I8" s="2" t="s">
        <v>44</v>
      </c>
      <c r="J8" s="4">
        <v>3620000</v>
      </c>
      <c r="K8" s="2">
        <v>3</v>
      </c>
      <c r="L8" s="2">
        <v>4</v>
      </c>
      <c r="M8" s="2">
        <v>18</v>
      </c>
      <c r="N8" s="2" t="s">
        <v>41</v>
      </c>
      <c r="O8" s="2" t="s">
        <v>53</v>
      </c>
      <c r="P8" s="2" t="s">
        <v>36</v>
      </c>
      <c r="Q8" s="3"/>
      <c r="R8" s="2"/>
    </row>
    <row r="9" spans="1:18" x14ac:dyDescent="0.3">
      <c r="A9" s="2" t="s">
        <v>58</v>
      </c>
      <c r="B9" s="2" t="s">
        <v>59</v>
      </c>
      <c r="C9" s="2" t="s">
        <v>31</v>
      </c>
      <c r="D9" s="3">
        <v>30281</v>
      </c>
      <c r="E9" s="3">
        <v>43097</v>
      </c>
      <c r="F9" s="2" t="s">
        <v>56</v>
      </c>
      <c r="G9" s="2" t="s">
        <v>60</v>
      </c>
      <c r="H9" s="2" t="s">
        <v>33</v>
      </c>
      <c r="I9" s="2" t="s">
        <v>24</v>
      </c>
      <c r="J9" s="4">
        <v>4700000</v>
      </c>
      <c r="K9" s="2">
        <v>2</v>
      </c>
      <c r="L9" s="2">
        <v>1</v>
      </c>
      <c r="M9" s="2">
        <v>0</v>
      </c>
      <c r="N9" s="2" t="s">
        <v>41</v>
      </c>
      <c r="O9" s="2" t="s">
        <v>26</v>
      </c>
      <c r="P9" s="2" t="s">
        <v>27</v>
      </c>
      <c r="Q9" s="3">
        <v>46006</v>
      </c>
      <c r="R9" s="2" t="s">
        <v>61</v>
      </c>
    </row>
    <row r="10" spans="1:18" x14ac:dyDescent="0.3">
      <c r="A10" s="2" t="s">
        <v>62</v>
      </c>
      <c r="B10" s="2" t="s">
        <v>63</v>
      </c>
      <c r="C10" s="2" t="s">
        <v>31</v>
      </c>
      <c r="D10" s="3">
        <v>29141</v>
      </c>
      <c r="E10" s="3">
        <v>45147</v>
      </c>
      <c r="F10" s="2" t="s">
        <v>64</v>
      </c>
      <c r="G10" s="2" t="s">
        <v>65</v>
      </c>
      <c r="H10" s="2" t="s">
        <v>23</v>
      </c>
      <c r="I10" s="2" t="s">
        <v>24</v>
      </c>
      <c r="J10" s="4">
        <v>12840000</v>
      </c>
      <c r="K10" s="2"/>
      <c r="L10" s="2">
        <v>3</v>
      </c>
      <c r="M10" s="2">
        <v>22</v>
      </c>
      <c r="N10" s="2" t="s">
        <v>41</v>
      </c>
      <c r="O10" s="2" t="s">
        <v>26</v>
      </c>
      <c r="P10" s="2" t="s">
        <v>36</v>
      </c>
      <c r="Q10" s="3"/>
      <c r="R10" s="2"/>
    </row>
    <row r="11" spans="1:18" x14ac:dyDescent="0.3">
      <c r="A11" s="2" t="s">
        <v>66</v>
      </c>
      <c r="B11" s="2" t="s">
        <v>67</v>
      </c>
      <c r="C11" s="2" t="s">
        <v>20</v>
      </c>
      <c r="D11" s="3">
        <v>35537</v>
      </c>
      <c r="E11" s="3">
        <v>43229</v>
      </c>
      <c r="F11" s="2" t="s">
        <v>21</v>
      </c>
      <c r="G11" s="2" t="s">
        <v>32</v>
      </c>
      <c r="H11" s="2" t="s">
        <v>68</v>
      </c>
      <c r="I11" s="2" t="s">
        <v>24</v>
      </c>
      <c r="J11" s="4">
        <v>10290000</v>
      </c>
      <c r="K11" s="2">
        <v>5</v>
      </c>
      <c r="L11" s="2">
        <v>5</v>
      </c>
      <c r="M11" s="2">
        <v>0</v>
      </c>
      <c r="N11" s="2" t="s">
        <v>25</v>
      </c>
      <c r="O11" s="2" t="s">
        <v>35</v>
      </c>
      <c r="P11" s="2" t="s">
        <v>36</v>
      </c>
      <c r="Q11" s="3"/>
      <c r="R11" s="2"/>
    </row>
    <row r="12" spans="1:18" x14ac:dyDescent="0.3">
      <c r="A12" s="2" t="s">
        <v>69</v>
      </c>
      <c r="B12" s="2" t="s">
        <v>70</v>
      </c>
      <c r="C12" s="2" t="s">
        <v>31</v>
      </c>
      <c r="D12" s="3">
        <v>33354</v>
      </c>
      <c r="E12" s="3">
        <v>43753</v>
      </c>
      <c r="F12" s="2" t="s">
        <v>64</v>
      </c>
      <c r="G12" s="2" t="s">
        <v>65</v>
      </c>
      <c r="H12" s="2" t="s">
        <v>68</v>
      </c>
      <c r="I12" s="2" t="s">
        <v>24</v>
      </c>
      <c r="J12" s="4">
        <v>7310000</v>
      </c>
      <c r="K12" s="2">
        <v>3</v>
      </c>
      <c r="L12" s="2">
        <v>1</v>
      </c>
      <c r="M12" s="2">
        <v>30</v>
      </c>
      <c r="N12" s="2" t="s">
        <v>25</v>
      </c>
      <c r="O12" s="2" t="s">
        <v>26</v>
      </c>
      <c r="P12" s="2" t="s">
        <v>36</v>
      </c>
      <c r="Q12" s="3"/>
      <c r="R12" s="2"/>
    </row>
    <row r="13" spans="1:18" x14ac:dyDescent="0.3">
      <c r="A13" s="2" t="s">
        <v>71</v>
      </c>
      <c r="B13" s="2" t="s">
        <v>72</v>
      </c>
      <c r="C13" s="2" t="s">
        <v>20</v>
      </c>
      <c r="D13" s="3">
        <v>27183</v>
      </c>
      <c r="E13" s="3">
        <v>44226</v>
      </c>
      <c r="F13" s="2" t="s">
        <v>64</v>
      </c>
      <c r="G13" s="2" t="s">
        <v>73</v>
      </c>
      <c r="H13" s="2" t="s">
        <v>68</v>
      </c>
      <c r="I13" s="2" t="s">
        <v>44</v>
      </c>
      <c r="J13" s="4">
        <v>7190000</v>
      </c>
      <c r="K13" s="2">
        <v>5</v>
      </c>
      <c r="L13" s="2">
        <v>4</v>
      </c>
      <c r="M13" s="2">
        <v>0</v>
      </c>
      <c r="N13" s="2" t="s">
        <v>41</v>
      </c>
      <c r="O13" s="2" t="s">
        <v>35</v>
      </c>
      <c r="P13" s="2" t="s">
        <v>36</v>
      </c>
      <c r="Q13" s="3"/>
      <c r="R13" s="2"/>
    </row>
    <row r="14" spans="1:18" x14ac:dyDescent="0.3">
      <c r="A14" s="2" t="s">
        <v>74</v>
      </c>
      <c r="B14" s="2" t="s">
        <v>75</v>
      </c>
      <c r="C14" s="2" t="s">
        <v>31</v>
      </c>
      <c r="D14" s="3">
        <v>34772</v>
      </c>
      <c r="E14" s="3">
        <v>46128</v>
      </c>
      <c r="F14" s="2" t="s">
        <v>51</v>
      </c>
      <c r="G14" s="2" t="s">
        <v>52</v>
      </c>
      <c r="H14" s="2" t="s">
        <v>33</v>
      </c>
      <c r="I14" s="2" t="s">
        <v>34</v>
      </c>
      <c r="J14" s="4">
        <v>3550000</v>
      </c>
      <c r="K14" s="2">
        <v>3</v>
      </c>
      <c r="L14" s="2">
        <v>4</v>
      </c>
      <c r="M14" s="2">
        <v>6</v>
      </c>
      <c r="N14" s="2" t="s">
        <v>25</v>
      </c>
      <c r="O14" s="2" t="s">
        <v>26</v>
      </c>
      <c r="P14" s="2" t="s">
        <v>27</v>
      </c>
      <c r="Q14" s="3">
        <v>46204</v>
      </c>
      <c r="R14" s="2" t="s">
        <v>28</v>
      </c>
    </row>
    <row r="15" spans="1:18" x14ac:dyDescent="0.3">
      <c r="A15" s="2" t="s">
        <v>76</v>
      </c>
      <c r="B15" s="2" t="s">
        <v>77</v>
      </c>
      <c r="C15" s="2" t="s">
        <v>31</v>
      </c>
      <c r="D15" s="3">
        <v>33121</v>
      </c>
      <c r="E15" s="3">
        <v>44904</v>
      </c>
      <c r="F15" s="2" t="s">
        <v>78</v>
      </c>
      <c r="G15" s="2" t="s">
        <v>79</v>
      </c>
      <c r="H15" s="2" t="s">
        <v>68</v>
      </c>
      <c r="I15" s="2" t="s">
        <v>34</v>
      </c>
      <c r="J15" s="4">
        <v>8770000</v>
      </c>
      <c r="K15" s="2">
        <v>3</v>
      </c>
      <c r="L15" s="2">
        <v>5</v>
      </c>
      <c r="M15" s="2">
        <v>12</v>
      </c>
      <c r="N15" s="2" t="s">
        <v>41</v>
      </c>
      <c r="O15" s="2" t="s">
        <v>26</v>
      </c>
      <c r="P15" s="2" t="s">
        <v>36</v>
      </c>
      <c r="Q15" s="3"/>
      <c r="R15" s="2"/>
    </row>
    <row r="16" spans="1:18" x14ac:dyDescent="0.3">
      <c r="A16" s="2" t="s">
        <v>80</v>
      </c>
      <c r="B16" s="2" t="s">
        <v>81</v>
      </c>
      <c r="C16" s="2" t="s">
        <v>20</v>
      </c>
      <c r="D16" s="3">
        <v>35776</v>
      </c>
      <c r="E16" s="3">
        <v>46025</v>
      </c>
      <c r="F16" s="2" t="s">
        <v>51</v>
      </c>
      <c r="G16" s="2" t="s">
        <v>52</v>
      </c>
      <c r="H16" s="2" t="s">
        <v>23</v>
      </c>
      <c r="I16" s="2" t="s">
        <v>82</v>
      </c>
      <c r="J16" s="4">
        <v>8630000</v>
      </c>
      <c r="K16" s="2">
        <v>2</v>
      </c>
      <c r="L16" s="2">
        <v>3</v>
      </c>
      <c r="M16" s="2">
        <v>21</v>
      </c>
      <c r="N16" s="2" t="s">
        <v>25</v>
      </c>
      <c r="O16" s="2" t="s">
        <v>35</v>
      </c>
      <c r="P16" s="2" t="s">
        <v>36</v>
      </c>
      <c r="Q16" s="3"/>
      <c r="R16" s="2"/>
    </row>
    <row r="17" spans="1:18" x14ac:dyDescent="0.3">
      <c r="A17" s="2" t="s">
        <v>83</v>
      </c>
      <c r="B17" s="2" t="s">
        <v>84</v>
      </c>
      <c r="C17" s="2" t="s">
        <v>31</v>
      </c>
      <c r="D17" s="3">
        <v>34872</v>
      </c>
      <c r="E17" s="3">
        <v>45688</v>
      </c>
      <c r="F17" s="2" t="s">
        <v>56</v>
      </c>
      <c r="G17" s="2" t="s">
        <v>57</v>
      </c>
      <c r="H17" s="2" t="s">
        <v>68</v>
      </c>
      <c r="I17" s="2" t="s">
        <v>82</v>
      </c>
      <c r="J17" s="4">
        <v>9450000</v>
      </c>
      <c r="K17" s="2">
        <v>2</v>
      </c>
      <c r="L17" s="2">
        <v>2</v>
      </c>
      <c r="M17" s="2">
        <v>0</v>
      </c>
      <c r="N17" s="2" t="s">
        <v>41</v>
      </c>
      <c r="O17" s="2" t="s">
        <v>53</v>
      </c>
      <c r="P17" s="2" t="s">
        <v>27</v>
      </c>
      <c r="Q17" s="3">
        <v>46211</v>
      </c>
      <c r="R17" s="2" t="s">
        <v>61</v>
      </c>
    </row>
    <row r="18" spans="1:18" x14ac:dyDescent="0.3">
      <c r="A18" s="2" t="s">
        <v>85</v>
      </c>
      <c r="B18" s="2" t="s">
        <v>86</v>
      </c>
      <c r="C18" s="2" t="s">
        <v>20</v>
      </c>
      <c r="D18" s="3">
        <v>30795</v>
      </c>
      <c r="E18" s="3">
        <v>44740</v>
      </c>
      <c r="F18" s="2" t="s">
        <v>87</v>
      </c>
      <c r="G18" s="2" t="s">
        <v>48</v>
      </c>
      <c r="H18" s="2" t="s">
        <v>68</v>
      </c>
      <c r="I18" s="2" t="s">
        <v>34</v>
      </c>
      <c r="J18" s="4">
        <v>9240000</v>
      </c>
      <c r="K18" s="2">
        <v>4</v>
      </c>
      <c r="L18" s="2">
        <v>5</v>
      </c>
      <c r="M18" s="2">
        <v>9</v>
      </c>
      <c r="N18" s="2" t="s">
        <v>88</v>
      </c>
      <c r="O18" s="2" t="s">
        <v>53</v>
      </c>
      <c r="P18" s="2" t="s">
        <v>36</v>
      </c>
      <c r="Q18" s="3"/>
      <c r="R18" s="2"/>
    </row>
    <row r="19" spans="1:18" x14ac:dyDescent="0.3">
      <c r="A19" s="2" t="s">
        <v>89</v>
      </c>
      <c r="B19" s="2" t="s">
        <v>19</v>
      </c>
      <c r="C19" s="2" t="s">
        <v>20</v>
      </c>
      <c r="D19" s="3">
        <v>32195</v>
      </c>
      <c r="E19" s="3">
        <v>44085</v>
      </c>
      <c r="F19" s="2" t="s">
        <v>47</v>
      </c>
      <c r="G19" s="2" t="s">
        <v>90</v>
      </c>
      <c r="H19" s="2" t="s">
        <v>33</v>
      </c>
      <c r="I19" s="2" t="s">
        <v>24</v>
      </c>
      <c r="J19" s="4">
        <v>3410000</v>
      </c>
      <c r="K19" s="2">
        <v>4</v>
      </c>
      <c r="L19" s="2">
        <v>5</v>
      </c>
      <c r="M19" s="2">
        <v>19</v>
      </c>
      <c r="N19" s="2" t="s">
        <v>25</v>
      </c>
      <c r="O19" s="2" t="s">
        <v>35</v>
      </c>
      <c r="P19" s="2" t="s">
        <v>36</v>
      </c>
      <c r="Q19" s="3"/>
      <c r="R19" s="2"/>
    </row>
    <row r="20" spans="1:18" x14ac:dyDescent="0.3">
      <c r="A20" s="2" t="s">
        <v>91</v>
      </c>
      <c r="B20" s="2" t="s">
        <v>92</v>
      </c>
      <c r="C20" s="2" t="s">
        <v>20</v>
      </c>
      <c r="D20" s="3">
        <v>31995</v>
      </c>
      <c r="E20" s="3">
        <v>44577</v>
      </c>
      <c r="F20" s="2" t="s">
        <v>51</v>
      </c>
      <c r="G20" s="2" t="s">
        <v>93</v>
      </c>
      <c r="H20" s="2" t="s">
        <v>33</v>
      </c>
      <c r="I20" s="2" t="s">
        <v>24</v>
      </c>
      <c r="J20" s="4">
        <v>3220000</v>
      </c>
      <c r="K20" s="2">
        <v>3</v>
      </c>
      <c r="L20" s="2">
        <v>2</v>
      </c>
      <c r="M20" s="2">
        <v>14</v>
      </c>
      <c r="N20" s="2" t="s">
        <v>41</v>
      </c>
      <c r="O20" s="2" t="s">
        <v>35</v>
      </c>
      <c r="P20" s="2" t="s">
        <v>27</v>
      </c>
      <c r="Q20" s="3">
        <v>46004</v>
      </c>
      <c r="R20" s="2" t="s">
        <v>61</v>
      </c>
    </row>
    <row r="21" spans="1:18" x14ac:dyDescent="0.3">
      <c r="A21" s="2" t="s">
        <v>94</v>
      </c>
      <c r="B21" s="2" t="s">
        <v>95</v>
      </c>
      <c r="C21" s="2" t="s">
        <v>20</v>
      </c>
      <c r="D21" s="3">
        <v>36217</v>
      </c>
      <c r="E21" s="3">
        <v>44775</v>
      </c>
      <c r="F21" s="2" t="s">
        <v>64</v>
      </c>
      <c r="G21" s="2" t="s">
        <v>73</v>
      </c>
      <c r="H21" s="2" t="s">
        <v>33</v>
      </c>
      <c r="I21" s="2" t="s">
        <v>96</v>
      </c>
      <c r="J21" s="4">
        <v>4810000</v>
      </c>
      <c r="K21" s="2">
        <v>3</v>
      </c>
      <c r="L21" s="2">
        <v>4</v>
      </c>
      <c r="M21" s="2">
        <v>42</v>
      </c>
      <c r="N21" s="2" t="s">
        <v>25</v>
      </c>
      <c r="O21" s="2" t="s">
        <v>26</v>
      </c>
      <c r="P21" s="2" t="s">
        <v>36</v>
      </c>
      <c r="Q21" s="3"/>
      <c r="R21" s="2"/>
    </row>
    <row r="22" spans="1:18" x14ac:dyDescent="0.3">
      <c r="A22" s="2" t="s">
        <v>97</v>
      </c>
      <c r="B22" s="2" t="s">
        <v>98</v>
      </c>
      <c r="C22" s="2" t="s">
        <v>20</v>
      </c>
      <c r="D22" s="3">
        <v>33578</v>
      </c>
      <c r="E22" s="3">
        <v>42372</v>
      </c>
      <c r="F22" s="2" t="s">
        <v>21</v>
      </c>
      <c r="G22" s="2" t="s">
        <v>22</v>
      </c>
      <c r="H22" s="2" t="s">
        <v>33</v>
      </c>
      <c r="I22" s="2" t="s">
        <v>24</v>
      </c>
      <c r="J22" s="4">
        <v>4450000</v>
      </c>
      <c r="K22" s="2">
        <v>3</v>
      </c>
      <c r="L22" s="2">
        <v>4</v>
      </c>
      <c r="M22" s="2">
        <v>13</v>
      </c>
      <c r="N22" s="2" t="s">
        <v>41</v>
      </c>
      <c r="O22" s="2" t="s">
        <v>35</v>
      </c>
      <c r="P22" s="2" t="s">
        <v>36</v>
      </c>
      <c r="Q22" s="3"/>
      <c r="R22" s="2"/>
    </row>
    <row r="23" spans="1:18" x14ac:dyDescent="0.3">
      <c r="A23" s="2" t="s">
        <v>99</v>
      </c>
      <c r="B23" s="2" t="s">
        <v>100</v>
      </c>
      <c r="C23" s="2" t="s">
        <v>20</v>
      </c>
      <c r="D23" s="3">
        <v>32237</v>
      </c>
      <c r="E23" s="3">
        <v>43635</v>
      </c>
      <c r="F23" s="2" t="s">
        <v>51</v>
      </c>
      <c r="G23" s="2" t="s">
        <v>52</v>
      </c>
      <c r="H23" s="2" t="s">
        <v>33</v>
      </c>
      <c r="I23" s="2" t="s">
        <v>24</v>
      </c>
      <c r="J23" s="4">
        <v>2900000</v>
      </c>
      <c r="K23" s="2">
        <v>3</v>
      </c>
      <c r="L23" s="2">
        <v>4</v>
      </c>
      <c r="M23" s="2">
        <v>24</v>
      </c>
      <c r="N23" s="2" t="s">
        <v>41</v>
      </c>
      <c r="O23" s="2" t="s">
        <v>26</v>
      </c>
      <c r="P23" s="2" t="s">
        <v>36</v>
      </c>
      <c r="Q23" s="3"/>
      <c r="R23" s="2"/>
    </row>
    <row r="24" spans="1:18" x14ac:dyDescent="0.3">
      <c r="A24" s="2" t="s">
        <v>101</v>
      </c>
      <c r="B24" s="2" t="s">
        <v>102</v>
      </c>
      <c r="C24" s="2" t="s">
        <v>20</v>
      </c>
      <c r="D24" s="3">
        <v>31154</v>
      </c>
      <c r="E24" s="3">
        <v>45783</v>
      </c>
      <c r="F24" s="2" t="s">
        <v>21</v>
      </c>
      <c r="G24" s="2" t="s">
        <v>103</v>
      </c>
      <c r="H24" s="2" t="s">
        <v>33</v>
      </c>
      <c r="I24" s="2" t="s">
        <v>104</v>
      </c>
      <c r="J24" s="4">
        <v>5410000</v>
      </c>
      <c r="K24" s="2">
        <v>3</v>
      </c>
      <c r="L24" s="2">
        <v>4</v>
      </c>
      <c r="M24" s="2">
        <v>13</v>
      </c>
      <c r="N24" s="2" t="s">
        <v>41</v>
      </c>
      <c r="O24" s="2" t="s">
        <v>53</v>
      </c>
      <c r="P24" s="2" t="s">
        <v>36</v>
      </c>
      <c r="Q24" s="3"/>
      <c r="R24" s="2"/>
    </row>
    <row r="25" spans="1:18" x14ac:dyDescent="0.3">
      <c r="A25" s="2" t="s">
        <v>105</v>
      </c>
      <c r="B25" s="2" t="s">
        <v>106</v>
      </c>
      <c r="C25" s="2" t="s">
        <v>20</v>
      </c>
      <c r="D25" s="3">
        <v>31119</v>
      </c>
      <c r="E25" s="3">
        <v>42337</v>
      </c>
      <c r="F25" s="2" t="s">
        <v>51</v>
      </c>
      <c r="G25" s="2" t="s">
        <v>93</v>
      </c>
      <c r="H25" s="2" t="s">
        <v>23</v>
      </c>
      <c r="I25" s="2" t="s">
        <v>96</v>
      </c>
      <c r="J25" s="4">
        <v>11000000</v>
      </c>
      <c r="K25" s="2">
        <v>5</v>
      </c>
      <c r="L25" s="2">
        <v>3</v>
      </c>
      <c r="M25" s="2">
        <v>1</v>
      </c>
      <c r="N25" s="2" t="s">
        <v>41</v>
      </c>
      <c r="O25" s="2" t="s">
        <v>26</v>
      </c>
      <c r="P25" s="2" t="s">
        <v>36</v>
      </c>
      <c r="Q25" s="3"/>
      <c r="R25" s="2"/>
    </row>
    <row r="26" spans="1:18" x14ac:dyDescent="0.3">
      <c r="A26" s="2" t="s">
        <v>107</v>
      </c>
      <c r="B26" s="2" t="s">
        <v>108</v>
      </c>
      <c r="C26" s="2" t="s">
        <v>20</v>
      </c>
      <c r="D26" s="3">
        <v>34399</v>
      </c>
      <c r="E26" s="3">
        <v>46166</v>
      </c>
      <c r="F26" s="2" t="s">
        <v>47</v>
      </c>
      <c r="G26" s="2" t="s">
        <v>90</v>
      </c>
      <c r="H26" s="2" t="s">
        <v>33</v>
      </c>
      <c r="I26" s="2" t="s">
        <v>24</v>
      </c>
      <c r="J26" s="4">
        <v>5190000</v>
      </c>
      <c r="K26" s="2">
        <v>4</v>
      </c>
      <c r="L26" s="2">
        <v>2</v>
      </c>
      <c r="M26" s="2">
        <v>9</v>
      </c>
      <c r="N26" s="2" t="s">
        <v>88</v>
      </c>
      <c r="O26" s="2" t="s">
        <v>35</v>
      </c>
      <c r="P26" s="2" t="s">
        <v>36</v>
      </c>
      <c r="Q26" s="3"/>
      <c r="R26" s="2"/>
    </row>
    <row r="27" spans="1:18" x14ac:dyDescent="0.3">
      <c r="A27" s="2" t="s">
        <v>109</v>
      </c>
      <c r="B27" s="2" t="s">
        <v>110</v>
      </c>
      <c r="C27" s="2" t="s">
        <v>20</v>
      </c>
      <c r="D27" s="3">
        <v>34806</v>
      </c>
      <c r="E27" s="3">
        <v>43085</v>
      </c>
      <c r="F27" s="2" t="s">
        <v>51</v>
      </c>
      <c r="G27" s="2" t="s">
        <v>93</v>
      </c>
      <c r="H27" s="2" t="s">
        <v>33</v>
      </c>
      <c r="I27" s="2" t="s">
        <v>24</v>
      </c>
      <c r="J27" s="4">
        <v>3040000</v>
      </c>
      <c r="K27" s="2">
        <v>2</v>
      </c>
      <c r="L27" s="2">
        <v>1</v>
      </c>
      <c r="M27" s="2">
        <v>30</v>
      </c>
      <c r="N27" s="2" t="s">
        <v>25</v>
      </c>
      <c r="O27" s="2" t="s">
        <v>53</v>
      </c>
      <c r="P27" s="2" t="s">
        <v>27</v>
      </c>
      <c r="Q27" s="3">
        <v>46199</v>
      </c>
      <c r="R27" s="2" t="s">
        <v>111</v>
      </c>
    </row>
    <row r="28" spans="1:18" x14ac:dyDescent="0.3">
      <c r="A28" s="2" t="s">
        <v>112</v>
      </c>
      <c r="B28" s="2" t="s">
        <v>113</v>
      </c>
      <c r="C28" s="2" t="s">
        <v>20</v>
      </c>
      <c r="D28" s="3">
        <v>34843</v>
      </c>
      <c r="E28" s="3">
        <v>45843</v>
      </c>
      <c r="F28" s="2" t="s">
        <v>114</v>
      </c>
      <c r="G28" s="2" t="s">
        <v>115</v>
      </c>
      <c r="H28" s="2" t="s">
        <v>33</v>
      </c>
      <c r="I28" s="2" t="s">
        <v>34</v>
      </c>
      <c r="J28" s="4">
        <v>4310000</v>
      </c>
      <c r="K28" s="2">
        <v>4</v>
      </c>
      <c r="L28" s="2">
        <v>4</v>
      </c>
      <c r="M28" s="2">
        <v>8</v>
      </c>
      <c r="N28" s="2" t="s">
        <v>41</v>
      </c>
      <c r="O28" s="2" t="s">
        <v>26</v>
      </c>
      <c r="P28" s="2" t="s">
        <v>36</v>
      </c>
      <c r="Q28" s="3"/>
      <c r="R28" s="2"/>
    </row>
    <row r="29" spans="1:18" x14ac:dyDescent="0.3">
      <c r="A29" s="2" t="s">
        <v>116</v>
      </c>
      <c r="B29" s="2" t="s">
        <v>117</v>
      </c>
      <c r="C29" s="2" t="s">
        <v>31</v>
      </c>
      <c r="D29" s="3">
        <v>33028</v>
      </c>
      <c r="E29" s="3">
        <v>45226</v>
      </c>
      <c r="F29" s="2" t="s">
        <v>21</v>
      </c>
      <c r="G29" s="2" t="s">
        <v>103</v>
      </c>
      <c r="H29" s="2" t="s">
        <v>68</v>
      </c>
      <c r="I29" s="2" t="s">
        <v>82</v>
      </c>
      <c r="J29" s="4">
        <v>10770000</v>
      </c>
      <c r="K29" s="2">
        <v>4</v>
      </c>
      <c r="L29" s="2">
        <v>3</v>
      </c>
      <c r="M29" s="2">
        <v>13</v>
      </c>
      <c r="N29" s="2" t="s">
        <v>41</v>
      </c>
      <c r="O29" s="2" t="s">
        <v>26</v>
      </c>
      <c r="P29" s="2" t="s">
        <v>36</v>
      </c>
      <c r="Q29" s="3"/>
      <c r="R29" s="2"/>
    </row>
    <row r="30" spans="1:18" x14ac:dyDescent="0.3">
      <c r="A30" s="2" t="s">
        <v>118</v>
      </c>
      <c r="B30" s="2" t="s">
        <v>119</v>
      </c>
      <c r="C30" s="2" t="s">
        <v>31</v>
      </c>
      <c r="D30" s="3">
        <v>34393</v>
      </c>
      <c r="E30" s="3">
        <v>43772</v>
      </c>
      <c r="F30" s="2" t="s">
        <v>47</v>
      </c>
      <c r="G30" s="2" t="s">
        <v>48</v>
      </c>
      <c r="H30" s="2" t="s">
        <v>68</v>
      </c>
      <c r="I30" s="2" t="s">
        <v>24</v>
      </c>
      <c r="J30" s="4">
        <v>8160000</v>
      </c>
      <c r="K30" s="2">
        <v>3</v>
      </c>
      <c r="L30" s="2">
        <v>4</v>
      </c>
      <c r="M30" s="2">
        <v>4</v>
      </c>
      <c r="N30" s="2" t="s">
        <v>41</v>
      </c>
      <c r="O30" s="2" t="s">
        <v>35</v>
      </c>
      <c r="P30" s="2" t="s">
        <v>36</v>
      </c>
      <c r="Q30" s="3"/>
      <c r="R30" s="2"/>
    </row>
    <row r="31" spans="1:18" x14ac:dyDescent="0.3">
      <c r="A31" s="2" t="s">
        <v>120</v>
      </c>
      <c r="B31" s="2" t="s">
        <v>121</v>
      </c>
      <c r="C31" s="2" t="s">
        <v>31</v>
      </c>
      <c r="D31" s="3">
        <v>33230</v>
      </c>
      <c r="E31" s="3">
        <v>44755</v>
      </c>
      <c r="F31" s="2" t="s">
        <v>47</v>
      </c>
      <c r="G31" s="2" t="s">
        <v>48</v>
      </c>
      <c r="H31" s="2" t="s">
        <v>33</v>
      </c>
      <c r="I31" s="2" t="s">
        <v>82</v>
      </c>
      <c r="J31" s="4">
        <v>4170000</v>
      </c>
      <c r="K31" s="2">
        <v>5</v>
      </c>
      <c r="L31" s="2">
        <v>2</v>
      </c>
      <c r="M31" s="2">
        <v>18</v>
      </c>
      <c r="N31" s="2" t="s">
        <v>41</v>
      </c>
      <c r="O31" s="2" t="s">
        <v>26</v>
      </c>
      <c r="P31" s="2" t="s">
        <v>36</v>
      </c>
      <c r="Q31" s="3"/>
      <c r="R31" s="2"/>
    </row>
    <row r="32" spans="1:18" x14ac:dyDescent="0.3">
      <c r="A32" s="2" t="s">
        <v>122</v>
      </c>
      <c r="B32" s="2" t="s">
        <v>72</v>
      </c>
      <c r="C32" s="2" t="s">
        <v>20</v>
      </c>
      <c r="D32" s="3">
        <v>30416</v>
      </c>
      <c r="E32" s="3">
        <v>44674</v>
      </c>
      <c r="F32" s="2" t="s">
        <v>51</v>
      </c>
      <c r="G32" s="2" t="s">
        <v>52</v>
      </c>
      <c r="H32" s="2" t="s">
        <v>33</v>
      </c>
      <c r="I32" s="2" t="s">
        <v>96</v>
      </c>
      <c r="J32" s="4">
        <v>3710000</v>
      </c>
      <c r="K32" s="2">
        <v>5</v>
      </c>
      <c r="L32" s="2">
        <v>3</v>
      </c>
      <c r="M32" s="2">
        <v>30</v>
      </c>
      <c r="N32" s="2" t="s">
        <v>41</v>
      </c>
      <c r="O32" s="2" t="s">
        <v>35</v>
      </c>
      <c r="P32" s="2" t="s">
        <v>36</v>
      </c>
      <c r="Q32" s="3"/>
      <c r="R32" s="2"/>
    </row>
    <row r="33" spans="1:18" x14ac:dyDescent="0.3">
      <c r="A33" s="2" t="s">
        <v>123</v>
      </c>
      <c r="B33" s="2" t="s">
        <v>124</v>
      </c>
      <c r="C33" s="2" t="s">
        <v>31</v>
      </c>
      <c r="D33" s="3">
        <v>38796</v>
      </c>
      <c r="E33" s="3">
        <v>46232</v>
      </c>
      <c r="F33" s="2" t="s">
        <v>51</v>
      </c>
      <c r="G33" s="2" t="s">
        <v>52</v>
      </c>
      <c r="H33" s="2" t="s">
        <v>23</v>
      </c>
      <c r="I33" s="2" t="s">
        <v>104</v>
      </c>
      <c r="J33" s="4">
        <v>9110000</v>
      </c>
      <c r="K33" s="2">
        <v>5</v>
      </c>
      <c r="L33" s="2">
        <v>3</v>
      </c>
      <c r="M33" s="2">
        <v>8</v>
      </c>
      <c r="N33" s="2" t="s">
        <v>41</v>
      </c>
      <c r="O33" s="2" t="s">
        <v>26</v>
      </c>
      <c r="P33" s="2" t="s">
        <v>36</v>
      </c>
      <c r="Q33" s="3"/>
      <c r="R33" s="2"/>
    </row>
    <row r="34" spans="1:18" x14ac:dyDescent="0.3">
      <c r="A34" s="2" t="s">
        <v>125</v>
      </c>
      <c r="B34" s="2" t="s">
        <v>126</v>
      </c>
      <c r="C34" s="2" t="s">
        <v>31</v>
      </c>
      <c r="D34" s="3">
        <v>35217</v>
      </c>
      <c r="E34" s="3">
        <v>43567</v>
      </c>
      <c r="F34" s="2" t="s">
        <v>47</v>
      </c>
      <c r="G34" s="2" t="s">
        <v>127</v>
      </c>
      <c r="H34" s="2" t="s">
        <v>23</v>
      </c>
      <c r="I34" s="2" t="s">
        <v>24</v>
      </c>
      <c r="J34" s="4">
        <v>16340000</v>
      </c>
      <c r="K34" s="2">
        <v>4</v>
      </c>
      <c r="L34" s="2">
        <v>5</v>
      </c>
      <c r="M34" s="2">
        <v>15</v>
      </c>
      <c r="N34" s="2" t="s">
        <v>41</v>
      </c>
      <c r="O34" s="2"/>
      <c r="P34" s="2" t="s">
        <v>36</v>
      </c>
      <c r="Q34" s="3"/>
      <c r="R34" s="2"/>
    </row>
    <row r="35" spans="1:18" x14ac:dyDescent="0.3">
      <c r="A35" s="2" t="s">
        <v>128</v>
      </c>
      <c r="B35" s="2" t="s">
        <v>129</v>
      </c>
      <c r="C35" s="2" t="s">
        <v>31</v>
      </c>
      <c r="D35" s="3">
        <v>36169</v>
      </c>
      <c r="E35" s="3">
        <v>46155</v>
      </c>
      <c r="F35" s="2" t="s">
        <v>64</v>
      </c>
      <c r="G35" s="2" t="s">
        <v>79</v>
      </c>
      <c r="H35" s="2" t="s">
        <v>33</v>
      </c>
      <c r="I35" s="2" t="s">
        <v>24</v>
      </c>
      <c r="J35" s="4">
        <v>3500000</v>
      </c>
      <c r="K35" s="2">
        <v>3</v>
      </c>
      <c r="L35" s="2">
        <v>3</v>
      </c>
      <c r="M35" s="2">
        <v>18</v>
      </c>
      <c r="N35" s="2" t="s">
        <v>25</v>
      </c>
      <c r="O35" s="2" t="s">
        <v>35</v>
      </c>
      <c r="P35" s="2" t="s">
        <v>36</v>
      </c>
      <c r="Q35" s="3"/>
      <c r="R35" s="2"/>
    </row>
    <row r="36" spans="1:18" x14ac:dyDescent="0.3">
      <c r="A36" s="2" t="s">
        <v>130</v>
      </c>
      <c r="B36" s="2" t="s">
        <v>131</v>
      </c>
      <c r="C36" s="2" t="s">
        <v>20</v>
      </c>
      <c r="D36" s="3">
        <v>34317</v>
      </c>
      <c r="E36" s="3">
        <v>44016</v>
      </c>
      <c r="F36" s="2" t="s">
        <v>21</v>
      </c>
      <c r="G36" s="2" t="s">
        <v>22</v>
      </c>
      <c r="H36" s="2" t="s">
        <v>68</v>
      </c>
      <c r="I36" s="2" t="s">
        <v>24</v>
      </c>
      <c r="J36" s="4">
        <v>7940000</v>
      </c>
      <c r="K36" s="2">
        <v>5</v>
      </c>
      <c r="L36" s="2">
        <v>2</v>
      </c>
      <c r="M36" s="2">
        <v>15</v>
      </c>
      <c r="N36" s="2" t="s">
        <v>41</v>
      </c>
      <c r="O36" s="2" t="s">
        <v>26</v>
      </c>
      <c r="P36" s="2" t="s">
        <v>36</v>
      </c>
      <c r="Q36" s="3"/>
      <c r="R36" s="2"/>
    </row>
    <row r="37" spans="1:18" x14ac:dyDescent="0.3">
      <c r="A37" s="2" t="s">
        <v>132</v>
      </c>
      <c r="B37" s="2" t="s">
        <v>133</v>
      </c>
      <c r="C37" s="2" t="s">
        <v>20</v>
      </c>
      <c r="D37" s="3">
        <v>34286</v>
      </c>
      <c r="E37" s="3">
        <v>43664</v>
      </c>
      <c r="F37" s="2" t="s">
        <v>64</v>
      </c>
      <c r="G37" s="2" t="s">
        <v>79</v>
      </c>
      <c r="H37" s="2" t="s">
        <v>33</v>
      </c>
      <c r="I37" s="2" t="s">
        <v>24</v>
      </c>
      <c r="J37" s="4">
        <v>4810000</v>
      </c>
      <c r="K37" s="2">
        <v>3</v>
      </c>
      <c r="L37" s="2">
        <v>2</v>
      </c>
      <c r="M37" s="2">
        <v>28</v>
      </c>
      <c r="N37" s="2" t="s">
        <v>88</v>
      </c>
      <c r="O37" s="2" t="s">
        <v>35</v>
      </c>
      <c r="P37" s="2" t="s">
        <v>36</v>
      </c>
      <c r="Q37" s="3"/>
      <c r="R37" s="2"/>
    </row>
    <row r="38" spans="1:18" x14ac:dyDescent="0.3">
      <c r="A38" s="2" t="s">
        <v>134</v>
      </c>
      <c r="B38" s="2" t="s">
        <v>135</v>
      </c>
      <c r="C38" s="2" t="s">
        <v>31</v>
      </c>
      <c r="D38" s="3">
        <v>36320</v>
      </c>
      <c r="E38" s="3">
        <v>45845</v>
      </c>
      <c r="F38" s="2" t="s">
        <v>51</v>
      </c>
      <c r="G38" s="2" t="s">
        <v>93</v>
      </c>
      <c r="H38" s="2" t="s">
        <v>23</v>
      </c>
      <c r="I38" s="2" t="s">
        <v>24</v>
      </c>
      <c r="J38" s="4">
        <v>9980000</v>
      </c>
      <c r="K38" s="2">
        <v>3</v>
      </c>
      <c r="L38" s="2">
        <v>3</v>
      </c>
      <c r="M38" s="2">
        <v>14</v>
      </c>
      <c r="N38" s="2" t="s">
        <v>41</v>
      </c>
      <c r="O38" s="2" t="s">
        <v>26</v>
      </c>
      <c r="P38" s="2" t="s">
        <v>36</v>
      </c>
      <c r="Q38" s="3"/>
      <c r="R38" s="2"/>
    </row>
    <row r="39" spans="1:18" x14ac:dyDescent="0.3">
      <c r="A39" s="2" t="s">
        <v>136</v>
      </c>
      <c r="B39" s="2" t="s">
        <v>137</v>
      </c>
      <c r="C39" s="2" t="s">
        <v>20</v>
      </c>
      <c r="D39" s="3">
        <v>37714</v>
      </c>
      <c r="E39" s="3">
        <v>45976</v>
      </c>
      <c r="F39" s="2" t="s">
        <v>47</v>
      </c>
      <c r="G39" s="2" t="s">
        <v>90</v>
      </c>
      <c r="H39" s="2" t="s">
        <v>33</v>
      </c>
      <c r="I39" s="2" t="s">
        <v>24</v>
      </c>
      <c r="J39" s="4">
        <v>4060000</v>
      </c>
      <c r="K39" s="2">
        <v>3</v>
      </c>
      <c r="L39" s="2">
        <v>4</v>
      </c>
      <c r="M39" s="2">
        <v>11</v>
      </c>
      <c r="N39" s="2" t="s">
        <v>88</v>
      </c>
      <c r="O39" s="2" t="s">
        <v>26</v>
      </c>
      <c r="P39" s="2" t="s">
        <v>36</v>
      </c>
      <c r="Q39" s="3"/>
      <c r="R39" s="2"/>
    </row>
    <row r="40" spans="1:18" x14ac:dyDescent="0.3">
      <c r="A40" s="2" t="s">
        <v>138</v>
      </c>
      <c r="B40" s="2" t="s">
        <v>139</v>
      </c>
      <c r="C40" s="2" t="s">
        <v>20</v>
      </c>
      <c r="D40" s="3">
        <v>32048</v>
      </c>
      <c r="E40" s="3">
        <v>43132</v>
      </c>
      <c r="F40" s="2" t="s">
        <v>21</v>
      </c>
      <c r="G40" s="2" t="s">
        <v>103</v>
      </c>
      <c r="H40" s="2" t="s">
        <v>33</v>
      </c>
      <c r="I40" s="2" t="s">
        <v>104</v>
      </c>
      <c r="J40" s="4">
        <v>4630000</v>
      </c>
      <c r="K40" s="2">
        <v>3</v>
      </c>
      <c r="L40" s="2">
        <v>4</v>
      </c>
      <c r="M40" s="2">
        <v>12</v>
      </c>
      <c r="N40" s="2" t="s">
        <v>88</v>
      </c>
      <c r="O40" s="2" t="s">
        <v>26</v>
      </c>
      <c r="P40" s="2" t="s">
        <v>36</v>
      </c>
      <c r="Q40" s="3"/>
      <c r="R40" s="2"/>
    </row>
    <row r="41" spans="1:18" x14ac:dyDescent="0.3">
      <c r="A41" s="2" t="s">
        <v>140</v>
      </c>
      <c r="B41" s="2" t="s">
        <v>141</v>
      </c>
      <c r="C41" s="2" t="s">
        <v>20</v>
      </c>
      <c r="D41" s="3">
        <v>34036</v>
      </c>
      <c r="E41" s="3">
        <v>44089</v>
      </c>
      <c r="F41" s="2" t="s">
        <v>56</v>
      </c>
      <c r="G41" s="2" t="s">
        <v>142</v>
      </c>
      <c r="H41" s="2" t="s">
        <v>68</v>
      </c>
      <c r="I41" s="2" t="s">
        <v>24</v>
      </c>
      <c r="J41" s="4">
        <v>6540000</v>
      </c>
      <c r="K41" s="2">
        <v>3</v>
      </c>
      <c r="L41" s="2">
        <v>4</v>
      </c>
      <c r="M41" s="2">
        <v>11</v>
      </c>
      <c r="N41" s="2" t="s">
        <v>25</v>
      </c>
      <c r="O41" s="2" t="s">
        <v>26</v>
      </c>
      <c r="P41" s="2" t="s">
        <v>36</v>
      </c>
      <c r="Q41" s="3"/>
      <c r="R41" s="2"/>
    </row>
    <row r="42" spans="1:18" x14ac:dyDescent="0.3">
      <c r="A42" s="2" t="s">
        <v>143</v>
      </c>
      <c r="B42" s="2" t="s">
        <v>144</v>
      </c>
      <c r="C42" s="2" t="s">
        <v>31</v>
      </c>
      <c r="D42" s="3">
        <v>33621</v>
      </c>
      <c r="E42" s="3">
        <v>44140</v>
      </c>
      <c r="F42" s="2" t="s">
        <v>47</v>
      </c>
      <c r="G42" s="2" t="s">
        <v>127</v>
      </c>
      <c r="H42" s="2" t="s">
        <v>33</v>
      </c>
      <c r="I42" s="2" t="s">
        <v>24</v>
      </c>
      <c r="J42" s="4">
        <v>4910000</v>
      </c>
      <c r="K42" s="2">
        <v>3</v>
      </c>
      <c r="L42" s="2">
        <v>3</v>
      </c>
      <c r="M42" s="2">
        <v>25</v>
      </c>
      <c r="N42" s="2" t="s">
        <v>41</v>
      </c>
      <c r="O42" s="2" t="s">
        <v>35</v>
      </c>
      <c r="P42" s="2" t="s">
        <v>27</v>
      </c>
      <c r="Q42" s="3">
        <v>46079</v>
      </c>
      <c r="R42" s="2" t="s">
        <v>145</v>
      </c>
    </row>
    <row r="43" spans="1:18" x14ac:dyDescent="0.3">
      <c r="A43" s="2" t="s">
        <v>146</v>
      </c>
      <c r="B43" s="2" t="s">
        <v>147</v>
      </c>
      <c r="C43" s="2" t="s">
        <v>20</v>
      </c>
      <c r="D43" s="3">
        <v>36113</v>
      </c>
      <c r="E43" s="3">
        <v>45707</v>
      </c>
      <c r="F43" s="2" t="s">
        <v>51</v>
      </c>
      <c r="G43" s="2" t="s">
        <v>93</v>
      </c>
      <c r="H43" s="2" t="s">
        <v>68</v>
      </c>
      <c r="I43" s="2" t="s">
        <v>34</v>
      </c>
      <c r="J43" s="4">
        <v>6410000</v>
      </c>
      <c r="K43" s="2">
        <v>3</v>
      </c>
      <c r="L43" s="2">
        <v>3</v>
      </c>
      <c r="M43" s="2">
        <v>15</v>
      </c>
      <c r="N43" s="2" t="s">
        <v>25</v>
      </c>
      <c r="O43" s="2" t="s">
        <v>35</v>
      </c>
      <c r="P43" s="2" t="s">
        <v>36</v>
      </c>
      <c r="Q43" s="3"/>
      <c r="R43" s="2"/>
    </row>
    <row r="44" spans="1:18" x14ac:dyDescent="0.3">
      <c r="A44" s="2" t="s">
        <v>148</v>
      </c>
      <c r="B44" s="2" t="s">
        <v>149</v>
      </c>
      <c r="C44" s="2" t="s">
        <v>31</v>
      </c>
      <c r="D44" s="3">
        <v>33337</v>
      </c>
      <c r="E44" s="3">
        <v>45213</v>
      </c>
      <c r="F44" s="2" t="s">
        <v>114</v>
      </c>
      <c r="G44" s="2" t="s">
        <v>150</v>
      </c>
      <c r="H44" s="2" t="s">
        <v>33</v>
      </c>
      <c r="I44" s="2" t="s">
        <v>96</v>
      </c>
      <c r="J44" s="4">
        <v>3800000</v>
      </c>
      <c r="K44" s="2">
        <v>5</v>
      </c>
      <c r="L44" s="2">
        <v>3</v>
      </c>
      <c r="M44" s="2">
        <v>15</v>
      </c>
      <c r="N44" s="2" t="s">
        <v>41</v>
      </c>
      <c r="O44" s="2" t="s">
        <v>35</v>
      </c>
      <c r="P44" s="2" t="s">
        <v>36</v>
      </c>
      <c r="Q44" s="3"/>
      <c r="R44" s="2"/>
    </row>
    <row r="45" spans="1:18" x14ac:dyDescent="0.3">
      <c r="A45" s="2" t="s">
        <v>151</v>
      </c>
      <c r="B45" s="2" t="s">
        <v>152</v>
      </c>
      <c r="C45" s="2" t="s">
        <v>31</v>
      </c>
      <c r="D45" s="3">
        <v>33434</v>
      </c>
      <c r="E45" s="3">
        <v>46258</v>
      </c>
      <c r="F45" s="2" t="s">
        <v>51</v>
      </c>
      <c r="G45" s="2" t="s">
        <v>52</v>
      </c>
      <c r="H45" s="2" t="s">
        <v>68</v>
      </c>
      <c r="I45" s="2" t="s">
        <v>104</v>
      </c>
      <c r="J45" s="4">
        <v>7010000</v>
      </c>
      <c r="K45" s="2">
        <v>3</v>
      </c>
      <c r="L45" s="2">
        <v>2</v>
      </c>
      <c r="M45" s="2">
        <v>21</v>
      </c>
      <c r="N45" s="2" t="s">
        <v>25</v>
      </c>
      <c r="O45" s="2" t="s">
        <v>26</v>
      </c>
      <c r="P45" s="2" t="s">
        <v>36</v>
      </c>
      <c r="Q45" s="3"/>
      <c r="R45" s="2"/>
    </row>
    <row r="46" spans="1:18" x14ac:dyDescent="0.3">
      <c r="A46" s="2" t="s">
        <v>153</v>
      </c>
      <c r="B46" s="2" t="s">
        <v>154</v>
      </c>
      <c r="C46" s="2" t="s">
        <v>20</v>
      </c>
      <c r="D46" s="3">
        <v>34092</v>
      </c>
      <c r="E46" s="3">
        <v>45614</v>
      </c>
      <c r="F46" s="2" t="s">
        <v>21</v>
      </c>
      <c r="G46" s="2" t="s">
        <v>22</v>
      </c>
      <c r="H46" s="2" t="s">
        <v>68</v>
      </c>
      <c r="I46" s="2" t="s">
        <v>34</v>
      </c>
      <c r="J46" s="4">
        <v>9560000</v>
      </c>
      <c r="K46" s="2">
        <v>4</v>
      </c>
      <c r="L46" s="2">
        <v>3</v>
      </c>
      <c r="M46" s="2">
        <v>12</v>
      </c>
      <c r="N46" s="2" t="s">
        <v>25</v>
      </c>
      <c r="O46" s="2" t="s">
        <v>26</v>
      </c>
      <c r="P46" s="2" t="s">
        <v>27</v>
      </c>
      <c r="Q46" s="3">
        <v>46158</v>
      </c>
      <c r="R46" s="2" t="s">
        <v>155</v>
      </c>
    </row>
    <row r="47" spans="1:18" x14ac:dyDescent="0.3">
      <c r="A47" s="2" t="s">
        <v>156</v>
      </c>
      <c r="B47" s="2" t="s">
        <v>157</v>
      </c>
      <c r="C47" s="2" t="s">
        <v>20</v>
      </c>
      <c r="D47" s="3">
        <v>33793</v>
      </c>
      <c r="E47" s="3">
        <v>42573</v>
      </c>
      <c r="F47" s="2" t="s">
        <v>51</v>
      </c>
      <c r="G47" s="2" t="s">
        <v>52</v>
      </c>
      <c r="H47" s="2" t="s">
        <v>33</v>
      </c>
      <c r="I47" s="2" t="s">
        <v>24</v>
      </c>
      <c r="J47" s="4">
        <v>2500000</v>
      </c>
      <c r="K47" s="2">
        <v>5</v>
      </c>
      <c r="L47" s="2">
        <v>3</v>
      </c>
      <c r="M47" s="2">
        <v>11</v>
      </c>
      <c r="N47" s="2" t="s">
        <v>88</v>
      </c>
      <c r="O47" s="2" t="s">
        <v>53</v>
      </c>
      <c r="P47" s="2" t="s">
        <v>36</v>
      </c>
      <c r="Q47" s="3"/>
      <c r="R47" s="2"/>
    </row>
    <row r="48" spans="1:18" x14ac:dyDescent="0.3">
      <c r="A48" s="2" t="s">
        <v>158</v>
      </c>
      <c r="B48" s="2" t="s">
        <v>159</v>
      </c>
      <c r="C48" s="2" t="s">
        <v>31</v>
      </c>
      <c r="D48" s="3">
        <v>34829</v>
      </c>
      <c r="E48" s="3">
        <v>45275</v>
      </c>
      <c r="F48" s="2" t="s">
        <v>64</v>
      </c>
      <c r="G48" s="2" t="s">
        <v>79</v>
      </c>
      <c r="H48" s="2" t="s">
        <v>23</v>
      </c>
      <c r="I48" s="2" t="s">
        <v>82</v>
      </c>
      <c r="J48" s="4">
        <v>15660000</v>
      </c>
      <c r="K48" s="2">
        <v>1</v>
      </c>
      <c r="L48" s="2">
        <v>2</v>
      </c>
      <c r="M48" s="2">
        <v>10</v>
      </c>
      <c r="N48" s="2" t="s">
        <v>25</v>
      </c>
      <c r="O48" s="2" t="s">
        <v>26</v>
      </c>
      <c r="P48" s="2" t="s">
        <v>36</v>
      </c>
      <c r="Q48" s="3"/>
      <c r="R48" s="2"/>
    </row>
    <row r="49" spans="1:18" x14ac:dyDescent="0.3">
      <c r="A49" s="2" t="s">
        <v>160</v>
      </c>
      <c r="B49" s="2" t="s">
        <v>161</v>
      </c>
      <c r="C49" s="2" t="s">
        <v>20</v>
      </c>
      <c r="D49" s="3">
        <v>32168</v>
      </c>
      <c r="E49" s="3">
        <v>45654</v>
      </c>
      <c r="F49" s="2" t="s">
        <v>51</v>
      </c>
      <c r="G49" s="2" t="s">
        <v>52</v>
      </c>
      <c r="H49" s="2" t="s">
        <v>23</v>
      </c>
      <c r="I49" s="2" t="s">
        <v>34</v>
      </c>
      <c r="J49" s="4">
        <v>10910000</v>
      </c>
      <c r="K49" s="2">
        <v>3</v>
      </c>
      <c r="L49" s="2">
        <v>3</v>
      </c>
      <c r="M49" s="2">
        <v>25</v>
      </c>
      <c r="N49" s="2" t="s">
        <v>25</v>
      </c>
      <c r="O49" s="2" t="s">
        <v>26</v>
      </c>
      <c r="P49" s="2" t="s">
        <v>36</v>
      </c>
      <c r="Q49" s="3"/>
      <c r="R49" s="2"/>
    </row>
    <row r="50" spans="1:18" x14ac:dyDescent="0.3">
      <c r="A50" s="2" t="s">
        <v>162</v>
      </c>
      <c r="B50" s="2" t="s">
        <v>163</v>
      </c>
      <c r="C50" s="2" t="s">
        <v>31</v>
      </c>
      <c r="D50" s="3">
        <v>33865</v>
      </c>
      <c r="E50" s="3">
        <v>46233</v>
      </c>
      <c r="F50" s="2" t="s">
        <v>47</v>
      </c>
      <c r="G50" s="2" t="s">
        <v>127</v>
      </c>
      <c r="H50" s="2" t="s">
        <v>23</v>
      </c>
      <c r="I50" s="2" t="s">
        <v>24</v>
      </c>
      <c r="J50" s="4">
        <v>12170000</v>
      </c>
      <c r="K50" s="2">
        <v>2</v>
      </c>
      <c r="L50" s="2">
        <v>2</v>
      </c>
      <c r="M50" s="2">
        <v>13</v>
      </c>
      <c r="N50" s="2" t="s">
        <v>41</v>
      </c>
      <c r="O50" s="2" t="s">
        <v>35</v>
      </c>
      <c r="P50" s="2" t="s">
        <v>36</v>
      </c>
      <c r="Q50" s="3"/>
      <c r="R50" s="2"/>
    </row>
    <row r="51" spans="1:18" x14ac:dyDescent="0.3">
      <c r="A51" s="2" t="s">
        <v>164</v>
      </c>
      <c r="B51" s="2" t="s">
        <v>165</v>
      </c>
      <c r="C51" s="2" t="s">
        <v>20</v>
      </c>
      <c r="D51" s="3">
        <v>33144</v>
      </c>
      <c r="E51" s="3">
        <v>44048</v>
      </c>
      <c r="F51" s="2" t="s">
        <v>51</v>
      </c>
      <c r="G51" s="2" t="s">
        <v>93</v>
      </c>
      <c r="H51" s="2" t="s">
        <v>68</v>
      </c>
      <c r="I51" s="2" t="s">
        <v>24</v>
      </c>
      <c r="J51" s="4">
        <v>5180000</v>
      </c>
      <c r="K51" s="2">
        <v>3</v>
      </c>
      <c r="L51" s="2">
        <v>3</v>
      </c>
      <c r="M51" s="2">
        <v>11</v>
      </c>
      <c r="N51" s="2" t="s">
        <v>41</v>
      </c>
      <c r="O51" s="2" t="s">
        <v>35</v>
      </c>
      <c r="P51" s="2" t="s">
        <v>36</v>
      </c>
      <c r="Q51" s="3"/>
      <c r="R51" s="2"/>
    </row>
    <row r="52" spans="1:18" x14ac:dyDescent="0.3">
      <c r="A52" s="2" t="s">
        <v>166</v>
      </c>
      <c r="B52" s="2" t="s">
        <v>167</v>
      </c>
      <c r="C52" s="2" t="s">
        <v>31</v>
      </c>
      <c r="D52" s="3">
        <v>38977</v>
      </c>
      <c r="E52" s="3">
        <v>46266</v>
      </c>
      <c r="F52" s="2" t="s">
        <v>64</v>
      </c>
      <c r="G52" s="2" t="s">
        <v>73</v>
      </c>
      <c r="H52" s="2" t="s">
        <v>68</v>
      </c>
      <c r="I52" s="2" t="s">
        <v>24</v>
      </c>
      <c r="J52" s="4">
        <v>5860000</v>
      </c>
      <c r="K52" s="2">
        <v>3</v>
      </c>
      <c r="L52" s="2">
        <v>4</v>
      </c>
      <c r="M52" s="2">
        <v>37</v>
      </c>
      <c r="N52" s="2" t="s">
        <v>88</v>
      </c>
      <c r="O52" s="2" t="s">
        <v>35</v>
      </c>
      <c r="P52" s="2" t="s">
        <v>36</v>
      </c>
      <c r="Q52" s="3"/>
      <c r="R52" s="2"/>
    </row>
    <row r="53" spans="1:18" x14ac:dyDescent="0.3">
      <c r="A53" s="2" t="s">
        <v>168</v>
      </c>
      <c r="B53" s="2" t="s">
        <v>169</v>
      </c>
      <c r="C53" s="2" t="s">
        <v>31</v>
      </c>
      <c r="D53" s="3">
        <v>31486</v>
      </c>
      <c r="E53" s="3">
        <v>45128</v>
      </c>
      <c r="F53" s="2" t="s">
        <v>39</v>
      </c>
      <c r="G53" s="2" t="s">
        <v>170</v>
      </c>
      <c r="H53" s="2" t="s">
        <v>33</v>
      </c>
      <c r="I53" s="2" t="s">
        <v>24</v>
      </c>
      <c r="J53" s="4">
        <v>4030000</v>
      </c>
      <c r="K53" s="2">
        <v>3</v>
      </c>
      <c r="L53" s="2">
        <v>3</v>
      </c>
      <c r="M53" s="2">
        <v>17</v>
      </c>
      <c r="N53" s="2" t="s">
        <v>41</v>
      </c>
      <c r="O53" s="2" t="s">
        <v>26</v>
      </c>
      <c r="P53" s="2" t="s">
        <v>36</v>
      </c>
      <c r="Q53" s="3"/>
      <c r="R53" s="2"/>
    </row>
    <row r="54" spans="1:18" x14ac:dyDescent="0.3">
      <c r="A54" s="2" t="s">
        <v>171</v>
      </c>
      <c r="B54" s="2" t="s">
        <v>172</v>
      </c>
      <c r="C54" s="2" t="s">
        <v>31</v>
      </c>
      <c r="D54" s="3">
        <v>35874</v>
      </c>
      <c r="E54" s="3">
        <v>45202</v>
      </c>
      <c r="F54" s="2" t="s">
        <v>47</v>
      </c>
      <c r="G54" s="2" t="s">
        <v>90</v>
      </c>
      <c r="H54" s="2" t="s">
        <v>33</v>
      </c>
      <c r="I54" s="2" t="s">
        <v>34</v>
      </c>
      <c r="J54" s="4">
        <v>4170000</v>
      </c>
      <c r="K54" s="2">
        <v>3</v>
      </c>
      <c r="L54" s="2">
        <v>4</v>
      </c>
      <c r="M54" s="2">
        <v>25</v>
      </c>
      <c r="N54" s="2" t="s">
        <v>25</v>
      </c>
      <c r="O54" s="2" t="s">
        <v>26</v>
      </c>
      <c r="P54" s="2" t="s">
        <v>36</v>
      </c>
      <c r="Q54" s="3"/>
      <c r="R54" s="2"/>
    </row>
    <row r="55" spans="1:18" x14ac:dyDescent="0.3">
      <c r="A55" s="2" t="s">
        <v>173</v>
      </c>
      <c r="B55" s="2" t="s">
        <v>174</v>
      </c>
      <c r="C55" s="2" t="s">
        <v>20</v>
      </c>
      <c r="D55" s="3">
        <v>35929</v>
      </c>
      <c r="E55" s="3">
        <v>46047</v>
      </c>
      <c r="F55" s="2" t="s">
        <v>51</v>
      </c>
      <c r="G55" s="2" t="s">
        <v>52</v>
      </c>
      <c r="H55" s="2" t="s">
        <v>68</v>
      </c>
      <c r="I55" s="2" t="s">
        <v>24</v>
      </c>
      <c r="J55" s="4">
        <v>5560000</v>
      </c>
      <c r="K55" s="2">
        <v>1</v>
      </c>
      <c r="L55" s="2">
        <v>4</v>
      </c>
      <c r="M55" s="2">
        <v>21</v>
      </c>
      <c r="N55" s="2" t="s">
        <v>25</v>
      </c>
      <c r="O55" s="2" t="s">
        <v>53</v>
      </c>
      <c r="P55" s="2" t="s">
        <v>36</v>
      </c>
      <c r="Q55" s="3"/>
      <c r="R55" s="2"/>
    </row>
    <row r="56" spans="1:18" x14ac:dyDescent="0.3">
      <c r="A56" s="2" t="s">
        <v>175</v>
      </c>
      <c r="B56" s="2" t="s">
        <v>19</v>
      </c>
      <c r="C56" s="2" t="s">
        <v>20</v>
      </c>
      <c r="D56" s="3">
        <v>33523</v>
      </c>
      <c r="E56" s="3">
        <v>42725</v>
      </c>
      <c r="F56" s="2" t="s">
        <v>21</v>
      </c>
      <c r="G56" s="2" t="s">
        <v>22</v>
      </c>
      <c r="H56" s="2" t="s">
        <v>33</v>
      </c>
      <c r="I56" s="2" t="s">
        <v>82</v>
      </c>
      <c r="J56" s="4">
        <v>4600000</v>
      </c>
      <c r="K56" s="2">
        <v>4</v>
      </c>
      <c r="L56" s="2">
        <v>3</v>
      </c>
      <c r="M56" s="2">
        <v>14</v>
      </c>
      <c r="N56" s="2" t="s">
        <v>25</v>
      </c>
      <c r="O56" s="2" t="s">
        <v>35</v>
      </c>
      <c r="P56" s="2" t="s">
        <v>36</v>
      </c>
      <c r="Q56" s="3"/>
      <c r="R56" s="2"/>
    </row>
    <row r="57" spans="1:18" x14ac:dyDescent="0.3">
      <c r="A57" s="2" t="s">
        <v>176</v>
      </c>
      <c r="B57" s="2" t="s">
        <v>177</v>
      </c>
      <c r="C57" s="2" t="s">
        <v>20</v>
      </c>
      <c r="D57" s="3">
        <v>38761</v>
      </c>
      <c r="E57" s="3">
        <v>46244</v>
      </c>
      <c r="F57" s="2" t="s">
        <v>56</v>
      </c>
      <c r="G57" s="2" t="s">
        <v>142</v>
      </c>
      <c r="H57" s="2" t="s">
        <v>33</v>
      </c>
      <c r="I57" s="2" t="s">
        <v>24</v>
      </c>
      <c r="J57" s="4">
        <v>3400000</v>
      </c>
      <c r="K57" s="2">
        <v>5</v>
      </c>
      <c r="L57" s="2">
        <v>3</v>
      </c>
      <c r="M57" s="2">
        <v>8</v>
      </c>
      <c r="N57" s="2" t="s">
        <v>25</v>
      </c>
      <c r="O57" s="2" t="s">
        <v>26</v>
      </c>
      <c r="P57" s="2" t="s">
        <v>36</v>
      </c>
      <c r="Q57" s="3"/>
      <c r="R57" s="2"/>
    </row>
    <row r="58" spans="1:18" x14ac:dyDescent="0.3">
      <c r="A58" s="2" t="s">
        <v>178</v>
      </c>
      <c r="B58" s="2" t="s">
        <v>179</v>
      </c>
      <c r="C58" s="2" t="s">
        <v>31</v>
      </c>
      <c r="D58" s="3">
        <v>38570</v>
      </c>
      <c r="E58" s="3">
        <v>46136</v>
      </c>
      <c r="F58" s="2" t="s">
        <v>56</v>
      </c>
      <c r="G58" s="2" t="s">
        <v>142</v>
      </c>
      <c r="H58" s="2" t="s">
        <v>33</v>
      </c>
      <c r="I58" s="2" t="s">
        <v>24</v>
      </c>
      <c r="J58" s="4">
        <v>4140000</v>
      </c>
      <c r="K58" s="2">
        <v>2</v>
      </c>
      <c r="L58" s="2">
        <v>2</v>
      </c>
      <c r="M58" s="2">
        <v>22</v>
      </c>
      <c r="N58" s="2" t="s">
        <v>25</v>
      </c>
      <c r="O58" s="2" t="s">
        <v>26</v>
      </c>
      <c r="P58" s="2" t="s">
        <v>36</v>
      </c>
      <c r="Q58" s="3"/>
      <c r="R58" s="2"/>
    </row>
    <row r="59" spans="1:18" x14ac:dyDescent="0.3">
      <c r="A59" s="2" t="s">
        <v>180</v>
      </c>
      <c r="B59" s="2" t="s">
        <v>167</v>
      </c>
      <c r="C59" s="2" t="s">
        <v>31</v>
      </c>
      <c r="D59" s="3">
        <v>36489</v>
      </c>
      <c r="E59" s="3">
        <v>44864</v>
      </c>
      <c r="F59" s="2" t="s">
        <v>47</v>
      </c>
      <c r="G59" s="2" t="s">
        <v>127</v>
      </c>
      <c r="H59" s="2" t="s">
        <v>33</v>
      </c>
      <c r="I59" s="2" t="s">
        <v>24</v>
      </c>
      <c r="J59" s="4">
        <v>3970000</v>
      </c>
      <c r="K59" s="2">
        <v>3</v>
      </c>
      <c r="L59" s="2">
        <v>3</v>
      </c>
      <c r="M59" s="2">
        <v>19</v>
      </c>
      <c r="N59" s="2" t="s">
        <v>41</v>
      </c>
      <c r="O59" s="2" t="s">
        <v>26</v>
      </c>
      <c r="P59" s="2" t="s">
        <v>27</v>
      </c>
      <c r="Q59" s="3">
        <v>46159</v>
      </c>
      <c r="R59" s="2" t="s">
        <v>61</v>
      </c>
    </row>
    <row r="60" spans="1:18" x14ac:dyDescent="0.3">
      <c r="A60" s="2" t="s">
        <v>181</v>
      </c>
      <c r="B60" s="2" t="s">
        <v>182</v>
      </c>
      <c r="C60" s="2" t="s">
        <v>20</v>
      </c>
      <c r="D60" s="3">
        <v>33274</v>
      </c>
      <c r="E60" s="3">
        <v>44615</v>
      </c>
      <c r="F60" s="2" t="s">
        <v>21</v>
      </c>
      <c r="G60" s="2" t="s">
        <v>103</v>
      </c>
      <c r="H60" s="2" t="s">
        <v>33</v>
      </c>
      <c r="I60" s="2" t="s">
        <v>82</v>
      </c>
      <c r="J60" s="4">
        <v>5630000</v>
      </c>
      <c r="K60" s="2">
        <v>2</v>
      </c>
      <c r="L60" s="2">
        <v>4</v>
      </c>
      <c r="M60" s="2">
        <v>2</v>
      </c>
      <c r="N60" s="2" t="s">
        <v>41</v>
      </c>
      <c r="O60" s="2" t="s">
        <v>26</v>
      </c>
      <c r="P60" s="2" t="s">
        <v>36</v>
      </c>
      <c r="Q60" s="3"/>
      <c r="R60" s="2"/>
    </row>
    <row r="61" spans="1:18" x14ac:dyDescent="0.3">
      <c r="A61" s="2" t="s">
        <v>183</v>
      </c>
      <c r="B61" s="2" t="s">
        <v>184</v>
      </c>
      <c r="C61" s="2" t="s">
        <v>31</v>
      </c>
      <c r="D61" s="3">
        <v>32924</v>
      </c>
      <c r="E61" s="3">
        <v>46218</v>
      </c>
      <c r="F61" s="2" t="s">
        <v>114</v>
      </c>
      <c r="G61" s="2" t="s">
        <v>115</v>
      </c>
      <c r="H61" s="2" t="s">
        <v>33</v>
      </c>
      <c r="I61" s="2" t="s">
        <v>24</v>
      </c>
      <c r="J61" s="4">
        <v>3590000</v>
      </c>
      <c r="K61" s="2">
        <v>5</v>
      </c>
      <c r="L61" s="2">
        <v>5</v>
      </c>
      <c r="M61" s="2">
        <v>12</v>
      </c>
      <c r="N61" s="2" t="s">
        <v>25</v>
      </c>
      <c r="O61" s="2"/>
      <c r="P61" s="2" t="s">
        <v>36</v>
      </c>
      <c r="Q61" s="3"/>
      <c r="R61" s="2"/>
    </row>
    <row r="62" spans="1:18" x14ac:dyDescent="0.3">
      <c r="A62" s="2" t="s">
        <v>185</v>
      </c>
      <c r="B62" s="2" t="s">
        <v>186</v>
      </c>
      <c r="C62" s="2" t="s">
        <v>20</v>
      </c>
      <c r="D62" s="3">
        <v>32725</v>
      </c>
      <c r="E62" s="3">
        <v>43915</v>
      </c>
      <c r="F62" s="2" t="s">
        <v>87</v>
      </c>
      <c r="G62" s="2" t="s">
        <v>127</v>
      </c>
      <c r="H62" s="2" t="s">
        <v>33</v>
      </c>
      <c r="I62" s="2" t="s">
        <v>96</v>
      </c>
      <c r="J62" s="4">
        <v>4210000</v>
      </c>
      <c r="K62" s="2">
        <v>3</v>
      </c>
      <c r="L62" s="2">
        <v>1</v>
      </c>
      <c r="M62" s="2">
        <v>7</v>
      </c>
      <c r="N62" s="2" t="s">
        <v>41</v>
      </c>
      <c r="O62" s="2" t="s">
        <v>35</v>
      </c>
      <c r="P62" s="2" t="s">
        <v>27</v>
      </c>
      <c r="Q62" s="3">
        <v>45942</v>
      </c>
      <c r="R62" s="2" t="s">
        <v>61</v>
      </c>
    </row>
    <row r="63" spans="1:18" x14ac:dyDescent="0.3">
      <c r="A63" s="2" t="s">
        <v>187</v>
      </c>
      <c r="B63" s="2" t="s">
        <v>188</v>
      </c>
      <c r="C63" s="2" t="s">
        <v>20</v>
      </c>
      <c r="D63" s="3">
        <v>37800</v>
      </c>
      <c r="E63" s="3">
        <v>46180</v>
      </c>
      <c r="F63" s="2" t="s">
        <v>21</v>
      </c>
      <c r="G63" s="2" t="s">
        <v>32</v>
      </c>
      <c r="H63" s="2" t="s">
        <v>68</v>
      </c>
      <c r="I63" s="2" t="s">
        <v>24</v>
      </c>
      <c r="J63" s="4">
        <v>8210000</v>
      </c>
      <c r="K63" s="2">
        <v>5</v>
      </c>
      <c r="L63" s="2">
        <v>4</v>
      </c>
      <c r="M63" s="2">
        <v>9</v>
      </c>
      <c r="N63" s="2" t="s">
        <v>41</v>
      </c>
      <c r="O63" s="2" t="s">
        <v>53</v>
      </c>
      <c r="P63" s="2" t="s">
        <v>36</v>
      </c>
      <c r="Q63" s="3"/>
      <c r="R63" s="2"/>
    </row>
    <row r="64" spans="1:18" x14ac:dyDescent="0.3">
      <c r="A64" s="2" t="s">
        <v>189</v>
      </c>
      <c r="B64" s="2" t="s">
        <v>190</v>
      </c>
      <c r="C64" s="2" t="s">
        <v>31</v>
      </c>
      <c r="D64" s="3">
        <v>34048</v>
      </c>
      <c r="E64" s="3">
        <v>44869</v>
      </c>
      <c r="F64" s="2" t="s">
        <v>114</v>
      </c>
      <c r="G64" s="2" t="s">
        <v>115</v>
      </c>
      <c r="H64" s="2" t="s">
        <v>33</v>
      </c>
      <c r="I64" s="2" t="s">
        <v>82</v>
      </c>
      <c r="J64" s="4">
        <v>3260000</v>
      </c>
      <c r="K64" s="2">
        <v>5</v>
      </c>
      <c r="L64" s="2">
        <v>5</v>
      </c>
      <c r="M64" s="2">
        <v>11</v>
      </c>
      <c r="N64" s="2" t="s">
        <v>88</v>
      </c>
      <c r="O64" s="2" t="s">
        <v>35</v>
      </c>
      <c r="P64" s="2" t="s">
        <v>36</v>
      </c>
      <c r="Q64" s="3"/>
      <c r="R64" s="2"/>
    </row>
    <row r="65" spans="1:18" x14ac:dyDescent="0.3">
      <c r="A65" s="2" t="s">
        <v>191</v>
      </c>
      <c r="B65" s="2" t="s">
        <v>192</v>
      </c>
      <c r="C65" s="2" t="s">
        <v>20</v>
      </c>
      <c r="D65" s="3">
        <v>36896</v>
      </c>
      <c r="E65" s="3">
        <v>44407</v>
      </c>
      <c r="F65" s="2" t="s">
        <v>56</v>
      </c>
      <c r="G65" s="2" t="s">
        <v>57</v>
      </c>
      <c r="H65" s="2" t="s">
        <v>68</v>
      </c>
      <c r="I65" s="2" t="s">
        <v>34</v>
      </c>
      <c r="J65" s="4">
        <v>6060000</v>
      </c>
      <c r="K65" s="2">
        <v>3</v>
      </c>
      <c r="L65" s="2">
        <v>2</v>
      </c>
      <c r="M65" s="2">
        <v>16</v>
      </c>
      <c r="N65" s="2" t="s">
        <v>41</v>
      </c>
      <c r="O65" s="2" t="s">
        <v>26</v>
      </c>
      <c r="P65" s="2" t="s">
        <v>36</v>
      </c>
      <c r="Q65" s="3"/>
      <c r="R65" s="2"/>
    </row>
    <row r="66" spans="1:18" x14ac:dyDescent="0.3">
      <c r="A66" s="2" t="s">
        <v>193</v>
      </c>
      <c r="B66" s="2" t="s">
        <v>63</v>
      </c>
      <c r="C66" s="2" t="s">
        <v>31</v>
      </c>
      <c r="D66" s="3">
        <v>33629</v>
      </c>
      <c r="E66" s="3">
        <v>42821</v>
      </c>
      <c r="F66" s="2" t="s">
        <v>47</v>
      </c>
      <c r="G66" s="2" t="s">
        <v>90</v>
      </c>
      <c r="H66" s="2" t="s">
        <v>68</v>
      </c>
      <c r="I66" s="2" t="s">
        <v>24</v>
      </c>
      <c r="J66" s="4">
        <v>6310000</v>
      </c>
      <c r="K66" s="2">
        <v>4</v>
      </c>
      <c r="L66" s="2">
        <v>3</v>
      </c>
      <c r="M66" s="2">
        <v>6</v>
      </c>
      <c r="N66" s="2" t="s">
        <v>25</v>
      </c>
      <c r="O66" s="2"/>
      <c r="P66" s="2" t="s">
        <v>36</v>
      </c>
      <c r="Q66" s="3"/>
      <c r="R66" s="2"/>
    </row>
    <row r="67" spans="1:18" x14ac:dyDescent="0.3">
      <c r="A67" s="2" t="s">
        <v>194</v>
      </c>
      <c r="B67" s="2" t="s">
        <v>192</v>
      </c>
      <c r="C67" s="2" t="s">
        <v>20</v>
      </c>
      <c r="D67" s="3">
        <v>37523</v>
      </c>
      <c r="E67" s="3">
        <v>45044</v>
      </c>
      <c r="F67" s="2" t="s">
        <v>56</v>
      </c>
      <c r="G67" s="2" t="s">
        <v>142</v>
      </c>
      <c r="H67" s="2" t="s">
        <v>23</v>
      </c>
      <c r="I67" s="2" t="s">
        <v>24</v>
      </c>
      <c r="J67" s="4">
        <v>14510000</v>
      </c>
      <c r="K67" s="2">
        <v>3</v>
      </c>
      <c r="L67" s="2">
        <v>2</v>
      </c>
      <c r="M67" s="2">
        <v>5</v>
      </c>
      <c r="N67" s="2" t="s">
        <v>41</v>
      </c>
      <c r="O67" s="2" t="s">
        <v>26</v>
      </c>
      <c r="P67" s="2" t="s">
        <v>36</v>
      </c>
      <c r="Q67" s="3"/>
      <c r="R67" s="2"/>
    </row>
    <row r="68" spans="1:18" x14ac:dyDescent="0.3">
      <c r="A68" s="2" t="s">
        <v>195</v>
      </c>
      <c r="B68" s="2" t="s">
        <v>152</v>
      </c>
      <c r="C68" s="2" t="s">
        <v>31</v>
      </c>
      <c r="D68" s="3">
        <v>33502</v>
      </c>
      <c r="E68" s="3">
        <v>44112</v>
      </c>
      <c r="F68" s="2" t="s">
        <v>114</v>
      </c>
      <c r="G68" s="2" t="s">
        <v>196</v>
      </c>
      <c r="H68" s="2" t="s">
        <v>33</v>
      </c>
      <c r="I68" s="2" t="s">
        <v>24</v>
      </c>
      <c r="J68" s="4">
        <v>3240000</v>
      </c>
      <c r="K68" s="2">
        <v>2</v>
      </c>
      <c r="L68" s="2">
        <v>5</v>
      </c>
      <c r="M68" s="2">
        <v>32</v>
      </c>
      <c r="N68" s="2" t="s">
        <v>25</v>
      </c>
      <c r="O68" s="2" t="s">
        <v>26</v>
      </c>
      <c r="P68" s="2" t="s">
        <v>27</v>
      </c>
      <c r="Q68" s="3">
        <v>46105</v>
      </c>
      <c r="R68" s="2" t="s">
        <v>111</v>
      </c>
    </row>
    <row r="69" spans="1:18" x14ac:dyDescent="0.3">
      <c r="A69" s="2" t="s">
        <v>197</v>
      </c>
      <c r="B69" s="2" t="s">
        <v>198</v>
      </c>
      <c r="C69" s="2" t="s">
        <v>20</v>
      </c>
      <c r="D69" s="3">
        <v>32449</v>
      </c>
      <c r="E69" s="3">
        <v>46117</v>
      </c>
      <c r="F69" s="2" t="s">
        <v>64</v>
      </c>
      <c r="G69" s="2" t="s">
        <v>79</v>
      </c>
      <c r="H69" s="2" t="s">
        <v>23</v>
      </c>
      <c r="I69" s="2" t="s">
        <v>34</v>
      </c>
      <c r="J69" s="4">
        <v>11580000</v>
      </c>
      <c r="K69" s="2">
        <v>2</v>
      </c>
      <c r="L69" s="2">
        <v>4</v>
      </c>
      <c r="M69" s="2">
        <v>21</v>
      </c>
      <c r="N69" s="2" t="s">
        <v>41</v>
      </c>
      <c r="O69" s="2" t="s">
        <v>26</v>
      </c>
      <c r="P69" s="2" t="s">
        <v>36</v>
      </c>
      <c r="Q69" s="3"/>
      <c r="R69" s="2"/>
    </row>
    <row r="70" spans="1:18" x14ac:dyDescent="0.3">
      <c r="A70" s="2" t="s">
        <v>199</v>
      </c>
      <c r="B70" s="2" t="s">
        <v>200</v>
      </c>
      <c r="C70" s="2" t="s">
        <v>31</v>
      </c>
      <c r="D70" s="3">
        <v>35912</v>
      </c>
      <c r="E70" s="3">
        <v>44772</v>
      </c>
      <c r="F70" s="2" t="s">
        <v>114</v>
      </c>
      <c r="G70" s="2" t="s">
        <v>115</v>
      </c>
      <c r="H70" s="2" t="s">
        <v>68</v>
      </c>
      <c r="I70" s="2" t="s">
        <v>44</v>
      </c>
      <c r="J70" s="4">
        <v>7720000</v>
      </c>
      <c r="K70" s="2">
        <v>3</v>
      </c>
      <c r="L70" s="2">
        <v>2</v>
      </c>
      <c r="M70" s="2">
        <v>21</v>
      </c>
      <c r="N70" s="2" t="s">
        <v>88</v>
      </c>
      <c r="O70" s="2" t="s">
        <v>26</v>
      </c>
      <c r="P70" s="2" t="s">
        <v>36</v>
      </c>
      <c r="Q70" s="3"/>
      <c r="R70" s="2"/>
    </row>
    <row r="71" spans="1:18" x14ac:dyDescent="0.3">
      <c r="A71" s="2" t="s">
        <v>201</v>
      </c>
      <c r="B71" s="2" t="s">
        <v>202</v>
      </c>
      <c r="C71" s="2" t="s">
        <v>20</v>
      </c>
      <c r="D71" s="3">
        <v>36000</v>
      </c>
      <c r="E71" s="3">
        <v>44989</v>
      </c>
      <c r="F71" s="2" t="s">
        <v>64</v>
      </c>
      <c r="G71" s="2" t="s">
        <v>65</v>
      </c>
      <c r="H71" s="2" t="s">
        <v>68</v>
      </c>
      <c r="I71" s="2" t="s">
        <v>24</v>
      </c>
      <c r="J71" s="4">
        <v>7550000</v>
      </c>
      <c r="K71" s="2">
        <v>4</v>
      </c>
      <c r="L71" s="2">
        <v>2</v>
      </c>
      <c r="M71" s="2">
        <v>0</v>
      </c>
      <c r="N71" s="2" t="s">
        <v>41</v>
      </c>
      <c r="O71" s="2" t="s">
        <v>35</v>
      </c>
      <c r="P71" s="2" t="s">
        <v>27</v>
      </c>
      <c r="Q71" s="3">
        <v>45823</v>
      </c>
      <c r="R71" s="2" t="s">
        <v>155</v>
      </c>
    </row>
    <row r="72" spans="1:18" x14ac:dyDescent="0.3">
      <c r="A72" s="2" t="s">
        <v>203</v>
      </c>
      <c r="B72" s="2" t="s">
        <v>124</v>
      </c>
      <c r="C72" s="2" t="s">
        <v>31</v>
      </c>
      <c r="D72" s="3">
        <v>34754</v>
      </c>
      <c r="E72" s="3">
        <v>43653</v>
      </c>
      <c r="F72" s="2" t="s">
        <v>64</v>
      </c>
      <c r="G72" s="2" t="s">
        <v>79</v>
      </c>
      <c r="H72" s="2" t="s">
        <v>68</v>
      </c>
      <c r="I72" s="2" t="s">
        <v>24</v>
      </c>
      <c r="J72" s="4">
        <v>8840000</v>
      </c>
      <c r="K72" s="2">
        <v>3</v>
      </c>
      <c r="L72" s="2">
        <v>4</v>
      </c>
      <c r="M72" s="2">
        <v>15</v>
      </c>
      <c r="N72" s="2" t="s">
        <v>41</v>
      </c>
      <c r="O72" s="2" t="s">
        <v>35</v>
      </c>
      <c r="P72" s="2" t="s">
        <v>36</v>
      </c>
      <c r="Q72" s="3"/>
      <c r="R72" s="2"/>
    </row>
    <row r="73" spans="1:18" x14ac:dyDescent="0.3">
      <c r="A73" s="2" t="s">
        <v>204</v>
      </c>
      <c r="B73" s="2" t="s">
        <v>205</v>
      </c>
      <c r="C73" s="2" t="s">
        <v>31</v>
      </c>
      <c r="D73" s="3">
        <v>33549</v>
      </c>
      <c r="E73" s="3">
        <v>42423</v>
      </c>
      <c r="F73" s="2" t="s">
        <v>47</v>
      </c>
      <c r="G73" s="2" t="s">
        <v>127</v>
      </c>
      <c r="H73" s="2" t="s">
        <v>68</v>
      </c>
      <c r="I73" s="2" t="s">
        <v>206</v>
      </c>
      <c r="J73" s="4">
        <v>6720000</v>
      </c>
      <c r="K73" s="2">
        <v>3</v>
      </c>
      <c r="L73" s="2">
        <v>4</v>
      </c>
      <c r="M73" s="2">
        <v>14</v>
      </c>
      <c r="N73" s="2" t="s">
        <v>41</v>
      </c>
      <c r="O73" s="2" t="s">
        <v>26</v>
      </c>
      <c r="P73" s="2" t="s">
        <v>36</v>
      </c>
      <c r="Q73" s="3"/>
      <c r="R73" s="2"/>
    </row>
    <row r="74" spans="1:18" x14ac:dyDescent="0.3">
      <c r="A74" s="2" t="s">
        <v>207</v>
      </c>
      <c r="B74" s="2" t="s">
        <v>208</v>
      </c>
      <c r="C74" s="2" t="s">
        <v>20</v>
      </c>
      <c r="D74" s="3">
        <v>31610</v>
      </c>
      <c r="E74" s="3">
        <v>42694</v>
      </c>
      <c r="F74" s="2" t="s">
        <v>51</v>
      </c>
      <c r="G74" s="2" t="s">
        <v>52</v>
      </c>
      <c r="H74" s="2" t="s">
        <v>68</v>
      </c>
      <c r="I74" s="2" t="s">
        <v>24</v>
      </c>
      <c r="J74" s="4">
        <v>5990000</v>
      </c>
      <c r="K74" s="2">
        <v>4</v>
      </c>
      <c r="L74" s="2">
        <v>4</v>
      </c>
      <c r="M74" s="2">
        <v>22</v>
      </c>
      <c r="N74" s="2" t="s">
        <v>25</v>
      </c>
      <c r="O74" s="2" t="s">
        <v>35</v>
      </c>
      <c r="P74" s="2" t="s">
        <v>36</v>
      </c>
      <c r="Q74" s="3"/>
      <c r="R74" s="2"/>
    </row>
    <row r="75" spans="1:18" x14ac:dyDescent="0.3">
      <c r="A75" s="2" t="s">
        <v>209</v>
      </c>
      <c r="B75" s="2" t="s">
        <v>210</v>
      </c>
      <c r="C75" s="2" t="s">
        <v>31</v>
      </c>
      <c r="D75" s="3">
        <v>37331</v>
      </c>
      <c r="E75" s="3">
        <v>45172</v>
      </c>
      <c r="F75" s="2" t="s">
        <v>39</v>
      </c>
      <c r="G75" s="2" t="s">
        <v>40</v>
      </c>
      <c r="H75" s="2" t="s">
        <v>68</v>
      </c>
      <c r="I75" s="2" t="s">
        <v>82</v>
      </c>
      <c r="J75" s="4">
        <v>7940000</v>
      </c>
      <c r="K75" s="2">
        <v>5</v>
      </c>
      <c r="L75" s="2">
        <v>2</v>
      </c>
      <c r="M75" s="2">
        <v>12</v>
      </c>
      <c r="N75" s="2" t="s">
        <v>41</v>
      </c>
      <c r="O75" s="2" t="s">
        <v>26</v>
      </c>
      <c r="P75" s="2" t="s">
        <v>36</v>
      </c>
      <c r="Q75" s="3"/>
      <c r="R75" s="2"/>
    </row>
    <row r="76" spans="1:18" x14ac:dyDescent="0.3">
      <c r="A76" s="2" t="s">
        <v>211</v>
      </c>
      <c r="B76" s="2" t="s">
        <v>212</v>
      </c>
      <c r="C76" s="2" t="s">
        <v>31</v>
      </c>
      <c r="D76" s="3">
        <v>29558</v>
      </c>
      <c r="E76" s="3">
        <v>43656</v>
      </c>
      <c r="F76" s="2" t="s">
        <v>21</v>
      </c>
      <c r="G76" s="2" t="s">
        <v>32</v>
      </c>
      <c r="H76" s="2" t="s">
        <v>33</v>
      </c>
      <c r="I76" s="2" t="s">
        <v>24</v>
      </c>
      <c r="J76" s="4">
        <v>4940000</v>
      </c>
      <c r="K76" s="2">
        <v>5</v>
      </c>
      <c r="L76" s="2">
        <v>3</v>
      </c>
      <c r="M76" s="2">
        <v>24</v>
      </c>
      <c r="N76" s="2" t="s">
        <v>41</v>
      </c>
      <c r="O76" s="2" t="s">
        <v>26</v>
      </c>
      <c r="P76" s="2" t="s">
        <v>36</v>
      </c>
      <c r="Q76" s="3"/>
      <c r="R76" s="2"/>
    </row>
    <row r="77" spans="1:18" x14ac:dyDescent="0.3">
      <c r="A77" s="2" t="s">
        <v>213</v>
      </c>
      <c r="B77" s="2" t="s">
        <v>63</v>
      </c>
      <c r="C77" s="2" t="s">
        <v>31</v>
      </c>
      <c r="D77" s="3">
        <v>34933</v>
      </c>
      <c r="E77" s="3">
        <v>44692</v>
      </c>
      <c r="F77" s="2" t="s">
        <v>56</v>
      </c>
      <c r="G77" s="2" t="s">
        <v>60</v>
      </c>
      <c r="H77" s="2" t="s">
        <v>33</v>
      </c>
      <c r="I77" s="2" t="s">
        <v>24</v>
      </c>
      <c r="J77" s="4">
        <v>5000000</v>
      </c>
      <c r="K77" s="2">
        <v>4</v>
      </c>
      <c r="L77" s="2">
        <v>2</v>
      </c>
      <c r="M77" s="2">
        <v>17</v>
      </c>
      <c r="N77" s="2" t="s">
        <v>41</v>
      </c>
      <c r="O77" s="2" t="s">
        <v>35</v>
      </c>
      <c r="P77" s="2" t="s">
        <v>36</v>
      </c>
      <c r="Q77" s="3"/>
      <c r="R77" s="2"/>
    </row>
    <row r="78" spans="1:18" x14ac:dyDescent="0.3">
      <c r="A78" s="2" t="s">
        <v>214</v>
      </c>
      <c r="B78" s="2" t="s">
        <v>215</v>
      </c>
      <c r="C78" s="2" t="s">
        <v>20</v>
      </c>
      <c r="D78" s="3">
        <v>32847</v>
      </c>
      <c r="E78" s="3">
        <v>44268</v>
      </c>
      <c r="F78" s="2" t="s">
        <v>51</v>
      </c>
      <c r="G78" s="2" t="s">
        <v>52</v>
      </c>
      <c r="H78" s="2" t="s">
        <v>68</v>
      </c>
      <c r="I78" s="2" t="s">
        <v>24</v>
      </c>
      <c r="J78" s="4">
        <v>5060000</v>
      </c>
      <c r="K78" s="2">
        <v>5</v>
      </c>
      <c r="L78" s="2">
        <v>3</v>
      </c>
      <c r="M78" s="2">
        <v>1</v>
      </c>
      <c r="N78" s="2" t="s">
        <v>41</v>
      </c>
      <c r="O78" s="2" t="s">
        <v>35</v>
      </c>
      <c r="P78" s="2" t="s">
        <v>36</v>
      </c>
      <c r="Q78" s="3"/>
      <c r="R78" s="2"/>
    </row>
    <row r="79" spans="1:18" x14ac:dyDescent="0.3">
      <c r="A79" s="2" t="s">
        <v>216</v>
      </c>
      <c r="B79" s="2" t="s">
        <v>217</v>
      </c>
      <c r="C79" s="2" t="s">
        <v>31</v>
      </c>
      <c r="D79" s="3">
        <v>34751</v>
      </c>
      <c r="E79" s="3">
        <v>44440</v>
      </c>
      <c r="F79" s="2" t="s">
        <v>51</v>
      </c>
      <c r="G79" s="2" t="s">
        <v>52</v>
      </c>
      <c r="H79" s="2" t="s">
        <v>33</v>
      </c>
      <c r="I79" s="2" t="s">
        <v>24</v>
      </c>
      <c r="J79" s="4">
        <v>2450000</v>
      </c>
      <c r="K79" s="2">
        <v>3</v>
      </c>
      <c r="L79" s="2">
        <v>4</v>
      </c>
      <c r="M79" s="2">
        <v>22</v>
      </c>
      <c r="N79" s="2" t="s">
        <v>41</v>
      </c>
      <c r="O79" s="2" t="s">
        <v>35</v>
      </c>
      <c r="P79" s="2" t="s">
        <v>36</v>
      </c>
      <c r="Q79" s="3"/>
      <c r="R79" s="2"/>
    </row>
    <row r="80" spans="1:18" x14ac:dyDescent="0.3">
      <c r="A80" s="2" t="s">
        <v>218</v>
      </c>
      <c r="B80" s="2" t="s">
        <v>219</v>
      </c>
      <c r="C80" s="2" t="s">
        <v>20</v>
      </c>
      <c r="D80" s="3">
        <v>34322</v>
      </c>
      <c r="E80" s="3">
        <v>45348</v>
      </c>
      <c r="F80" s="2" t="s">
        <v>39</v>
      </c>
      <c r="G80" s="2" t="s">
        <v>40</v>
      </c>
      <c r="H80" s="2" t="s">
        <v>23</v>
      </c>
      <c r="I80" s="2" t="s">
        <v>24</v>
      </c>
      <c r="J80" s="4">
        <v>13220000</v>
      </c>
      <c r="K80" s="2">
        <v>5</v>
      </c>
      <c r="L80" s="2">
        <v>4</v>
      </c>
      <c r="M80" s="2">
        <v>31</v>
      </c>
      <c r="N80" s="2" t="s">
        <v>25</v>
      </c>
      <c r="O80" s="2" t="s">
        <v>35</v>
      </c>
      <c r="P80" s="2" t="s">
        <v>36</v>
      </c>
      <c r="Q80" s="3"/>
      <c r="R80" s="2"/>
    </row>
    <row r="81" spans="1:18" x14ac:dyDescent="0.3">
      <c r="A81" s="2" t="s">
        <v>220</v>
      </c>
      <c r="B81" s="2" t="s">
        <v>221</v>
      </c>
      <c r="C81" s="2" t="s">
        <v>20</v>
      </c>
      <c r="D81" s="3">
        <v>35254</v>
      </c>
      <c r="E81" s="3">
        <v>44770</v>
      </c>
      <c r="F81" s="2" t="s">
        <v>51</v>
      </c>
      <c r="G81" s="2" t="s">
        <v>93</v>
      </c>
      <c r="H81" s="2" t="s">
        <v>33</v>
      </c>
      <c r="I81" s="2" t="s">
        <v>96</v>
      </c>
      <c r="J81" s="4">
        <v>3130000</v>
      </c>
      <c r="K81" s="2">
        <v>4</v>
      </c>
      <c r="L81" s="2">
        <v>3</v>
      </c>
      <c r="M81" s="2">
        <v>18</v>
      </c>
      <c r="N81" s="2" t="s">
        <v>25</v>
      </c>
      <c r="O81" s="2" t="s">
        <v>26</v>
      </c>
      <c r="P81" s="2" t="s">
        <v>36</v>
      </c>
      <c r="Q81" s="3"/>
      <c r="R81" s="2"/>
    </row>
    <row r="82" spans="1:18" x14ac:dyDescent="0.3">
      <c r="A82" s="2" t="s">
        <v>222</v>
      </c>
      <c r="B82" s="2" t="s">
        <v>223</v>
      </c>
      <c r="C82" s="2" t="s">
        <v>31</v>
      </c>
      <c r="D82" s="3">
        <v>38726</v>
      </c>
      <c r="E82" s="3">
        <v>46257</v>
      </c>
      <c r="F82" s="2" t="s">
        <v>56</v>
      </c>
      <c r="G82" s="2" t="s">
        <v>142</v>
      </c>
      <c r="H82" s="2" t="s">
        <v>68</v>
      </c>
      <c r="I82" s="2" t="s">
        <v>24</v>
      </c>
      <c r="J82" s="4">
        <v>6820000</v>
      </c>
      <c r="K82" s="2">
        <v>3</v>
      </c>
      <c r="L82" s="2">
        <v>4</v>
      </c>
      <c r="M82" s="2">
        <v>13</v>
      </c>
      <c r="N82" s="2" t="s">
        <v>41</v>
      </c>
      <c r="O82" s="2" t="s">
        <v>35</v>
      </c>
      <c r="P82" s="2" t="s">
        <v>36</v>
      </c>
      <c r="Q82" s="3"/>
      <c r="R82" s="2"/>
    </row>
    <row r="83" spans="1:18" x14ac:dyDescent="0.3">
      <c r="A83" s="2" t="s">
        <v>224</v>
      </c>
      <c r="B83" s="2" t="s">
        <v>225</v>
      </c>
      <c r="C83" s="2" t="s">
        <v>20</v>
      </c>
      <c r="D83" s="3">
        <v>38829</v>
      </c>
      <c r="E83" s="3">
        <v>46167</v>
      </c>
      <c r="F83" s="2" t="s">
        <v>64</v>
      </c>
      <c r="G83" s="2" t="s">
        <v>79</v>
      </c>
      <c r="H83" s="2" t="s">
        <v>68</v>
      </c>
      <c r="I83" s="2" t="s">
        <v>24</v>
      </c>
      <c r="J83" s="4">
        <v>8950000</v>
      </c>
      <c r="K83" s="2">
        <v>3</v>
      </c>
      <c r="L83" s="2">
        <v>1</v>
      </c>
      <c r="M83" s="2">
        <v>28</v>
      </c>
      <c r="N83" s="2" t="s">
        <v>41</v>
      </c>
      <c r="O83" s="2" t="s">
        <v>26</v>
      </c>
      <c r="P83" s="2" t="s">
        <v>27</v>
      </c>
      <c r="Q83" s="3">
        <v>46236</v>
      </c>
      <c r="R83" s="2" t="s">
        <v>61</v>
      </c>
    </row>
    <row r="84" spans="1:18" x14ac:dyDescent="0.3">
      <c r="A84" s="2" t="s">
        <v>226</v>
      </c>
      <c r="B84" s="2" t="s">
        <v>227</v>
      </c>
      <c r="C84" s="2" t="s">
        <v>20</v>
      </c>
      <c r="D84" s="3">
        <v>32706</v>
      </c>
      <c r="E84" s="3">
        <v>43447</v>
      </c>
      <c r="F84" s="2" t="s">
        <v>51</v>
      </c>
      <c r="G84" s="2" t="s">
        <v>52</v>
      </c>
      <c r="H84" s="2" t="s">
        <v>68</v>
      </c>
      <c r="I84" s="2" t="s">
        <v>24</v>
      </c>
      <c r="J84" s="4">
        <v>7000000</v>
      </c>
      <c r="K84" s="2">
        <v>2</v>
      </c>
      <c r="L84" s="2">
        <v>4</v>
      </c>
      <c r="M84" s="2">
        <v>20</v>
      </c>
      <c r="N84" s="2" t="s">
        <v>41</v>
      </c>
      <c r="O84" s="2" t="s">
        <v>53</v>
      </c>
      <c r="P84" s="2" t="s">
        <v>36</v>
      </c>
      <c r="Q84" s="3"/>
      <c r="R84" s="2"/>
    </row>
    <row r="85" spans="1:18" x14ac:dyDescent="0.3">
      <c r="A85" s="2" t="s">
        <v>228</v>
      </c>
      <c r="B85" s="2" t="s">
        <v>147</v>
      </c>
      <c r="C85" s="2" t="s">
        <v>229</v>
      </c>
      <c r="D85" s="3">
        <v>31973</v>
      </c>
      <c r="E85" s="3">
        <v>44711</v>
      </c>
      <c r="F85" s="2" t="s">
        <v>51</v>
      </c>
      <c r="G85" s="2" t="s">
        <v>93</v>
      </c>
      <c r="H85" s="2" t="s">
        <v>68</v>
      </c>
      <c r="I85" s="2" t="s">
        <v>24</v>
      </c>
      <c r="J85" s="4">
        <v>6590000</v>
      </c>
      <c r="K85" s="2">
        <v>3</v>
      </c>
      <c r="L85" s="2">
        <v>4</v>
      </c>
      <c r="M85" s="2">
        <v>10</v>
      </c>
      <c r="N85" s="2" t="s">
        <v>41</v>
      </c>
      <c r="O85" s="2" t="s">
        <v>35</v>
      </c>
      <c r="P85" s="2" t="s">
        <v>36</v>
      </c>
      <c r="Q85" s="3"/>
      <c r="R85" s="2"/>
    </row>
    <row r="86" spans="1:18" x14ac:dyDescent="0.3">
      <c r="A86" s="2" t="s">
        <v>230</v>
      </c>
      <c r="B86" s="2" t="s">
        <v>231</v>
      </c>
      <c r="C86" s="2" t="s">
        <v>20</v>
      </c>
      <c r="D86" s="3">
        <v>35656</v>
      </c>
      <c r="E86" s="3">
        <v>44755</v>
      </c>
      <c r="F86" s="2" t="s">
        <v>114</v>
      </c>
      <c r="G86" s="2" t="s">
        <v>115</v>
      </c>
      <c r="H86" s="2" t="s">
        <v>68</v>
      </c>
      <c r="I86" s="2" t="s">
        <v>24</v>
      </c>
      <c r="J86" s="4">
        <v>7880000</v>
      </c>
      <c r="K86" s="2">
        <v>4</v>
      </c>
      <c r="L86" s="2">
        <v>1</v>
      </c>
      <c r="M86" s="2">
        <v>13</v>
      </c>
      <c r="N86" s="2" t="s">
        <v>88</v>
      </c>
      <c r="O86" s="2" t="s">
        <v>26</v>
      </c>
      <c r="P86" s="2" t="s">
        <v>36</v>
      </c>
      <c r="Q86" s="3"/>
      <c r="R86" s="2"/>
    </row>
    <row r="87" spans="1:18" x14ac:dyDescent="0.3">
      <c r="A87" s="2" t="s">
        <v>232</v>
      </c>
      <c r="B87" s="2" t="s">
        <v>233</v>
      </c>
      <c r="C87" s="2" t="s">
        <v>234</v>
      </c>
      <c r="D87" s="3">
        <v>30822</v>
      </c>
      <c r="E87" s="3">
        <v>43556</v>
      </c>
      <c r="F87" s="2" t="s">
        <v>64</v>
      </c>
      <c r="G87" s="2" t="s">
        <v>73</v>
      </c>
      <c r="H87" s="2" t="s">
        <v>23</v>
      </c>
      <c r="I87" s="2" t="s">
        <v>24</v>
      </c>
      <c r="J87" s="4">
        <v>12710000</v>
      </c>
      <c r="K87" s="2">
        <v>4</v>
      </c>
      <c r="L87" s="2">
        <v>2</v>
      </c>
      <c r="M87" s="2">
        <v>13</v>
      </c>
      <c r="N87" s="2" t="s">
        <v>25</v>
      </c>
      <c r="O87" s="2" t="s">
        <v>53</v>
      </c>
      <c r="P87" s="2" t="s">
        <v>27</v>
      </c>
      <c r="Q87" s="3">
        <v>46280</v>
      </c>
      <c r="R87" s="2" t="s">
        <v>235</v>
      </c>
    </row>
    <row r="88" spans="1:18" x14ac:dyDescent="0.3">
      <c r="A88" s="2" t="s">
        <v>236</v>
      </c>
      <c r="B88" s="2" t="s">
        <v>237</v>
      </c>
      <c r="C88" s="2" t="s">
        <v>20</v>
      </c>
      <c r="D88" s="3">
        <v>35791</v>
      </c>
      <c r="E88" s="3">
        <v>44520</v>
      </c>
      <c r="F88" s="2" t="s">
        <v>21</v>
      </c>
      <c r="G88" s="2" t="s">
        <v>22</v>
      </c>
      <c r="H88" s="2" t="s">
        <v>68</v>
      </c>
      <c r="I88" s="2" t="s">
        <v>24</v>
      </c>
      <c r="J88" s="4">
        <v>8850000</v>
      </c>
      <c r="K88" s="2">
        <v>2</v>
      </c>
      <c r="L88" s="2">
        <v>3</v>
      </c>
      <c r="M88" s="2">
        <v>0</v>
      </c>
      <c r="N88" s="2" t="s">
        <v>41</v>
      </c>
      <c r="O88" s="2" t="s">
        <v>26</v>
      </c>
      <c r="P88" s="2" t="s">
        <v>36</v>
      </c>
      <c r="Q88" s="3"/>
      <c r="R88" s="2"/>
    </row>
    <row r="89" spans="1:18" x14ac:dyDescent="0.3">
      <c r="A89" s="2" t="s">
        <v>238</v>
      </c>
      <c r="B89" s="2" t="s">
        <v>239</v>
      </c>
      <c r="C89" s="2" t="s">
        <v>240</v>
      </c>
      <c r="D89" s="3">
        <v>37707</v>
      </c>
      <c r="E89" s="3">
        <v>45992</v>
      </c>
      <c r="F89" s="2" t="s">
        <v>47</v>
      </c>
      <c r="G89" s="2" t="s">
        <v>48</v>
      </c>
      <c r="H89" s="2" t="s">
        <v>68</v>
      </c>
      <c r="I89" s="2" t="s">
        <v>104</v>
      </c>
      <c r="J89" s="4">
        <v>8860000</v>
      </c>
      <c r="K89" s="2">
        <v>3</v>
      </c>
      <c r="L89" s="2">
        <v>3</v>
      </c>
      <c r="M89" s="2">
        <v>2</v>
      </c>
      <c r="N89" s="2" t="s">
        <v>88</v>
      </c>
      <c r="O89" s="2" t="s">
        <v>26</v>
      </c>
      <c r="P89" s="2" t="s">
        <v>36</v>
      </c>
      <c r="Q89" s="3"/>
      <c r="R89" s="2"/>
    </row>
    <row r="90" spans="1:18" x14ac:dyDescent="0.3">
      <c r="A90" s="2" t="s">
        <v>241</v>
      </c>
      <c r="B90" s="2" t="s">
        <v>242</v>
      </c>
      <c r="C90" s="2" t="s">
        <v>31</v>
      </c>
      <c r="D90" s="3">
        <v>30493</v>
      </c>
      <c r="E90" s="3">
        <v>45997</v>
      </c>
      <c r="F90" s="2" t="s">
        <v>51</v>
      </c>
      <c r="G90" s="2" t="s">
        <v>52</v>
      </c>
      <c r="H90" s="2" t="s">
        <v>68</v>
      </c>
      <c r="I90" s="2" t="s">
        <v>24</v>
      </c>
      <c r="J90" s="4">
        <v>4490000</v>
      </c>
      <c r="K90" s="2">
        <v>4</v>
      </c>
      <c r="L90" s="2">
        <v>4</v>
      </c>
      <c r="M90" s="2">
        <v>21</v>
      </c>
      <c r="N90" s="2" t="s">
        <v>41</v>
      </c>
      <c r="O90" s="2" t="s">
        <v>26</v>
      </c>
      <c r="P90" s="2" t="s">
        <v>36</v>
      </c>
      <c r="Q90" s="3"/>
      <c r="R90" s="2"/>
    </row>
    <row r="91" spans="1:18" x14ac:dyDescent="0.3">
      <c r="A91" s="2" t="s">
        <v>243</v>
      </c>
      <c r="B91" s="2" t="s">
        <v>244</v>
      </c>
      <c r="C91" s="2" t="s">
        <v>234</v>
      </c>
      <c r="D91" s="3">
        <v>35091</v>
      </c>
      <c r="E91" s="3">
        <v>44639</v>
      </c>
      <c r="F91" s="2" t="s">
        <v>245</v>
      </c>
      <c r="G91" s="2" t="s">
        <v>127</v>
      </c>
      <c r="H91" s="2" t="s">
        <v>23</v>
      </c>
      <c r="I91" s="2" t="s">
        <v>44</v>
      </c>
      <c r="J91" s="4">
        <v>13670000</v>
      </c>
      <c r="K91" s="2">
        <v>3</v>
      </c>
      <c r="L91" s="2">
        <v>3</v>
      </c>
      <c r="M91" s="2">
        <v>18</v>
      </c>
      <c r="N91" s="2" t="s">
        <v>88</v>
      </c>
      <c r="O91" s="2" t="s">
        <v>26</v>
      </c>
      <c r="P91" s="2" t="s">
        <v>36</v>
      </c>
      <c r="Q91" s="3"/>
      <c r="R91" s="2"/>
    </row>
    <row r="92" spans="1:18" x14ac:dyDescent="0.3">
      <c r="A92" s="2" t="s">
        <v>246</v>
      </c>
      <c r="B92" s="2" t="s">
        <v>174</v>
      </c>
      <c r="C92" s="2" t="s">
        <v>20</v>
      </c>
      <c r="D92" s="3">
        <v>29277</v>
      </c>
      <c r="E92" s="3">
        <v>45965</v>
      </c>
      <c r="F92" s="2" t="s">
        <v>51</v>
      </c>
      <c r="G92" s="2" t="s">
        <v>52</v>
      </c>
      <c r="H92" s="2" t="s">
        <v>68</v>
      </c>
      <c r="I92" s="2" t="s">
        <v>24</v>
      </c>
      <c r="J92" s="4">
        <v>5930000</v>
      </c>
      <c r="K92" s="2">
        <v>2</v>
      </c>
      <c r="L92" s="2">
        <v>3</v>
      </c>
      <c r="M92" s="2">
        <v>31</v>
      </c>
      <c r="N92" s="2" t="s">
        <v>41</v>
      </c>
      <c r="O92" s="2" t="s">
        <v>26</v>
      </c>
      <c r="P92" s="2" t="s">
        <v>36</v>
      </c>
      <c r="Q92" s="3"/>
      <c r="R92" s="2"/>
    </row>
    <row r="93" spans="1:18" x14ac:dyDescent="0.3">
      <c r="A93" s="2" t="s">
        <v>247</v>
      </c>
      <c r="B93" s="2" t="s">
        <v>248</v>
      </c>
      <c r="C93" s="2" t="s">
        <v>31</v>
      </c>
      <c r="D93" s="3">
        <v>32131</v>
      </c>
      <c r="E93" s="3">
        <v>45346</v>
      </c>
      <c r="F93" s="2" t="s">
        <v>51</v>
      </c>
      <c r="G93" s="2" t="s">
        <v>93</v>
      </c>
      <c r="H93" s="2" t="s">
        <v>33</v>
      </c>
      <c r="I93" s="2" t="s">
        <v>24</v>
      </c>
      <c r="J93" s="4">
        <v>3130000</v>
      </c>
      <c r="K93" s="2">
        <v>4</v>
      </c>
      <c r="L93" s="2">
        <v>2</v>
      </c>
      <c r="M93" s="2">
        <v>25</v>
      </c>
      <c r="N93" s="2" t="s">
        <v>88</v>
      </c>
      <c r="O93" s="2" t="s">
        <v>53</v>
      </c>
      <c r="P93" s="2" t="s">
        <v>36</v>
      </c>
      <c r="Q93" s="3"/>
      <c r="R93" s="2"/>
    </row>
    <row r="94" spans="1:18" x14ac:dyDescent="0.3">
      <c r="A94" s="2" t="s">
        <v>249</v>
      </c>
      <c r="B94" s="2" t="s">
        <v>250</v>
      </c>
      <c r="C94" s="2" t="s">
        <v>31</v>
      </c>
      <c r="D94" s="3">
        <v>32409</v>
      </c>
      <c r="E94" s="3">
        <v>42567</v>
      </c>
      <c r="F94" s="2" t="s">
        <v>47</v>
      </c>
      <c r="G94" s="2" t="s">
        <v>127</v>
      </c>
      <c r="H94" s="2" t="s">
        <v>33</v>
      </c>
      <c r="I94" s="2" t="s">
        <v>34</v>
      </c>
      <c r="J94" s="4">
        <v>3190000</v>
      </c>
      <c r="K94" s="2">
        <v>4</v>
      </c>
      <c r="L94" s="2">
        <v>4</v>
      </c>
      <c r="M94" s="2">
        <v>0</v>
      </c>
      <c r="N94" s="2" t="s">
        <v>88</v>
      </c>
      <c r="O94" s="2" t="s">
        <v>26</v>
      </c>
      <c r="P94" s="2" t="s">
        <v>36</v>
      </c>
      <c r="Q94" s="3"/>
      <c r="R94" s="2"/>
    </row>
    <row r="95" spans="1:18" x14ac:dyDescent="0.3">
      <c r="A95" s="2" t="s">
        <v>251</v>
      </c>
      <c r="B95" s="2" t="s">
        <v>208</v>
      </c>
      <c r="C95" s="2" t="s">
        <v>240</v>
      </c>
      <c r="D95" s="3">
        <v>31799</v>
      </c>
      <c r="E95" s="3">
        <v>45323</v>
      </c>
      <c r="F95" s="2" t="s">
        <v>21</v>
      </c>
      <c r="G95" s="2" t="s">
        <v>32</v>
      </c>
      <c r="H95" s="2" t="s">
        <v>23</v>
      </c>
      <c r="I95" s="2" t="s">
        <v>96</v>
      </c>
      <c r="J95" s="4">
        <v>15300000</v>
      </c>
      <c r="K95" s="2">
        <v>4</v>
      </c>
      <c r="L95" s="2">
        <v>3</v>
      </c>
      <c r="M95" s="2">
        <v>6</v>
      </c>
      <c r="N95" s="2" t="s">
        <v>41</v>
      </c>
      <c r="O95" s="2" t="s">
        <v>26</v>
      </c>
      <c r="P95" s="2" t="s">
        <v>36</v>
      </c>
      <c r="Q95" s="3"/>
      <c r="R95" s="2"/>
    </row>
    <row r="96" spans="1:18" x14ac:dyDescent="0.3">
      <c r="A96" s="2" t="s">
        <v>252</v>
      </c>
      <c r="B96" s="2" t="s">
        <v>102</v>
      </c>
      <c r="C96" s="2" t="s">
        <v>20</v>
      </c>
      <c r="D96" s="3">
        <v>34737</v>
      </c>
      <c r="E96" s="3">
        <v>43987</v>
      </c>
      <c r="F96" s="2" t="s">
        <v>51</v>
      </c>
      <c r="G96" s="2" t="s">
        <v>93</v>
      </c>
      <c r="H96" s="2" t="s">
        <v>68</v>
      </c>
      <c r="I96" s="2" t="s">
        <v>82</v>
      </c>
      <c r="J96" s="4">
        <v>5990000</v>
      </c>
      <c r="K96" s="2">
        <v>3</v>
      </c>
      <c r="L96" s="2">
        <v>4</v>
      </c>
      <c r="M96" s="2">
        <v>7</v>
      </c>
      <c r="N96" s="2" t="s">
        <v>41</v>
      </c>
      <c r="O96" s="2" t="s">
        <v>35</v>
      </c>
      <c r="P96" s="2" t="s">
        <v>36</v>
      </c>
      <c r="Q96" s="3"/>
      <c r="R96" s="2"/>
    </row>
    <row r="97" spans="1:18" x14ac:dyDescent="0.3">
      <c r="A97" s="2" t="s">
        <v>253</v>
      </c>
      <c r="B97" s="2" t="s">
        <v>254</v>
      </c>
      <c r="C97" s="2" t="s">
        <v>31</v>
      </c>
      <c r="D97" s="3">
        <v>37204</v>
      </c>
      <c r="E97" s="3">
        <v>44624</v>
      </c>
      <c r="F97" s="2" t="s">
        <v>51</v>
      </c>
      <c r="G97" s="2" t="s">
        <v>93</v>
      </c>
      <c r="H97" s="2" t="s">
        <v>68</v>
      </c>
      <c r="I97" s="2" t="s">
        <v>34</v>
      </c>
      <c r="J97" s="4">
        <v>4440000</v>
      </c>
      <c r="K97" s="2">
        <v>4</v>
      </c>
      <c r="L97" s="2">
        <v>4</v>
      </c>
      <c r="M97" s="2">
        <v>8</v>
      </c>
      <c r="N97" s="2" t="s">
        <v>41</v>
      </c>
      <c r="O97" s="2" t="s">
        <v>53</v>
      </c>
      <c r="P97" s="2" t="s">
        <v>36</v>
      </c>
      <c r="Q97" s="3"/>
      <c r="R97" s="2"/>
    </row>
    <row r="98" spans="1:18" x14ac:dyDescent="0.3">
      <c r="A98" s="2" t="s">
        <v>255</v>
      </c>
      <c r="B98" s="2" t="s">
        <v>256</v>
      </c>
      <c r="C98" s="2" t="s">
        <v>20</v>
      </c>
      <c r="D98" s="3">
        <v>36875</v>
      </c>
      <c r="E98" s="3">
        <v>45999</v>
      </c>
      <c r="F98" s="2" t="s">
        <v>21</v>
      </c>
      <c r="G98" s="2" t="s">
        <v>22</v>
      </c>
      <c r="H98" s="2" t="s">
        <v>33</v>
      </c>
      <c r="I98" s="2" t="s">
        <v>44</v>
      </c>
      <c r="J98" s="4">
        <v>5220000</v>
      </c>
      <c r="K98" s="2">
        <v>4</v>
      </c>
      <c r="L98" s="2">
        <v>4</v>
      </c>
      <c r="M98" s="2">
        <v>34</v>
      </c>
      <c r="N98" s="2" t="s">
        <v>41</v>
      </c>
      <c r="O98" s="2" t="s">
        <v>53</v>
      </c>
      <c r="P98" s="2" t="s">
        <v>36</v>
      </c>
      <c r="Q98" s="3"/>
      <c r="R98" s="2"/>
    </row>
    <row r="99" spans="1:18" x14ac:dyDescent="0.3">
      <c r="A99" s="2" t="s">
        <v>257</v>
      </c>
      <c r="B99" s="2" t="s">
        <v>258</v>
      </c>
      <c r="C99" s="2" t="s">
        <v>20</v>
      </c>
      <c r="D99" s="3">
        <v>28120</v>
      </c>
      <c r="E99" s="3">
        <v>45519</v>
      </c>
      <c r="F99" s="2" t="s">
        <v>51</v>
      </c>
      <c r="G99" s="2" t="s">
        <v>52</v>
      </c>
      <c r="H99" s="2" t="s">
        <v>23</v>
      </c>
      <c r="I99" s="2" t="s">
        <v>24</v>
      </c>
      <c r="J99" s="4">
        <v>8070000</v>
      </c>
      <c r="K99" s="2">
        <v>2</v>
      </c>
      <c r="L99" s="2">
        <v>4</v>
      </c>
      <c r="M99" s="2">
        <v>31</v>
      </c>
      <c r="N99" s="2" t="s">
        <v>41</v>
      </c>
      <c r="O99" s="2" t="s">
        <v>26</v>
      </c>
      <c r="P99" s="2" t="s">
        <v>36</v>
      </c>
      <c r="Q99" s="3"/>
      <c r="R99" s="2"/>
    </row>
    <row r="100" spans="1:18" x14ac:dyDescent="0.3">
      <c r="A100" s="2" t="s">
        <v>259</v>
      </c>
      <c r="B100" s="2" t="s">
        <v>260</v>
      </c>
      <c r="C100" s="2" t="s">
        <v>31</v>
      </c>
      <c r="D100" s="3">
        <v>35199</v>
      </c>
      <c r="E100" s="3">
        <v>43659</v>
      </c>
      <c r="F100" s="2" t="s">
        <v>64</v>
      </c>
      <c r="G100" s="2" t="s">
        <v>73</v>
      </c>
      <c r="H100" s="2" t="s">
        <v>33</v>
      </c>
      <c r="I100" s="2" t="s">
        <v>24</v>
      </c>
      <c r="J100" s="4">
        <v>4780000</v>
      </c>
      <c r="K100" s="2">
        <v>5</v>
      </c>
      <c r="L100" s="2">
        <v>2</v>
      </c>
      <c r="M100" s="2">
        <v>11</v>
      </c>
      <c r="N100" s="2" t="s">
        <v>25</v>
      </c>
      <c r="O100" s="2" t="s">
        <v>35</v>
      </c>
      <c r="P100" s="2" t="s">
        <v>36</v>
      </c>
      <c r="Q100" s="3"/>
      <c r="R100" s="2"/>
    </row>
    <row r="101" spans="1:18" x14ac:dyDescent="0.3">
      <c r="A101" s="2" t="s">
        <v>261</v>
      </c>
      <c r="B101" s="2" t="s">
        <v>262</v>
      </c>
      <c r="C101" s="2" t="s">
        <v>20</v>
      </c>
      <c r="D101" s="3">
        <v>32973</v>
      </c>
      <c r="E101" s="3">
        <v>43658</v>
      </c>
      <c r="F101" s="2" t="s">
        <v>39</v>
      </c>
      <c r="G101" s="2" t="s">
        <v>40</v>
      </c>
      <c r="H101" s="2" t="s">
        <v>68</v>
      </c>
      <c r="I101" s="2" t="s">
        <v>24</v>
      </c>
      <c r="J101" s="4">
        <v>6070000</v>
      </c>
      <c r="K101" s="2">
        <v>4</v>
      </c>
      <c r="L101" s="2">
        <v>4</v>
      </c>
      <c r="M101" s="2">
        <v>27</v>
      </c>
      <c r="N101" s="2" t="s">
        <v>41</v>
      </c>
      <c r="O101" s="2" t="s">
        <v>26</v>
      </c>
      <c r="P101" s="2" t="s">
        <v>27</v>
      </c>
      <c r="Q101" s="3">
        <v>46021</v>
      </c>
      <c r="R101" s="2" t="s">
        <v>111</v>
      </c>
    </row>
    <row r="102" spans="1:18" x14ac:dyDescent="0.3">
      <c r="A102" s="2" t="s">
        <v>263</v>
      </c>
      <c r="B102" s="2" t="s">
        <v>202</v>
      </c>
      <c r="C102" s="2" t="s">
        <v>20</v>
      </c>
      <c r="D102" s="3">
        <v>35527</v>
      </c>
      <c r="E102" s="3">
        <v>45605</v>
      </c>
      <c r="F102" s="2" t="s">
        <v>64</v>
      </c>
      <c r="G102" s="2" t="s">
        <v>73</v>
      </c>
      <c r="H102" s="2" t="s">
        <v>33</v>
      </c>
      <c r="I102" s="2" t="s">
        <v>96</v>
      </c>
      <c r="J102" s="4">
        <v>3730000</v>
      </c>
      <c r="K102" s="2">
        <v>4</v>
      </c>
      <c r="L102" s="2">
        <v>3</v>
      </c>
      <c r="M102" s="2">
        <v>30</v>
      </c>
      <c r="N102" s="2" t="s">
        <v>88</v>
      </c>
      <c r="O102" s="2" t="s">
        <v>26</v>
      </c>
      <c r="P102" s="2" t="s">
        <v>36</v>
      </c>
      <c r="Q102" s="3"/>
      <c r="R102" s="2"/>
    </row>
    <row r="103" spans="1:18" x14ac:dyDescent="0.3">
      <c r="A103" s="2" t="s">
        <v>264</v>
      </c>
      <c r="B103" s="2" t="s">
        <v>265</v>
      </c>
      <c r="C103" s="2" t="s">
        <v>31</v>
      </c>
      <c r="D103" s="3">
        <v>35236</v>
      </c>
      <c r="E103" s="3">
        <v>42898</v>
      </c>
      <c r="F103" s="2" t="s">
        <v>64</v>
      </c>
      <c r="G103" s="2" t="s">
        <v>65</v>
      </c>
      <c r="H103" s="2" t="s">
        <v>68</v>
      </c>
      <c r="I103" s="2" t="s">
        <v>96</v>
      </c>
      <c r="J103" s="4">
        <v>5620000</v>
      </c>
      <c r="K103" s="2">
        <v>5</v>
      </c>
      <c r="L103" s="2">
        <v>5</v>
      </c>
      <c r="M103" s="2">
        <v>19</v>
      </c>
      <c r="N103" s="2" t="s">
        <v>25</v>
      </c>
      <c r="O103" s="2" t="s">
        <v>26</v>
      </c>
      <c r="P103" s="2" t="s">
        <v>36</v>
      </c>
      <c r="Q103" s="3"/>
      <c r="R103" s="2"/>
    </row>
    <row r="104" spans="1:18" x14ac:dyDescent="0.3">
      <c r="A104" s="2" t="s">
        <v>266</v>
      </c>
      <c r="B104" s="2" t="s">
        <v>267</v>
      </c>
      <c r="C104" s="2" t="s">
        <v>31</v>
      </c>
      <c r="D104" s="3">
        <v>36959</v>
      </c>
      <c r="E104" s="3">
        <v>44977</v>
      </c>
      <c r="F104" s="2" t="s">
        <v>51</v>
      </c>
      <c r="G104" s="2" t="s">
        <v>52</v>
      </c>
      <c r="H104" s="2" t="s">
        <v>33</v>
      </c>
      <c r="I104" s="2" t="s">
        <v>96</v>
      </c>
      <c r="J104" s="4">
        <v>2530000</v>
      </c>
      <c r="K104" s="2">
        <v>2</v>
      </c>
      <c r="L104" s="2">
        <v>4</v>
      </c>
      <c r="M104" s="2">
        <v>11</v>
      </c>
      <c r="N104" s="2" t="s">
        <v>41</v>
      </c>
      <c r="O104" s="2" t="s">
        <v>53</v>
      </c>
      <c r="P104" s="2" t="s">
        <v>36</v>
      </c>
      <c r="Q104" s="3"/>
      <c r="R104" s="2"/>
    </row>
    <row r="105" spans="1:18" x14ac:dyDescent="0.3">
      <c r="A105" s="2" t="s">
        <v>268</v>
      </c>
      <c r="B105" s="2" t="s">
        <v>269</v>
      </c>
      <c r="C105" s="2" t="s">
        <v>20</v>
      </c>
      <c r="D105" s="3">
        <v>32424</v>
      </c>
      <c r="E105" s="3">
        <v>43541</v>
      </c>
      <c r="F105" s="2" t="s">
        <v>114</v>
      </c>
      <c r="G105" s="2" t="s">
        <v>196</v>
      </c>
      <c r="H105" s="2" t="s">
        <v>68</v>
      </c>
      <c r="I105" s="2" t="s">
        <v>96</v>
      </c>
      <c r="J105" s="4">
        <v>7630000</v>
      </c>
      <c r="K105" s="2">
        <v>3</v>
      </c>
      <c r="L105" s="2">
        <v>2</v>
      </c>
      <c r="M105" s="2">
        <v>13</v>
      </c>
      <c r="N105" s="2" t="s">
        <v>41</v>
      </c>
      <c r="O105" s="2" t="s">
        <v>35</v>
      </c>
      <c r="P105" s="2" t="s">
        <v>36</v>
      </c>
      <c r="Q105" s="3"/>
      <c r="R105" s="2"/>
    </row>
    <row r="106" spans="1:18" x14ac:dyDescent="0.3">
      <c r="A106" s="2" t="s">
        <v>270</v>
      </c>
      <c r="B106" s="2" t="s">
        <v>271</v>
      </c>
      <c r="C106" s="2" t="s">
        <v>31</v>
      </c>
      <c r="D106" s="3">
        <v>33567</v>
      </c>
      <c r="E106" s="3">
        <v>44145</v>
      </c>
      <c r="F106" s="2" t="s">
        <v>51</v>
      </c>
      <c r="G106" s="2" t="s">
        <v>93</v>
      </c>
      <c r="H106" s="2" t="s">
        <v>33</v>
      </c>
      <c r="I106" s="2" t="s">
        <v>24</v>
      </c>
      <c r="J106" s="4">
        <v>2410000</v>
      </c>
      <c r="K106" s="2">
        <v>3</v>
      </c>
      <c r="L106" s="2">
        <v>4</v>
      </c>
      <c r="M106" s="2">
        <v>9</v>
      </c>
      <c r="N106" s="2" t="s">
        <v>25</v>
      </c>
      <c r="O106" s="2" t="s">
        <v>26</v>
      </c>
      <c r="P106" s="2" t="s">
        <v>36</v>
      </c>
      <c r="Q106" s="3"/>
      <c r="R106" s="2"/>
    </row>
    <row r="107" spans="1:18" x14ac:dyDescent="0.3">
      <c r="A107" s="2" t="s">
        <v>272</v>
      </c>
      <c r="B107" s="2" t="s">
        <v>273</v>
      </c>
      <c r="C107" s="2" t="s">
        <v>20</v>
      </c>
      <c r="D107" s="3">
        <v>36015</v>
      </c>
      <c r="E107" s="3">
        <v>46107</v>
      </c>
      <c r="F107" s="2" t="s">
        <v>51</v>
      </c>
      <c r="G107" s="2" t="s">
        <v>93</v>
      </c>
      <c r="H107" s="2" t="s">
        <v>68</v>
      </c>
      <c r="I107" s="2" t="s">
        <v>96</v>
      </c>
      <c r="J107" s="4">
        <v>6640000</v>
      </c>
      <c r="K107" s="2">
        <v>2</v>
      </c>
      <c r="L107" s="2">
        <v>4</v>
      </c>
      <c r="M107" s="2">
        <v>19</v>
      </c>
      <c r="N107" s="2" t="s">
        <v>88</v>
      </c>
      <c r="O107" s="2" t="s">
        <v>35</v>
      </c>
      <c r="P107" s="2" t="s">
        <v>36</v>
      </c>
      <c r="Q107" s="3"/>
      <c r="R107" s="2"/>
    </row>
    <row r="108" spans="1:18" x14ac:dyDescent="0.3">
      <c r="A108" s="2" t="s">
        <v>274</v>
      </c>
      <c r="B108" s="2" t="s">
        <v>275</v>
      </c>
      <c r="C108" s="2" t="s">
        <v>20</v>
      </c>
      <c r="D108" s="3">
        <v>29893</v>
      </c>
      <c r="E108" s="3">
        <v>43786</v>
      </c>
      <c r="F108" s="2" t="s">
        <v>21</v>
      </c>
      <c r="G108" s="2" t="s">
        <v>103</v>
      </c>
      <c r="H108" s="2" t="s">
        <v>33</v>
      </c>
      <c r="I108" s="2" t="s">
        <v>24</v>
      </c>
      <c r="J108" s="4">
        <v>4520000</v>
      </c>
      <c r="K108" s="2">
        <v>3</v>
      </c>
      <c r="L108" s="2">
        <v>3</v>
      </c>
      <c r="M108" s="2">
        <v>3</v>
      </c>
      <c r="N108" s="2" t="s">
        <v>25</v>
      </c>
      <c r="O108" s="2" t="s">
        <v>53</v>
      </c>
      <c r="P108" s="2" t="s">
        <v>27</v>
      </c>
      <c r="Q108" s="3">
        <v>46120</v>
      </c>
      <c r="R108" s="2" t="s">
        <v>155</v>
      </c>
    </row>
    <row r="109" spans="1:18" x14ac:dyDescent="0.3">
      <c r="A109" s="2" t="s">
        <v>276</v>
      </c>
      <c r="B109" s="2" t="s">
        <v>277</v>
      </c>
      <c r="C109" s="2" t="s">
        <v>20</v>
      </c>
      <c r="D109" s="3">
        <v>34269</v>
      </c>
      <c r="E109" s="3">
        <v>43133</v>
      </c>
      <c r="F109" s="2" t="s">
        <v>47</v>
      </c>
      <c r="G109" s="2" t="s">
        <v>90</v>
      </c>
      <c r="H109" s="2" t="s">
        <v>33</v>
      </c>
      <c r="I109" s="2" t="s">
        <v>44</v>
      </c>
      <c r="J109" s="4">
        <v>4110000</v>
      </c>
      <c r="K109" s="2">
        <v>3</v>
      </c>
      <c r="L109" s="2">
        <v>2</v>
      </c>
      <c r="M109" s="2">
        <v>14</v>
      </c>
      <c r="N109" s="2" t="s">
        <v>41</v>
      </c>
      <c r="O109" s="2" t="s">
        <v>53</v>
      </c>
      <c r="P109" s="2" t="s">
        <v>36</v>
      </c>
      <c r="Q109" s="3"/>
      <c r="R109" s="2"/>
    </row>
    <row r="110" spans="1:18" x14ac:dyDescent="0.3">
      <c r="A110" s="2" t="s">
        <v>278</v>
      </c>
      <c r="B110" s="2" t="s">
        <v>279</v>
      </c>
      <c r="C110" s="2" t="s">
        <v>20</v>
      </c>
      <c r="D110" s="3">
        <v>31212</v>
      </c>
      <c r="E110" s="3">
        <v>43059</v>
      </c>
      <c r="F110" s="2" t="s">
        <v>51</v>
      </c>
      <c r="G110" s="2" t="s">
        <v>93</v>
      </c>
      <c r="H110" s="2" t="s">
        <v>23</v>
      </c>
      <c r="I110" s="2" t="s">
        <v>24</v>
      </c>
      <c r="J110" s="4">
        <v>9390000</v>
      </c>
      <c r="K110" s="2">
        <v>5</v>
      </c>
      <c r="L110" s="2">
        <v>1</v>
      </c>
      <c r="M110" s="2">
        <v>27</v>
      </c>
      <c r="N110" s="2" t="s">
        <v>41</v>
      </c>
      <c r="O110" s="2" t="s">
        <v>26</v>
      </c>
      <c r="P110" s="2" t="s">
        <v>36</v>
      </c>
      <c r="Q110" s="3"/>
      <c r="R110" s="2"/>
    </row>
    <row r="111" spans="1:18" x14ac:dyDescent="0.3">
      <c r="A111" s="2" t="s">
        <v>280</v>
      </c>
      <c r="B111" s="2" t="s">
        <v>281</v>
      </c>
      <c r="C111" s="2" t="s">
        <v>31</v>
      </c>
      <c r="D111" s="3">
        <v>32634</v>
      </c>
      <c r="E111" s="3">
        <v>43714</v>
      </c>
      <c r="F111" s="2" t="s">
        <v>21</v>
      </c>
      <c r="G111" s="2" t="s">
        <v>22</v>
      </c>
      <c r="H111" s="2" t="s">
        <v>23</v>
      </c>
      <c r="I111" s="2" t="s">
        <v>24</v>
      </c>
      <c r="J111" s="4">
        <v>18800000</v>
      </c>
      <c r="K111" s="2">
        <v>2</v>
      </c>
      <c r="L111" s="2">
        <v>2</v>
      </c>
      <c r="M111" s="2">
        <v>0</v>
      </c>
      <c r="N111" s="2" t="s">
        <v>25</v>
      </c>
      <c r="O111" s="2" t="s">
        <v>35</v>
      </c>
      <c r="P111" s="2" t="s">
        <v>36</v>
      </c>
      <c r="Q111" s="3"/>
      <c r="R111" s="2"/>
    </row>
    <row r="112" spans="1:18" x14ac:dyDescent="0.3">
      <c r="A112" s="2" t="s">
        <v>282</v>
      </c>
      <c r="B112" s="2" t="s">
        <v>283</v>
      </c>
      <c r="C112" s="2" t="s">
        <v>31</v>
      </c>
      <c r="D112" s="3">
        <v>34629</v>
      </c>
      <c r="E112" s="3">
        <v>43638</v>
      </c>
      <c r="F112" s="2" t="s">
        <v>114</v>
      </c>
      <c r="G112" s="2" t="s">
        <v>115</v>
      </c>
      <c r="H112" s="2" t="s">
        <v>68</v>
      </c>
      <c r="I112" s="2" t="s">
        <v>24</v>
      </c>
      <c r="J112" s="4">
        <v>5160000</v>
      </c>
      <c r="K112" s="2">
        <v>4</v>
      </c>
      <c r="L112" s="2">
        <v>3</v>
      </c>
      <c r="M112" s="2">
        <v>18</v>
      </c>
      <c r="N112" s="2" t="s">
        <v>41</v>
      </c>
      <c r="O112" s="2" t="s">
        <v>26</v>
      </c>
      <c r="P112" s="2" t="s">
        <v>36</v>
      </c>
      <c r="Q112" s="3"/>
      <c r="R112" s="2"/>
    </row>
    <row r="113" spans="1:18" x14ac:dyDescent="0.3">
      <c r="A113" s="2" t="s">
        <v>284</v>
      </c>
      <c r="B113" s="2" t="s">
        <v>285</v>
      </c>
      <c r="C113" s="2" t="s">
        <v>20</v>
      </c>
      <c r="D113" s="3">
        <v>38074</v>
      </c>
      <c r="E113" s="3">
        <v>46171</v>
      </c>
      <c r="F113" s="2" t="s">
        <v>114</v>
      </c>
      <c r="G113" s="2" t="s">
        <v>115</v>
      </c>
      <c r="H113" s="2" t="s">
        <v>33</v>
      </c>
      <c r="I113" s="2" t="s">
        <v>96</v>
      </c>
      <c r="J113" s="4">
        <v>3360000</v>
      </c>
      <c r="K113" s="2">
        <v>3</v>
      </c>
      <c r="L113" s="2">
        <v>3</v>
      </c>
      <c r="M113" s="2">
        <v>30</v>
      </c>
      <c r="N113" s="2" t="s">
        <v>88</v>
      </c>
      <c r="O113" s="2" t="s">
        <v>53</v>
      </c>
      <c r="P113" s="2" t="s">
        <v>36</v>
      </c>
      <c r="Q113" s="3"/>
      <c r="R113" s="2"/>
    </row>
    <row r="114" spans="1:18" x14ac:dyDescent="0.3">
      <c r="A114" s="2" t="s">
        <v>286</v>
      </c>
      <c r="B114" s="2" t="s">
        <v>287</v>
      </c>
      <c r="C114" s="2" t="s">
        <v>31</v>
      </c>
      <c r="D114" s="3">
        <v>35241</v>
      </c>
      <c r="E114" s="3">
        <v>46032</v>
      </c>
      <c r="F114" s="2" t="s">
        <v>114</v>
      </c>
      <c r="G114" s="2" t="s">
        <v>150</v>
      </c>
      <c r="H114" s="2" t="s">
        <v>68</v>
      </c>
      <c r="I114" s="2" t="s">
        <v>34</v>
      </c>
      <c r="J114" s="4">
        <v>5870000</v>
      </c>
      <c r="K114" s="2">
        <v>2</v>
      </c>
      <c r="L114" s="2">
        <v>4</v>
      </c>
      <c r="M114" s="2">
        <v>7</v>
      </c>
      <c r="N114" s="2" t="s">
        <v>41</v>
      </c>
      <c r="O114" s="2" t="s">
        <v>35</v>
      </c>
      <c r="P114" s="2" t="s">
        <v>36</v>
      </c>
      <c r="Q114" s="3"/>
      <c r="R114" s="2"/>
    </row>
    <row r="115" spans="1:18" x14ac:dyDescent="0.3">
      <c r="A115" s="2" t="s">
        <v>288</v>
      </c>
      <c r="B115" s="2" t="s">
        <v>179</v>
      </c>
      <c r="C115" s="2" t="s">
        <v>31</v>
      </c>
      <c r="D115" s="3">
        <v>33742</v>
      </c>
      <c r="E115" s="3">
        <v>46073</v>
      </c>
      <c r="F115" s="2" t="s">
        <v>51</v>
      </c>
      <c r="G115" s="2" t="s">
        <v>93</v>
      </c>
      <c r="H115" s="2" t="s">
        <v>33</v>
      </c>
      <c r="I115" s="2" t="s">
        <v>82</v>
      </c>
      <c r="J115" s="4">
        <v>3580000</v>
      </c>
      <c r="K115" s="2"/>
      <c r="L115" s="2">
        <v>4</v>
      </c>
      <c r="M115" s="2">
        <v>26</v>
      </c>
      <c r="N115" s="2" t="s">
        <v>25</v>
      </c>
      <c r="O115" s="2" t="s">
        <v>35</v>
      </c>
      <c r="P115" s="2" t="s">
        <v>36</v>
      </c>
      <c r="Q115" s="3"/>
      <c r="R115" s="2"/>
    </row>
    <row r="116" spans="1:18" x14ac:dyDescent="0.3">
      <c r="A116" s="2" t="s">
        <v>289</v>
      </c>
      <c r="B116" s="2" t="s">
        <v>290</v>
      </c>
      <c r="C116" s="2" t="s">
        <v>31</v>
      </c>
      <c r="D116" s="3">
        <v>34989</v>
      </c>
      <c r="E116" s="3">
        <v>44602</v>
      </c>
      <c r="F116" s="2" t="s">
        <v>114</v>
      </c>
      <c r="G116" s="2" t="s">
        <v>115</v>
      </c>
      <c r="H116" s="2" t="s">
        <v>33</v>
      </c>
      <c r="I116" s="2" t="s">
        <v>24</v>
      </c>
      <c r="J116" s="4">
        <v>2950000</v>
      </c>
      <c r="K116" s="2">
        <v>4</v>
      </c>
      <c r="L116" s="2">
        <v>5</v>
      </c>
      <c r="M116" s="2">
        <v>25</v>
      </c>
      <c r="N116" s="2" t="s">
        <v>25</v>
      </c>
      <c r="O116" s="2" t="s">
        <v>53</v>
      </c>
      <c r="P116" s="2" t="s">
        <v>36</v>
      </c>
      <c r="Q116" s="3"/>
      <c r="R116" s="2"/>
    </row>
    <row r="117" spans="1:18" x14ac:dyDescent="0.3">
      <c r="A117" s="2" t="s">
        <v>291</v>
      </c>
      <c r="B117" s="2" t="s">
        <v>292</v>
      </c>
      <c r="C117" s="2" t="s">
        <v>31</v>
      </c>
      <c r="D117" s="3">
        <v>38597</v>
      </c>
      <c r="E117" s="3">
        <v>46089</v>
      </c>
      <c r="F117" s="2" t="s">
        <v>21</v>
      </c>
      <c r="G117" s="2" t="s">
        <v>22</v>
      </c>
      <c r="H117" s="2" t="s">
        <v>68</v>
      </c>
      <c r="I117" s="2" t="s">
        <v>96</v>
      </c>
      <c r="J117" s="4">
        <v>8880000</v>
      </c>
      <c r="K117" s="2">
        <v>3</v>
      </c>
      <c r="L117" s="2">
        <v>3</v>
      </c>
      <c r="M117" s="2">
        <v>21</v>
      </c>
      <c r="N117" s="2" t="s">
        <v>88</v>
      </c>
      <c r="O117" s="2" t="s">
        <v>26</v>
      </c>
      <c r="P117" s="2" t="s">
        <v>36</v>
      </c>
      <c r="Q117" s="3"/>
      <c r="R117" s="2"/>
    </row>
    <row r="118" spans="1:18" x14ac:dyDescent="0.3">
      <c r="A118" s="2" t="s">
        <v>293</v>
      </c>
      <c r="B118" s="2" t="s">
        <v>294</v>
      </c>
      <c r="C118" s="2" t="s">
        <v>31</v>
      </c>
      <c r="D118" s="3">
        <v>31936</v>
      </c>
      <c r="E118" s="3">
        <v>44918</v>
      </c>
      <c r="F118" s="2" t="s">
        <v>51</v>
      </c>
      <c r="G118" s="2" t="s">
        <v>93</v>
      </c>
      <c r="H118" s="2" t="s">
        <v>33</v>
      </c>
      <c r="I118" s="2" t="s">
        <v>24</v>
      </c>
      <c r="J118" s="4">
        <v>2510000</v>
      </c>
      <c r="K118" s="2">
        <v>3</v>
      </c>
      <c r="L118" s="2">
        <v>3</v>
      </c>
      <c r="M118" s="2">
        <v>24</v>
      </c>
      <c r="N118" s="2" t="s">
        <v>41</v>
      </c>
      <c r="O118" s="2" t="s">
        <v>53</v>
      </c>
      <c r="P118" s="2" t="s">
        <v>36</v>
      </c>
      <c r="Q118" s="3"/>
      <c r="R118" s="2"/>
    </row>
    <row r="119" spans="1:18" x14ac:dyDescent="0.3">
      <c r="A119" s="2" t="s">
        <v>295</v>
      </c>
      <c r="B119" s="2" t="s">
        <v>296</v>
      </c>
      <c r="C119" s="2" t="s">
        <v>20</v>
      </c>
      <c r="D119" s="3">
        <v>32144</v>
      </c>
      <c r="E119" s="3">
        <v>45213</v>
      </c>
      <c r="F119" s="2" t="s">
        <v>51</v>
      </c>
      <c r="G119" s="2" t="s">
        <v>52</v>
      </c>
      <c r="H119" s="2" t="s">
        <v>23</v>
      </c>
      <c r="I119" s="2" t="s">
        <v>24</v>
      </c>
      <c r="J119" s="4">
        <v>11020000</v>
      </c>
      <c r="K119" s="2">
        <v>4</v>
      </c>
      <c r="L119" s="2">
        <v>1</v>
      </c>
      <c r="M119" s="2">
        <v>1</v>
      </c>
      <c r="N119" s="2" t="s">
        <v>41</v>
      </c>
      <c r="O119" s="2" t="s">
        <v>53</v>
      </c>
      <c r="P119" s="2" t="s">
        <v>36</v>
      </c>
      <c r="Q119" s="3"/>
      <c r="R119" s="2"/>
    </row>
    <row r="120" spans="1:18" x14ac:dyDescent="0.3">
      <c r="A120" s="2" t="s">
        <v>297</v>
      </c>
      <c r="B120" s="2" t="s">
        <v>298</v>
      </c>
      <c r="C120" s="2" t="s">
        <v>20</v>
      </c>
      <c r="D120" s="3">
        <v>35084</v>
      </c>
      <c r="E120" s="3">
        <v>45212</v>
      </c>
      <c r="F120" s="2" t="s">
        <v>51</v>
      </c>
      <c r="G120" s="2" t="s">
        <v>52</v>
      </c>
      <c r="H120" s="2" t="s">
        <v>33</v>
      </c>
      <c r="I120" s="2" t="s">
        <v>24</v>
      </c>
      <c r="J120" s="4">
        <v>3890000</v>
      </c>
      <c r="K120" s="2">
        <v>3</v>
      </c>
      <c r="L120" s="2">
        <v>3</v>
      </c>
      <c r="M120" s="2">
        <v>20</v>
      </c>
      <c r="N120" s="2" t="s">
        <v>88</v>
      </c>
      <c r="O120" s="2" t="s">
        <v>26</v>
      </c>
      <c r="P120" s="2" t="s">
        <v>36</v>
      </c>
      <c r="Q120" s="3"/>
      <c r="R120" s="2"/>
    </row>
    <row r="121" spans="1:18" x14ac:dyDescent="0.3">
      <c r="A121" s="2" t="s">
        <v>299</v>
      </c>
      <c r="B121" s="2" t="s">
        <v>161</v>
      </c>
      <c r="C121" s="2" t="s">
        <v>20</v>
      </c>
      <c r="D121" s="3">
        <v>37208</v>
      </c>
      <c r="E121" s="3">
        <v>46148</v>
      </c>
      <c r="F121" s="2" t="s">
        <v>64</v>
      </c>
      <c r="G121" s="2" t="s">
        <v>79</v>
      </c>
      <c r="H121" s="2" t="s">
        <v>33</v>
      </c>
      <c r="I121" s="2" t="s">
        <v>34</v>
      </c>
      <c r="J121" s="4">
        <v>3610000</v>
      </c>
      <c r="K121" s="2">
        <v>3</v>
      </c>
      <c r="L121" s="2">
        <v>4</v>
      </c>
      <c r="M121" s="2">
        <v>3</v>
      </c>
      <c r="N121" s="2" t="s">
        <v>41</v>
      </c>
      <c r="O121" s="2" t="s">
        <v>26</v>
      </c>
      <c r="P121" s="2" t="s">
        <v>36</v>
      </c>
      <c r="Q121" s="3"/>
      <c r="R121" s="2"/>
    </row>
    <row r="122" spans="1:18" x14ac:dyDescent="0.3">
      <c r="A122" s="2" t="s">
        <v>300</v>
      </c>
      <c r="B122" s="2" t="s">
        <v>301</v>
      </c>
      <c r="C122" s="2" t="s">
        <v>20</v>
      </c>
      <c r="D122" s="3">
        <v>37357</v>
      </c>
      <c r="E122" s="3">
        <v>46144</v>
      </c>
      <c r="F122" s="2" t="s">
        <v>56</v>
      </c>
      <c r="G122" s="2" t="s">
        <v>60</v>
      </c>
      <c r="H122" s="2" t="s">
        <v>33</v>
      </c>
      <c r="I122" s="2" t="s">
        <v>24</v>
      </c>
      <c r="J122" s="4">
        <v>3780000</v>
      </c>
      <c r="K122" s="2">
        <v>2</v>
      </c>
      <c r="L122" s="2">
        <v>1</v>
      </c>
      <c r="M122" s="2">
        <v>27</v>
      </c>
      <c r="N122" s="2" t="s">
        <v>25</v>
      </c>
      <c r="O122" s="2" t="s">
        <v>26</v>
      </c>
      <c r="P122" s="2" t="s">
        <v>36</v>
      </c>
      <c r="Q122" s="3"/>
      <c r="R122" s="2"/>
    </row>
    <row r="123" spans="1:18" x14ac:dyDescent="0.3">
      <c r="A123" s="2" t="s">
        <v>302</v>
      </c>
      <c r="B123" s="2" t="s">
        <v>161</v>
      </c>
      <c r="C123" s="2" t="s">
        <v>20</v>
      </c>
      <c r="D123" s="3">
        <v>37142</v>
      </c>
      <c r="E123" s="3">
        <v>45873</v>
      </c>
      <c r="F123" s="2" t="s">
        <v>51</v>
      </c>
      <c r="G123" s="2" t="s">
        <v>93</v>
      </c>
      <c r="H123" s="2" t="s">
        <v>68</v>
      </c>
      <c r="I123" s="2" t="s">
        <v>82</v>
      </c>
      <c r="J123" s="4">
        <v>4790000</v>
      </c>
      <c r="K123" s="2">
        <v>3</v>
      </c>
      <c r="L123" s="2">
        <v>4</v>
      </c>
      <c r="M123" s="2">
        <v>29</v>
      </c>
      <c r="N123" s="2" t="s">
        <v>25</v>
      </c>
      <c r="O123" s="2" t="s">
        <v>26</v>
      </c>
      <c r="P123" s="2" t="s">
        <v>36</v>
      </c>
      <c r="Q123" s="3"/>
      <c r="R123" s="2"/>
    </row>
    <row r="124" spans="1:18" x14ac:dyDescent="0.3">
      <c r="A124" s="2" t="s">
        <v>303</v>
      </c>
      <c r="B124" s="2" t="s">
        <v>304</v>
      </c>
      <c r="C124" s="2" t="s">
        <v>20</v>
      </c>
      <c r="D124" s="3">
        <v>36865</v>
      </c>
      <c r="E124" s="3">
        <v>45954</v>
      </c>
      <c r="F124" s="2" t="s">
        <v>21</v>
      </c>
      <c r="G124" s="2" t="s">
        <v>22</v>
      </c>
      <c r="H124" s="2" t="s">
        <v>33</v>
      </c>
      <c r="I124" s="2" t="s">
        <v>44</v>
      </c>
      <c r="J124" s="4">
        <v>5840000</v>
      </c>
      <c r="K124" s="2">
        <v>3</v>
      </c>
      <c r="L124" s="2">
        <v>5</v>
      </c>
      <c r="M124" s="2">
        <v>1</v>
      </c>
      <c r="N124" s="2" t="s">
        <v>25</v>
      </c>
      <c r="O124" s="2" t="s">
        <v>53</v>
      </c>
      <c r="P124" s="2" t="s">
        <v>36</v>
      </c>
      <c r="Q124" s="3"/>
      <c r="R124" s="2"/>
    </row>
    <row r="125" spans="1:18" x14ac:dyDescent="0.3">
      <c r="A125" s="2" t="s">
        <v>305</v>
      </c>
      <c r="B125" s="2" t="s">
        <v>223</v>
      </c>
      <c r="C125" s="2" t="s">
        <v>31</v>
      </c>
      <c r="D125" s="3">
        <v>37237</v>
      </c>
      <c r="E125" s="3">
        <v>45803</v>
      </c>
      <c r="F125" s="2" t="s">
        <v>306</v>
      </c>
      <c r="G125" s="2" t="s">
        <v>127</v>
      </c>
      <c r="H125" s="2" t="s">
        <v>68</v>
      </c>
      <c r="I125" s="2" t="s">
        <v>24</v>
      </c>
      <c r="J125" s="4">
        <v>8160000</v>
      </c>
      <c r="K125" s="2">
        <v>1</v>
      </c>
      <c r="L125" s="2">
        <v>4</v>
      </c>
      <c r="M125" s="2">
        <v>15</v>
      </c>
      <c r="N125" s="2" t="s">
        <v>88</v>
      </c>
      <c r="O125" s="2" t="s">
        <v>26</v>
      </c>
      <c r="P125" s="2" t="s">
        <v>36</v>
      </c>
      <c r="Q125" s="3"/>
      <c r="R125" s="2"/>
    </row>
    <row r="126" spans="1:18" x14ac:dyDescent="0.3">
      <c r="A126" s="2" t="s">
        <v>307</v>
      </c>
      <c r="B126" s="2" t="s">
        <v>308</v>
      </c>
      <c r="C126" s="2" t="s">
        <v>31</v>
      </c>
      <c r="D126" s="3">
        <v>35592</v>
      </c>
      <c r="E126" s="3">
        <v>44192</v>
      </c>
      <c r="F126" s="2" t="s">
        <v>51</v>
      </c>
      <c r="G126" s="2" t="s">
        <v>93</v>
      </c>
      <c r="H126" s="2" t="s">
        <v>23</v>
      </c>
      <c r="I126" s="2" t="s">
        <v>24</v>
      </c>
      <c r="J126" s="4">
        <v>10050000</v>
      </c>
      <c r="K126" s="2">
        <v>5</v>
      </c>
      <c r="L126" s="2">
        <v>1</v>
      </c>
      <c r="M126" s="2">
        <v>17</v>
      </c>
      <c r="N126" s="2" t="s">
        <v>41</v>
      </c>
      <c r="O126" s="2" t="s">
        <v>26</v>
      </c>
      <c r="P126" s="2" t="s">
        <v>36</v>
      </c>
      <c r="Q126" s="3"/>
      <c r="R126" s="2"/>
    </row>
    <row r="127" spans="1:18" x14ac:dyDescent="0.3">
      <c r="A127" s="2" t="s">
        <v>309</v>
      </c>
      <c r="B127" s="2" t="s">
        <v>95</v>
      </c>
      <c r="C127" s="2" t="s">
        <v>20</v>
      </c>
      <c r="D127" s="3">
        <v>31314</v>
      </c>
      <c r="E127" s="3">
        <v>42629</v>
      </c>
      <c r="F127" s="2" t="s">
        <v>114</v>
      </c>
      <c r="G127" s="2" t="s">
        <v>150</v>
      </c>
      <c r="H127" s="2" t="s">
        <v>68</v>
      </c>
      <c r="I127" s="2" t="s">
        <v>104</v>
      </c>
      <c r="J127" s="4">
        <v>7080000</v>
      </c>
      <c r="K127" s="2">
        <v>3</v>
      </c>
      <c r="L127" s="2">
        <v>1</v>
      </c>
      <c r="M127" s="2">
        <v>12</v>
      </c>
      <c r="N127" s="2" t="s">
        <v>41</v>
      </c>
      <c r="O127" s="2" t="s">
        <v>53</v>
      </c>
      <c r="P127" s="2" t="s">
        <v>27</v>
      </c>
      <c r="Q127" s="3">
        <v>46041</v>
      </c>
      <c r="R127" s="2" t="s">
        <v>61</v>
      </c>
    </row>
    <row r="128" spans="1:18" x14ac:dyDescent="0.3">
      <c r="A128" s="2" t="s">
        <v>310</v>
      </c>
      <c r="B128" s="2" t="s">
        <v>311</v>
      </c>
      <c r="C128" s="2" t="s">
        <v>31</v>
      </c>
      <c r="D128" s="3">
        <v>37183</v>
      </c>
      <c r="E128" s="3">
        <v>44909</v>
      </c>
      <c r="F128" s="2" t="s">
        <v>21</v>
      </c>
      <c r="G128" s="2" t="s">
        <v>32</v>
      </c>
      <c r="H128" s="2" t="s">
        <v>68</v>
      </c>
      <c r="I128" s="2" t="s">
        <v>44</v>
      </c>
      <c r="J128" s="4">
        <v>9480000</v>
      </c>
      <c r="K128" s="2">
        <v>3</v>
      </c>
      <c r="L128" s="2">
        <v>1</v>
      </c>
      <c r="M128" s="2">
        <v>12</v>
      </c>
      <c r="N128" s="2" t="s">
        <v>41</v>
      </c>
      <c r="O128" s="2" t="s">
        <v>53</v>
      </c>
      <c r="P128" s="2" t="s">
        <v>27</v>
      </c>
      <c r="Q128" s="3">
        <v>45959</v>
      </c>
      <c r="R128" s="2" t="s">
        <v>61</v>
      </c>
    </row>
    <row r="129" spans="1:18" x14ac:dyDescent="0.3">
      <c r="A129" s="2" t="s">
        <v>312</v>
      </c>
      <c r="B129" s="2" t="s">
        <v>313</v>
      </c>
      <c r="C129" s="2" t="s">
        <v>20</v>
      </c>
      <c r="D129" s="3">
        <v>38824</v>
      </c>
      <c r="E129" s="3">
        <v>46230</v>
      </c>
      <c r="F129" s="2" t="s">
        <v>51</v>
      </c>
      <c r="G129" s="2" t="s">
        <v>52</v>
      </c>
      <c r="H129" s="2" t="s">
        <v>33</v>
      </c>
      <c r="I129" s="2" t="s">
        <v>24</v>
      </c>
      <c r="J129" s="4">
        <v>3370000</v>
      </c>
      <c r="K129" s="2">
        <v>3</v>
      </c>
      <c r="L129" s="2">
        <v>5</v>
      </c>
      <c r="M129" s="2">
        <v>19</v>
      </c>
      <c r="N129" s="2" t="s">
        <v>25</v>
      </c>
      <c r="O129" s="2" t="s">
        <v>35</v>
      </c>
      <c r="P129" s="2" t="s">
        <v>36</v>
      </c>
      <c r="Q129" s="3"/>
      <c r="R129" s="2"/>
    </row>
    <row r="130" spans="1:18" x14ac:dyDescent="0.3">
      <c r="A130" s="2" t="s">
        <v>314</v>
      </c>
      <c r="B130" s="2" t="s">
        <v>244</v>
      </c>
      <c r="C130" s="2" t="s">
        <v>31</v>
      </c>
      <c r="D130" s="3">
        <v>32448</v>
      </c>
      <c r="E130" s="3">
        <v>45035</v>
      </c>
      <c r="F130" s="2" t="s">
        <v>64</v>
      </c>
      <c r="G130" s="2" t="s">
        <v>65</v>
      </c>
      <c r="H130" s="2" t="s">
        <v>68</v>
      </c>
      <c r="I130" s="2" t="s">
        <v>24</v>
      </c>
      <c r="J130" s="4">
        <v>8550000</v>
      </c>
      <c r="K130" s="2">
        <v>5</v>
      </c>
      <c r="L130" s="2">
        <v>3</v>
      </c>
      <c r="M130" s="2">
        <v>2</v>
      </c>
      <c r="N130" s="2" t="s">
        <v>25</v>
      </c>
      <c r="O130" s="2" t="s">
        <v>35</v>
      </c>
      <c r="P130" s="2" t="s">
        <v>36</v>
      </c>
      <c r="Q130" s="3"/>
      <c r="R130" s="2"/>
    </row>
    <row r="131" spans="1:18" x14ac:dyDescent="0.3">
      <c r="A131" s="2" t="s">
        <v>315</v>
      </c>
      <c r="B131" s="2" t="s">
        <v>316</v>
      </c>
      <c r="C131" s="2" t="s">
        <v>31</v>
      </c>
      <c r="D131" s="3">
        <v>28729</v>
      </c>
      <c r="E131" s="3">
        <v>42809</v>
      </c>
      <c r="F131" s="2" t="s">
        <v>21</v>
      </c>
      <c r="G131" s="2" t="s">
        <v>103</v>
      </c>
      <c r="H131" s="2" t="s">
        <v>23</v>
      </c>
      <c r="I131" s="2" t="s">
        <v>24</v>
      </c>
      <c r="J131" s="4">
        <v>14100000</v>
      </c>
      <c r="K131" s="2">
        <v>4</v>
      </c>
      <c r="L131" s="2">
        <v>3</v>
      </c>
      <c r="M131" s="2">
        <v>23</v>
      </c>
      <c r="N131" s="2" t="s">
        <v>25</v>
      </c>
      <c r="O131" s="2"/>
      <c r="P131" s="2" t="s">
        <v>36</v>
      </c>
      <c r="Q131" s="3"/>
      <c r="R131" s="2"/>
    </row>
    <row r="132" spans="1:18" x14ac:dyDescent="0.3">
      <c r="A132" s="2" t="s">
        <v>317</v>
      </c>
      <c r="B132" s="2" t="s">
        <v>318</v>
      </c>
      <c r="C132" s="2" t="s">
        <v>31</v>
      </c>
      <c r="D132" s="3">
        <v>32875</v>
      </c>
      <c r="E132" s="3">
        <v>46160</v>
      </c>
      <c r="F132" s="2" t="s">
        <v>64</v>
      </c>
      <c r="G132" s="2" t="s">
        <v>65</v>
      </c>
      <c r="H132" s="2" t="s">
        <v>68</v>
      </c>
      <c r="I132" s="2" t="s">
        <v>24</v>
      </c>
      <c r="J132" s="4">
        <v>7040000</v>
      </c>
      <c r="K132" s="2">
        <v>4</v>
      </c>
      <c r="L132" s="2">
        <v>2</v>
      </c>
      <c r="M132" s="2">
        <v>25</v>
      </c>
      <c r="N132" s="2" t="s">
        <v>41</v>
      </c>
      <c r="O132" s="2" t="s">
        <v>35</v>
      </c>
      <c r="P132" s="2" t="s">
        <v>36</v>
      </c>
      <c r="Q132" s="3"/>
      <c r="R132" s="2"/>
    </row>
    <row r="133" spans="1:18" x14ac:dyDescent="0.3">
      <c r="A133" s="2" t="s">
        <v>319</v>
      </c>
      <c r="B133" s="2" t="s">
        <v>320</v>
      </c>
      <c r="C133" s="2" t="s">
        <v>20</v>
      </c>
      <c r="D133" s="3">
        <v>38932</v>
      </c>
      <c r="E133" s="3">
        <v>46255</v>
      </c>
      <c r="F133" s="2" t="s">
        <v>47</v>
      </c>
      <c r="G133" s="2" t="s">
        <v>127</v>
      </c>
      <c r="H133" s="2" t="s">
        <v>68</v>
      </c>
      <c r="I133" s="2" t="s">
        <v>24</v>
      </c>
      <c r="J133" s="4">
        <v>7290000</v>
      </c>
      <c r="K133" s="2">
        <v>3</v>
      </c>
      <c r="L133" s="2">
        <v>4</v>
      </c>
      <c r="M133" s="2">
        <v>0</v>
      </c>
      <c r="N133" s="2" t="s">
        <v>41</v>
      </c>
      <c r="O133" s="2" t="s">
        <v>35</v>
      </c>
      <c r="P133" s="2" t="s">
        <v>36</v>
      </c>
      <c r="Q133" s="3"/>
      <c r="R133" s="2"/>
    </row>
    <row r="134" spans="1:18" x14ac:dyDescent="0.3">
      <c r="A134" s="2" t="s">
        <v>321</v>
      </c>
      <c r="B134" s="2" t="s">
        <v>322</v>
      </c>
      <c r="C134" s="2" t="s">
        <v>20</v>
      </c>
      <c r="D134" s="3">
        <v>32398</v>
      </c>
      <c r="E134" s="3">
        <v>44218</v>
      </c>
      <c r="F134" s="2" t="s">
        <v>64</v>
      </c>
      <c r="G134" s="2" t="s">
        <v>79</v>
      </c>
      <c r="H134" s="2" t="s">
        <v>23</v>
      </c>
      <c r="I134" s="2" t="s">
        <v>24</v>
      </c>
      <c r="J134" s="4">
        <v>13910000</v>
      </c>
      <c r="K134" s="2">
        <v>5</v>
      </c>
      <c r="L134" s="2">
        <v>3</v>
      </c>
      <c r="M134" s="2">
        <v>15</v>
      </c>
      <c r="N134" s="2" t="s">
        <v>25</v>
      </c>
      <c r="O134" s="2" t="s">
        <v>26</v>
      </c>
      <c r="P134" s="2" t="s">
        <v>36</v>
      </c>
      <c r="Q134" s="3"/>
      <c r="R134" s="2"/>
    </row>
    <row r="135" spans="1:18" x14ac:dyDescent="0.3">
      <c r="A135" s="2" t="s">
        <v>323</v>
      </c>
      <c r="B135" s="2" t="s">
        <v>324</v>
      </c>
      <c r="C135" s="2" t="s">
        <v>20</v>
      </c>
      <c r="D135" s="3">
        <v>35497</v>
      </c>
      <c r="E135" s="3">
        <v>45206</v>
      </c>
      <c r="F135" s="2" t="s">
        <v>114</v>
      </c>
      <c r="G135" s="2" t="s">
        <v>115</v>
      </c>
      <c r="H135" s="2" t="s">
        <v>33</v>
      </c>
      <c r="I135" s="2" t="s">
        <v>82</v>
      </c>
      <c r="J135" s="4">
        <v>4120000</v>
      </c>
      <c r="K135" s="2">
        <v>4</v>
      </c>
      <c r="L135" s="2">
        <v>3</v>
      </c>
      <c r="M135" s="2">
        <v>7</v>
      </c>
      <c r="N135" s="2" t="s">
        <v>41</v>
      </c>
      <c r="O135" s="2" t="s">
        <v>26</v>
      </c>
      <c r="P135" s="2" t="s">
        <v>36</v>
      </c>
      <c r="Q135" s="3"/>
      <c r="R135" s="2"/>
    </row>
    <row r="136" spans="1:18" x14ac:dyDescent="0.3">
      <c r="A136" s="2" t="s">
        <v>325</v>
      </c>
      <c r="B136" s="2" t="s">
        <v>205</v>
      </c>
      <c r="C136" s="2" t="s">
        <v>31</v>
      </c>
      <c r="D136" s="3">
        <v>36394</v>
      </c>
      <c r="E136" s="3">
        <v>45578</v>
      </c>
      <c r="F136" s="2" t="s">
        <v>64</v>
      </c>
      <c r="G136" s="2" t="s">
        <v>79</v>
      </c>
      <c r="H136" s="2" t="s">
        <v>23</v>
      </c>
      <c r="I136" s="2" t="s">
        <v>96</v>
      </c>
      <c r="J136" s="4">
        <v>12640000</v>
      </c>
      <c r="K136" s="2">
        <v>5</v>
      </c>
      <c r="L136" s="2">
        <v>3</v>
      </c>
      <c r="M136" s="2">
        <v>17</v>
      </c>
      <c r="N136" s="2" t="s">
        <v>25</v>
      </c>
      <c r="O136" s="2" t="s">
        <v>35</v>
      </c>
      <c r="P136" s="2" t="s">
        <v>36</v>
      </c>
      <c r="Q136" s="3"/>
      <c r="R136" s="2"/>
    </row>
    <row r="137" spans="1:18" x14ac:dyDescent="0.3">
      <c r="A137" s="2" t="s">
        <v>326</v>
      </c>
      <c r="B137" s="2" t="s">
        <v>159</v>
      </c>
      <c r="C137" s="2" t="s">
        <v>31</v>
      </c>
      <c r="D137" s="3">
        <v>34296</v>
      </c>
      <c r="E137" s="3">
        <v>45475</v>
      </c>
      <c r="F137" s="2" t="s">
        <v>56</v>
      </c>
      <c r="G137" s="2" t="s">
        <v>60</v>
      </c>
      <c r="H137" s="2" t="s">
        <v>33</v>
      </c>
      <c r="I137" s="2" t="s">
        <v>24</v>
      </c>
      <c r="J137" s="4">
        <v>4830000</v>
      </c>
      <c r="K137" s="2">
        <v>4</v>
      </c>
      <c r="L137" s="2">
        <v>2</v>
      </c>
      <c r="M137" s="2">
        <v>2</v>
      </c>
      <c r="N137" s="2" t="s">
        <v>41</v>
      </c>
      <c r="O137" s="2" t="s">
        <v>53</v>
      </c>
      <c r="P137" s="2" t="s">
        <v>36</v>
      </c>
      <c r="Q137" s="3"/>
      <c r="R137" s="2"/>
    </row>
    <row r="138" spans="1:18" x14ac:dyDescent="0.3">
      <c r="A138" s="2" t="s">
        <v>327</v>
      </c>
      <c r="B138" s="2" t="s">
        <v>328</v>
      </c>
      <c r="C138" s="2" t="s">
        <v>20</v>
      </c>
      <c r="D138" s="3">
        <v>34459</v>
      </c>
      <c r="E138" s="3">
        <v>44475</v>
      </c>
      <c r="F138" s="2" t="s">
        <v>51</v>
      </c>
      <c r="G138" s="2" t="s">
        <v>52</v>
      </c>
      <c r="H138" s="2" t="s">
        <v>33</v>
      </c>
      <c r="I138" s="2" t="s">
        <v>24</v>
      </c>
      <c r="J138" s="4">
        <v>3850000</v>
      </c>
      <c r="K138" s="2">
        <v>4</v>
      </c>
      <c r="L138" s="2">
        <v>5</v>
      </c>
      <c r="M138" s="2">
        <v>9</v>
      </c>
      <c r="N138" s="2" t="s">
        <v>88</v>
      </c>
      <c r="O138" s="2" t="s">
        <v>26</v>
      </c>
      <c r="P138" s="2" t="s">
        <v>36</v>
      </c>
      <c r="Q138" s="3"/>
      <c r="R138" s="2"/>
    </row>
    <row r="139" spans="1:18" x14ac:dyDescent="0.3">
      <c r="A139" s="2" t="s">
        <v>329</v>
      </c>
      <c r="B139" s="2" t="s">
        <v>330</v>
      </c>
      <c r="C139" s="2" t="s">
        <v>331</v>
      </c>
      <c r="D139" s="3">
        <v>36278</v>
      </c>
      <c r="E139" s="3">
        <v>44860</v>
      </c>
      <c r="F139" s="2" t="s">
        <v>21</v>
      </c>
      <c r="G139" s="2" t="s">
        <v>32</v>
      </c>
      <c r="H139" s="2" t="s">
        <v>33</v>
      </c>
      <c r="I139" s="2" t="s">
        <v>34</v>
      </c>
      <c r="J139" s="4">
        <v>4960000</v>
      </c>
      <c r="K139" s="2">
        <v>4</v>
      </c>
      <c r="L139" s="2">
        <v>2</v>
      </c>
      <c r="M139" s="2">
        <v>0</v>
      </c>
      <c r="N139" s="2" t="s">
        <v>25</v>
      </c>
      <c r="O139" s="2" t="s">
        <v>26</v>
      </c>
      <c r="P139" s="2" t="s">
        <v>36</v>
      </c>
      <c r="Q139" s="3"/>
      <c r="R139" s="2"/>
    </row>
    <row r="140" spans="1:18" x14ac:dyDescent="0.3">
      <c r="A140" s="2" t="s">
        <v>332</v>
      </c>
      <c r="B140" s="2" t="s">
        <v>19</v>
      </c>
      <c r="C140" s="2" t="s">
        <v>20</v>
      </c>
      <c r="D140" s="3">
        <v>34659</v>
      </c>
      <c r="E140" s="3">
        <v>45493</v>
      </c>
      <c r="F140" s="2" t="s">
        <v>51</v>
      </c>
      <c r="G140" s="2" t="s">
        <v>93</v>
      </c>
      <c r="H140" s="2" t="s">
        <v>68</v>
      </c>
      <c r="I140" s="2" t="s">
        <v>96</v>
      </c>
      <c r="J140" s="4">
        <v>5110000</v>
      </c>
      <c r="K140" s="2">
        <v>3</v>
      </c>
      <c r="L140" s="2">
        <v>4</v>
      </c>
      <c r="M140" s="2">
        <v>5</v>
      </c>
      <c r="N140" s="2" t="s">
        <v>88</v>
      </c>
      <c r="O140" s="2" t="s">
        <v>26</v>
      </c>
      <c r="P140" s="2" t="s">
        <v>27</v>
      </c>
      <c r="Q140" s="3">
        <v>45951</v>
      </c>
      <c r="R140" s="2" t="s">
        <v>111</v>
      </c>
    </row>
    <row r="141" spans="1:18" x14ac:dyDescent="0.3">
      <c r="A141" s="2" t="s">
        <v>333</v>
      </c>
      <c r="B141" s="2" t="s">
        <v>334</v>
      </c>
      <c r="C141" s="2" t="s">
        <v>31</v>
      </c>
      <c r="D141" s="3">
        <v>30797</v>
      </c>
      <c r="E141" s="3">
        <v>45572</v>
      </c>
      <c r="F141" s="2" t="s">
        <v>51</v>
      </c>
      <c r="G141" s="2" t="s">
        <v>93</v>
      </c>
      <c r="H141" s="2" t="s">
        <v>68</v>
      </c>
      <c r="I141" s="2" t="s">
        <v>24</v>
      </c>
      <c r="J141" s="4">
        <v>7190000</v>
      </c>
      <c r="K141" s="2">
        <v>4</v>
      </c>
      <c r="L141" s="2">
        <v>2</v>
      </c>
      <c r="M141" s="2">
        <v>31</v>
      </c>
      <c r="N141" s="2" t="s">
        <v>41</v>
      </c>
      <c r="O141" s="2" t="s">
        <v>53</v>
      </c>
      <c r="P141" s="2" t="s">
        <v>36</v>
      </c>
      <c r="Q141" s="3"/>
      <c r="R141" s="2"/>
    </row>
    <row r="142" spans="1:18" x14ac:dyDescent="0.3">
      <c r="A142" s="2" t="s">
        <v>335</v>
      </c>
      <c r="B142" s="2" t="s">
        <v>336</v>
      </c>
      <c r="C142" s="2" t="s">
        <v>20</v>
      </c>
      <c r="D142" s="3">
        <v>35386</v>
      </c>
      <c r="E142" s="3">
        <v>44004</v>
      </c>
      <c r="F142" s="2" t="s">
        <v>51</v>
      </c>
      <c r="G142" s="2" t="s">
        <v>93</v>
      </c>
      <c r="H142" s="2" t="s">
        <v>68</v>
      </c>
      <c r="I142" s="2" t="s">
        <v>104</v>
      </c>
      <c r="J142" s="4">
        <v>7070000</v>
      </c>
      <c r="K142" s="2">
        <v>4</v>
      </c>
      <c r="L142" s="2">
        <v>4</v>
      </c>
      <c r="M142" s="2">
        <v>7</v>
      </c>
      <c r="N142" s="2" t="s">
        <v>41</v>
      </c>
      <c r="O142" s="2" t="s">
        <v>26</v>
      </c>
      <c r="P142" s="2" t="s">
        <v>36</v>
      </c>
      <c r="Q142" s="3"/>
      <c r="R142" s="2"/>
    </row>
    <row r="143" spans="1:18" x14ac:dyDescent="0.3">
      <c r="A143" s="2" t="s">
        <v>337</v>
      </c>
      <c r="B143" s="2" t="s">
        <v>338</v>
      </c>
      <c r="C143" s="2" t="s">
        <v>31</v>
      </c>
      <c r="D143" s="3">
        <v>35906</v>
      </c>
      <c r="E143" s="3">
        <v>45191</v>
      </c>
      <c r="F143" s="2" t="s">
        <v>47</v>
      </c>
      <c r="G143" s="2" t="s">
        <v>90</v>
      </c>
      <c r="H143" s="2" t="s">
        <v>68</v>
      </c>
      <c r="I143" s="2" t="s">
        <v>24</v>
      </c>
      <c r="J143" s="4">
        <v>7550000</v>
      </c>
      <c r="K143" s="2">
        <v>4</v>
      </c>
      <c r="L143" s="2">
        <v>1</v>
      </c>
      <c r="M143" s="2">
        <v>20</v>
      </c>
      <c r="N143" s="2" t="s">
        <v>25</v>
      </c>
      <c r="O143" s="2" t="s">
        <v>26</v>
      </c>
      <c r="P143" s="2" t="s">
        <v>27</v>
      </c>
      <c r="Q143" s="3">
        <v>46017</v>
      </c>
      <c r="R143" s="2" t="s">
        <v>61</v>
      </c>
    </row>
    <row r="144" spans="1:18" x14ac:dyDescent="0.3">
      <c r="A144" s="2" t="s">
        <v>339</v>
      </c>
      <c r="B144" s="2" t="s">
        <v>70</v>
      </c>
      <c r="C144" s="2" t="s">
        <v>31</v>
      </c>
      <c r="D144" s="3">
        <v>32954</v>
      </c>
      <c r="E144" s="3">
        <v>45840</v>
      </c>
      <c r="F144" s="2" t="s">
        <v>114</v>
      </c>
      <c r="G144" s="2" t="s">
        <v>196</v>
      </c>
      <c r="H144" s="2" t="s">
        <v>23</v>
      </c>
      <c r="I144" s="2" t="s">
        <v>24</v>
      </c>
      <c r="J144" s="4">
        <v>11190000</v>
      </c>
      <c r="K144" s="2">
        <v>3</v>
      </c>
      <c r="L144" s="2">
        <v>4</v>
      </c>
      <c r="M144" s="2">
        <v>0</v>
      </c>
      <c r="N144" s="2" t="s">
        <v>41</v>
      </c>
      <c r="O144" s="2" t="s">
        <v>26</v>
      </c>
      <c r="P144" s="2" t="s">
        <v>36</v>
      </c>
      <c r="Q144" s="3"/>
      <c r="R144" s="2"/>
    </row>
    <row r="145" spans="1:18" x14ac:dyDescent="0.3">
      <c r="A145" s="2" t="s">
        <v>340</v>
      </c>
      <c r="B145" s="2" t="s">
        <v>341</v>
      </c>
      <c r="C145" s="2" t="s">
        <v>31</v>
      </c>
      <c r="D145" s="3">
        <v>36596</v>
      </c>
      <c r="E145" s="3">
        <v>44708</v>
      </c>
      <c r="F145" s="2" t="s">
        <v>21</v>
      </c>
      <c r="G145" s="2" t="s">
        <v>32</v>
      </c>
      <c r="H145" s="2" t="s">
        <v>33</v>
      </c>
      <c r="I145" s="2" t="s">
        <v>34</v>
      </c>
      <c r="J145" s="4">
        <v>4400000</v>
      </c>
      <c r="K145" s="2">
        <v>1</v>
      </c>
      <c r="L145" s="2">
        <v>5</v>
      </c>
      <c r="M145" s="2">
        <v>35</v>
      </c>
      <c r="N145" s="2" t="s">
        <v>25</v>
      </c>
      <c r="O145" s="2" t="s">
        <v>35</v>
      </c>
      <c r="P145" s="2" t="s">
        <v>27</v>
      </c>
      <c r="Q145" s="3">
        <v>45997</v>
      </c>
      <c r="R145" s="2" t="s">
        <v>235</v>
      </c>
    </row>
    <row r="146" spans="1:18" x14ac:dyDescent="0.3">
      <c r="A146" s="2" t="s">
        <v>342</v>
      </c>
      <c r="B146" s="2" t="s">
        <v>343</v>
      </c>
      <c r="C146" s="2" t="s">
        <v>20</v>
      </c>
      <c r="D146" s="3">
        <v>32885</v>
      </c>
      <c r="E146" s="3">
        <v>46097</v>
      </c>
      <c r="F146" s="2" t="s">
        <v>51</v>
      </c>
      <c r="G146" s="2" t="s">
        <v>52</v>
      </c>
      <c r="H146" s="2" t="s">
        <v>68</v>
      </c>
      <c r="I146" s="2" t="s">
        <v>24</v>
      </c>
      <c r="J146" s="4">
        <v>6230000</v>
      </c>
      <c r="K146" s="2">
        <v>3</v>
      </c>
      <c r="L146" s="2">
        <v>2</v>
      </c>
      <c r="M146" s="2">
        <v>25</v>
      </c>
      <c r="N146" s="2" t="s">
        <v>25</v>
      </c>
      <c r="O146" s="2" t="s">
        <v>35</v>
      </c>
      <c r="P146" s="2" t="s">
        <v>27</v>
      </c>
      <c r="Q146" s="3">
        <v>46258</v>
      </c>
      <c r="R146" s="2" t="s">
        <v>145</v>
      </c>
    </row>
    <row r="147" spans="1:18" x14ac:dyDescent="0.3">
      <c r="A147" s="2" t="s">
        <v>344</v>
      </c>
      <c r="B147" s="2" t="s">
        <v>345</v>
      </c>
      <c r="C147" s="2" t="s">
        <v>31</v>
      </c>
      <c r="D147" s="3">
        <v>34983</v>
      </c>
      <c r="E147" s="3">
        <v>44293</v>
      </c>
      <c r="F147" s="2" t="s">
        <v>21</v>
      </c>
      <c r="G147" s="2" t="s">
        <v>32</v>
      </c>
      <c r="H147" s="2" t="s">
        <v>23</v>
      </c>
      <c r="I147" s="2" t="s">
        <v>24</v>
      </c>
      <c r="J147" s="4">
        <v>17100000</v>
      </c>
      <c r="K147" s="2">
        <v>4</v>
      </c>
      <c r="L147" s="2">
        <v>3</v>
      </c>
      <c r="M147" s="2">
        <v>3</v>
      </c>
      <c r="N147" s="2" t="s">
        <v>25</v>
      </c>
      <c r="O147" s="2" t="s">
        <v>26</v>
      </c>
      <c r="P147" s="2" t="s">
        <v>36</v>
      </c>
      <c r="Q147" s="3"/>
      <c r="R147" s="2"/>
    </row>
    <row r="148" spans="1:18" x14ac:dyDescent="0.3">
      <c r="A148" s="2" t="s">
        <v>346</v>
      </c>
      <c r="B148" s="2" t="s">
        <v>347</v>
      </c>
      <c r="C148" s="2" t="s">
        <v>20</v>
      </c>
      <c r="D148" s="3">
        <v>37325</v>
      </c>
      <c r="E148" s="3">
        <v>45299</v>
      </c>
      <c r="F148" s="2" t="s">
        <v>39</v>
      </c>
      <c r="G148" s="2" t="s">
        <v>170</v>
      </c>
      <c r="H148" s="2" t="s">
        <v>33</v>
      </c>
      <c r="I148" s="2" t="s">
        <v>24</v>
      </c>
      <c r="J148" s="4">
        <v>3110000</v>
      </c>
      <c r="K148" s="2">
        <v>4</v>
      </c>
      <c r="L148" s="2">
        <v>3</v>
      </c>
      <c r="M148" s="2">
        <v>12</v>
      </c>
      <c r="N148" s="2" t="s">
        <v>88</v>
      </c>
      <c r="O148" s="2" t="s">
        <v>35</v>
      </c>
      <c r="P148" s="2" t="s">
        <v>36</v>
      </c>
      <c r="Q148" s="3"/>
      <c r="R148" s="2"/>
    </row>
    <row r="149" spans="1:18" x14ac:dyDescent="0.3">
      <c r="A149" s="2" t="s">
        <v>348</v>
      </c>
      <c r="B149" s="2" t="s">
        <v>102</v>
      </c>
      <c r="C149" s="2" t="s">
        <v>20</v>
      </c>
      <c r="D149" s="3">
        <v>31669</v>
      </c>
      <c r="E149" s="3">
        <v>44864</v>
      </c>
      <c r="F149" s="2" t="s">
        <v>64</v>
      </c>
      <c r="G149" s="2" t="s">
        <v>73</v>
      </c>
      <c r="H149" s="2" t="s">
        <v>68</v>
      </c>
      <c r="I149" s="2" t="s">
        <v>82</v>
      </c>
      <c r="J149" s="4">
        <v>6970000</v>
      </c>
      <c r="K149" s="2">
        <v>3</v>
      </c>
      <c r="L149" s="2">
        <v>3</v>
      </c>
      <c r="M149" s="2">
        <v>10</v>
      </c>
      <c r="N149" s="2" t="s">
        <v>88</v>
      </c>
      <c r="O149" s="2" t="s">
        <v>26</v>
      </c>
      <c r="P149" s="2" t="s">
        <v>36</v>
      </c>
      <c r="Q149" s="3"/>
      <c r="R149" s="2"/>
    </row>
    <row r="150" spans="1:18" x14ac:dyDescent="0.3">
      <c r="A150" s="2" t="s">
        <v>349</v>
      </c>
      <c r="B150" s="2" t="s">
        <v>267</v>
      </c>
      <c r="C150" s="2" t="s">
        <v>31</v>
      </c>
      <c r="D150" s="3">
        <v>36266</v>
      </c>
      <c r="E150" s="3">
        <v>45188</v>
      </c>
      <c r="F150" s="2" t="s">
        <v>64</v>
      </c>
      <c r="G150" s="2" t="s">
        <v>65</v>
      </c>
      <c r="H150" s="2" t="s">
        <v>68</v>
      </c>
      <c r="I150" s="2" t="s">
        <v>44</v>
      </c>
      <c r="J150" s="4">
        <v>7370000</v>
      </c>
      <c r="K150" s="2">
        <v>4</v>
      </c>
      <c r="L150" s="2">
        <v>2</v>
      </c>
      <c r="M150" s="2">
        <v>14</v>
      </c>
      <c r="N150" s="2" t="s">
        <v>88</v>
      </c>
      <c r="O150" s="2" t="s">
        <v>35</v>
      </c>
      <c r="P150" s="2" t="s">
        <v>36</v>
      </c>
      <c r="Q150" s="3"/>
      <c r="R150" s="2"/>
    </row>
    <row r="151" spans="1:18" x14ac:dyDescent="0.3">
      <c r="A151" s="2" t="s">
        <v>350</v>
      </c>
      <c r="B151" s="2" t="s">
        <v>192</v>
      </c>
      <c r="C151" s="2" t="s">
        <v>20</v>
      </c>
      <c r="D151" s="3">
        <v>35232</v>
      </c>
      <c r="E151" s="3">
        <v>44497</v>
      </c>
      <c r="F151" s="2" t="s">
        <v>114</v>
      </c>
      <c r="G151" s="2" t="s">
        <v>115</v>
      </c>
      <c r="H151" s="2" t="s">
        <v>33</v>
      </c>
      <c r="I151" s="2" t="s">
        <v>24</v>
      </c>
      <c r="J151" s="4">
        <v>42900000</v>
      </c>
      <c r="K151" s="2">
        <v>1</v>
      </c>
      <c r="L151" s="2">
        <v>2</v>
      </c>
      <c r="M151" s="2">
        <v>34</v>
      </c>
      <c r="N151" s="2" t="s">
        <v>25</v>
      </c>
      <c r="O151" s="2" t="s">
        <v>26</v>
      </c>
      <c r="P151" s="2" t="s">
        <v>36</v>
      </c>
      <c r="Q151" s="3"/>
      <c r="R151" s="2"/>
    </row>
    <row r="152" spans="1:18" x14ac:dyDescent="0.3">
      <c r="A152" s="2" t="s">
        <v>351</v>
      </c>
      <c r="B152" s="2" t="s">
        <v>352</v>
      </c>
      <c r="C152" s="2" t="s">
        <v>20</v>
      </c>
      <c r="D152" s="3">
        <v>34093</v>
      </c>
      <c r="E152" s="3">
        <v>43152</v>
      </c>
      <c r="F152" s="2" t="s">
        <v>64</v>
      </c>
      <c r="G152" s="2" t="s">
        <v>73</v>
      </c>
      <c r="H152" s="2" t="s">
        <v>68</v>
      </c>
      <c r="I152" s="2" t="s">
        <v>24</v>
      </c>
      <c r="J152" s="4">
        <v>8520000</v>
      </c>
      <c r="K152" s="2">
        <v>3</v>
      </c>
      <c r="L152" s="2">
        <v>2</v>
      </c>
      <c r="M152" s="2">
        <v>30</v>
      </c>
      <c r="N152" s="2" t="s">
        <v>25</v>
      </c>
      <c r="O152" s="2" t="s">
        <v>26</v>
      </c>
      <c r="P152" s="2" t="s">
        <v>36</v>
      </c>
      <c r="Q152" s="3"/>
      <c r="R152" s="2"/>
    </row>
    <row r="153" spans="1:18" x14ac:dyDescent="0.3">
      <c r="A153" s="2" t="s">
        <v>353</v>
      </c>
      <c r="B153" s="2" t="s">
        <v>354</v>
      </c>
      <c r="C153" s="2" t="s">
        <v>31</v>
      </c>
      <c r="D153" s="3">
        <v>35282</v>
      </c>
      <c r="E153" s="3">
        <v>46176</v>
      </c>
      <c r="F153" s="2" t="s">
        <v>51</v>
      </c>
      <c r="G153" s="2" t="s">
        <v>93</v>
      </c>
      <c r="H153" s="2" t="s">
        <v>68</v>
      </c>
      <c r="I153" s="2" t="s">
        <v>34</v>
      </c>
      <c r="J153" s="4">
        <v>5840000</v>
      </c>
      <c r="K153" s="2">
        <v>3</v>
      </c>
      <c r="L153" s="2">
        <v>4</v>
      </c>
      <c r="M153" s="2">
        <v>22</v>
      </c>
      <c r="N153" s="2" t="s">
        <v>41</v>
      </c>
      <c r="O153" s="2" t="s">
        <v>26</v>
      </c>
      <c r="P153" s="2" t="s">
        <v>36</v>
      </c>
      <c r="Q153" s="3"/>
      <c r="R153" s="2"/>
    </row>
    <row r="154" spans="1:18" x14ac:dyDescent="0.3">
      <c r="A154" s="2" t="s">
        <v>355</v>
      </c>
      <c r="B154" s="2" t="s">
        <v>356</v>
      </c>
      <c r="C154" s="2" t="s">
        <v>31</v>
      </c>
      <c r="D154" s="3">
        <v>36172</v>
      </c>
      <c r="E154" s="3">
        <v>44576</v>
      </c>
      <c r="F154" s="2" t="s">
        <v>64</v>
      </c>
      <c r="G154" s="2" t="s">
        <v>79</v>
      </c>
      <c r="H154" s="2" t="s">
        <v>68</v>
      </c>
      <c r="I154" s="2" t="s">
        <v>34</v>
      </c>
      <c r="J154" s="4">
        <v>6550000</v>
      </c>
      <c r="K154" s="2">
        <v>4</v>
      </c>
      <c r="L154" s="2">
        <v>3</v>
      </c>
      <c r="M154" s="2">
        <v>6</v>
      </c>
      <c r="N154" s="2" t="s">
        <v>25</v>
      </c>
      <c r="O154" s="2" t="s">
        <v>53</v>
      </c>
      <c r="P154" s="2" t="s">
        <v>36</v>
      </c>
      <c r="Q154" s="3"/>
      <c r="R154" s="2"/>
    </row>
    <row r="155" spans="1:18" x14ac:dyDescent="0.3">
      <c r="A155" s="2" t="s">
        <v>357</v>
      </c>
      <c r="B155" s="2" t="s">
        <v>186</v>
      </c>
      <c r="C155" s="2" t="s">
        <v>20</v>
      </c>
      <c r="D155" s="3">
        <v>34690</v>
      </c>
      <c r="E155" s="3">
        <v>44362</v>
      </c>
      <c r="F155" s="2" t="s">
        <v>64</v>
      </c>
      <c r="G155" s="2" t="s">
        <v>65</v>
      </c>
      <c r="H155" s="2" t="s">
        <v>33</v>
      </c>
      <c r="I155" s="2" t="s">
        <v>24</v>
      </c>
      <c r="J155" s="4">
        <v>4470000</v>
      </c>
      <c r="K155" s="2">
        <v>5</v>
      </c>
      <c r="L155" s="2">
        <v>4</v>
      </c>
      <c r="M155" s="2">
        <v>2</v>
      </c>
      <c r="N155" s="2" t="s">
        <v>25</v>
      </c>
      <c r="O155" s="2" t="s">
        <v>26</v>
      </c>
      <c r="P155" s="2" t="s">
        <v>36</v>
      </c>
      <c r="Q155" s="3"/>
      <c r="R155" s="2"/>
    </row>
    <row r="156" spans="1:18" x14ac:dyDescent="0.3">
      <c r="A156" s="2" t="s">
        <v>358</v>
      </c>
      <c r="B156" s="2" t="s">
        <v>359</v>
      </c>
      <c r="C156" s="2" t="s">
        <v>31</v>
      </c>
      <c r="D156" s="3">
        <v>32666</v>
      </c>
      <c r="E156" s="3">
        <v>45081</v>
      </c>
      <c r="F156" s="2" t="s">
        <v>114</v>
      </c>
      <c r="G156" s="2" t="s">
        <v>115</v>
      </c>
      <c r="H156" s="2" t="s">
        <v>23</v>
      </c>
      <c r="I156" s="2" t="s">
        <v>24</v>
      </c>
      <c r="J156" s="4">
        <v>9610000</v>
      </c>
      <c r="K156" s="2">
        <v>1</v>
      </c>
      <c r="L156" s="2">
        <v>2</v>
      </c>
      <c r="M156" s="2">
        <v>12</v>
      </c>
      <c r="N156" s="2" t="s">
        <v>41</v>
      </c>
      <c r="O156" s="2" t="s">
        <v>26</v>
      </c>
      <c r="P156" s="2" t="s">
        <v>36</v>
      </c>
      <c r="Q156" s="3"/>
      <c r="R156" s="2"/>
    </row>
    <row r="157" spans="1:18" x14ac:dyDescent="0.3">
      <c r="A157" s="2" t="s">
        <v>360</v>
      </c>
      <c r="B157" s="2" t="s">
        <v>182</v>
      </c>
      <c r="C157" s="2" t="s">
        <v>20</v>
      </c>
      <c r="D157" s="3">
        <v>36154</v>
      </c>
      <c r="E157" s="3">
        <v>44931</v>
      </c>
      <c r="F157" s="2" t="s">
        <v>51</v>
      </c>
      <c r="G157" s="2" t="s">
        <v>52</v>
      </c>
      <c r="H157" s="2" t="s">
        <v>33</v>
      </c>
      <c r="I157" s="2" t="s">
        <v>104</v>
      </c>
      <c r="J157" s="4">
        <v>2640000</v>
      </c>
      <c r="K157" s="2">
        <v>3</v>
      </c>
      <c r="L157" s="2">
        <v>5</v>
      </c>
      <c r="M157" s="2">
        <v>8</v>
      </c>
      <c r="N157" s="2" t="s">
        <v>41</v>
      </c>
      <c r="O157" s="2" t="s">
        <v>26</v>
      </c>
      <c r="P157" s="2" t="s">
        <v>36</v>
      </c>
      <c r="Q157" s="3"/>
      <c r="R157" s="2"/>
    </row>
    <row r="158" spans="1:18" x14ac:dyDescent="0.3">
      <c r="A158" s="2" t="s">
        <v>361</v>
      </c>
      <c r="B158" s="2" t="s">
        <v>362</v>
      </c>
      <c r="C158" s="2" t="s">
        <v>20</v>
      </c>
      <c r="D158" s="3">
        <v>33163</v>
      </c>
      <c r="E158" s="3">
        <v>44119</v>
      </c>
      <c r="F158" s="2" t="s">
        <v>64</v>
      </c>
      <c r="G158" s="2" t="s">
        <v>65</v>
      </c>
      <c r="H158" s="2" t="s">
        <v>68</v>
      </c>
      <c r="I158" s="2" t="s">
        <v>24</v>
      </c>
      <c r="J158" s="4">
        <v>5960000</v>
      </c>
      <c r="K158" s="2">
        <v>4</v>
      </c>
      <c r="L158" s="2">
        <v>2</v>
      </c>
      <c r="M158" s="2">
        <v>8</v>
      </c>
      <c r="N158" s="2" t="s">
        <v>25</v>
      </c>
      <c r="O158" s="2" t="s">
        <v>35</v>
      </c>
      <c r="P158" s="2" t="s">
        <v>27</v>
      </c>
      <c r="Q158" s="3">
        <v>46137</v>
      </c>
      <c r="R158" s="2" t="s">
        <v>155</v>
      </c>
    </row>
    <row r="159" spans="1:18" x14ac:dyDescent="0.3">
      <c r="A159" s="2" t="s">
        <v>363</v>
      </c>
      <c r="B159" s="2" t="s">
        <v>231</v>
      </c>
      <c r="C159" s="2" t="s">
        <v>20</v>
      </c>
      <c r="D159" s="3">
        <v>31687</v>
      </c>
      <c r="E159" s="3">
        <v>43958</v>
      </c>
      <c r="F159" s="2" t="s">
        <v>114</v>
      </c>
      <c r="G159" s="2" t="s">
        <v>196</v>
      </c>
      <c r="H159" s="2" t="s">
        <v>68</v>
      </c>
      <c r="I159" s="2" t="s">
        <v>24</v>
      </c>
      <c r="J159" s="4">
        <v>5810000</v>
      </c>
      <c r="K159" s="2">
        <v>3</v>
      </c>
      <c r="L159" s="2">
        <v>3</v>
      </c>
      <c r="M159" s="2">
        <v>22</v>
      </c>
      <c r="N159" s="2" t="s">
        <v>25</v>
      </c>
      <c r="O159" s="2" t="s">
        <v>26</v>
      </c>
      <c r="P159" s="2" t="s">
        <v>36</v>
      </c>
      <c r="Q159" s="3"/>
      <c r="R159" s="2"/>
    </row>
    <row r="160" spans="1:18" x14ac:dyDescent="0.3">
      <c r="A160" s="2" t="s">
        <v>364</v>
      </c>
      <c r="B160" s="2" t="s">
        <v>50</v>
      </c>
      <c r="C160" s="2" t="s">
        <v>31</v>
      </c>
      <c r="D160" s="3">
        <v>37299</v>
      </c>
      <c r="E160" s="3">
        <v>46202</v>
      </c>
      <c r="F160" s="2" t="s">
        <v>51</v>
      </c>
      <c r="G160" s="2" t="s">
        <v>93</v>
      </c>
      <c r="H160" s="2" t="s">
        <v>23</v>
      </c>
      <c r="I160" s="2" t="s">
        <v>24</v>
      </c>
      <c r="J160" s="4">
        <v>11270000</v>
      </c>
      <c r="K160" s="2">
        <v>3</v>
      </c>
      <c r="L160" s="2">
        <v>4</v>
      </c>
      <c r="M160" s="2">
        <v>22</v>
      </c>
      <c r="N160" s="2" t="s">
        <v>41</v>
      </c>
      <c r="O160" s="2" t="s">
        <v>26</v>
      </c>
      <c r="P160" s="2" t="s">
        <v>36</v>
      </c>
      <c r="Q160" s="3"/>
      <c r="R160" s="2"/>
    </row>
    <row r="161" spans="1:18" x14ac:dyDescent="0.3">
      <c r="A161" s="2" t="s">
        <v>365</v>
      </c>
      <c r="B161" s="2" t="s">
        <v>366</v>
      </c>
      <c r="C161" s="2" t="s">
        <v>20</v>
      </c>
      <c r="D161" s="3">
        <v>35294</v>
      </c>
      <c r="E161" s="3">
        <v>46257</v>
      </c>
      <c r="F161" s="2" t="s">
        <v>21</v>
      </c>
      <c r="G161" s="2" t="s">
        <v>22</v>
      </c>
      <c r="H161" s="2" t="s">
        <v>23</v>
      </c>
      <c r="I161" s="2" t="s">
        <v>24</v>
      </c>
      <c r="J161" s="4">
        <v>15270000</v>
      </c>
      <c r="K161" s="2">
        <v>3</v>
      </c>
      <c r="L161" s="2">
        <v>5</v>
      </c>
      <c r="M161" s="2">
        <v>0</v>
      </c>
      <c r="N161" s="2" t="s">
        <v>25</v>
      </c>
      <c r="O161" s="2"/>
      <c r="P161" s="2" t="s">
        <v>36</v>
      </c>
      <c r="Q161" s="3"/>
      <c r="R161" s="2"/>
    </row>
    <row r="162" spans="1:18" x14ac:dyDescent="0.3">
      <c r="A162" s="2" t="s">
        <v>367</v>
      </c>
      <c r="B162" s="2" t="s">
        <v>368</v>
      </c>
      <c r="C162" s="2" t="s">
        <v>369</v>
      </c>
      <c r="D162" s="3">
        <v>35052</v>
      </c>
      <c r="E162" s="3">
        <v>43797</v>
      </c>
      <c r="F162" s="2" t="s">
        <v>56</v>
      </c>
      <c r="G162" s="2" t="s">
        <v>60</v>
      </c>
      <c r="H162" s="2" t="s">
        <v>33</v>
      </c>
      <c r="I162" s="2" t="s">
        <v>206</v>
      </c>
      <c r="J162" s="4">
        <v>5330000</v>
      </c>
      <c r="K162" s="2">
        <v>4</v>
      </c>
      <c r="L162" s="2">
        <v>3</v>
      </c>
      <c r="M162" s="2">
        <v>20</v>
      </c>
      <c r="N162" s="2" t="s">
        <v>41</v>
      </c>
      <c r="O162" s="2" t="s">
        <v>26</v>
      </c>
      <c r="P162" s="2" t="s">
        <v>36</v>
      </c>
      <c r="Q162" s="3"/>
      <c r="R162" s="2"/>
    </row>
    <row r="163" spans="1:18" x14ac:dyDescent="0.3">
      <c r="A163" s="2" t="s">
        <v>370</v>
      </c>
      <c r="B163" s="2" t="s">
        <v>371</v>
      </c>
      <c r="C163" s="2" t="s">
        <v>31</v>
      </c>
      <c r="D163" s="3">
        <v>32646</v>
      </c>
      <c r="E163" s="3">
        <v>43800</v>
      </c>
      <c r="F163" s="2" t="s">
        <v>64</v>
      </c>
      <c r="G163" s="2" t="s">
        <v>73</v>
      </c>
      <c r="H163" s="2" t="s">
        <v>68</v>
      </c>
      <c r="I163" s="2" t="s">
        <v>24</v>
      </c>
      <c r="J163" s="4">
        <v>5570000</v>
      </c>
      <c r="K163" s="2">
        <v>2</v>
      </c>
      <c r="L163" s="2">
        <v>3</v>
      </c>
      <c r="M163" s="2">
        <v>16</v>
      </c>
      <c r="N163" s="2" t="s">
        <v>41</v>
      </c>
      <c r="O163" s="2" t="s">
        <v>35</v>
      </c>
      <c r="P163" s="2" t="s">
        <v>36</v>
      </c>
      <c r="Q163" s="3"/>
      <c r="R163" s="2"/>
    </row>
    <row r="164" spans="1:18" x14ac:dyDescent="0.3">
      <c r="A164" s="2" t="s">
        <v>372</v>
      </c>
      <c r="B164" s="2" t="s">
        <v>373</v>
      </c>
      <c r="C164" s="2" t="s">
        <v>31</v>
      </c>
      <c r="D164" s="3">
        <v>33522</v>
      </c>
      <c r="E164" s="3">
        <v>44938</v>
      </c>
      <c r="F164" s="2" t="s">
        <v>114</v>
      </c>
      <c r="G164" s="2" t="s">
        <v>115</v>
      </c>
      <c r="H164" s="2" t="s">
        <v>33</v>
      </c>
      <c r="I164" s="2" t="s">
        <v>24</v>
      </c>
      <c r="J164" s="4">
        <v>4280000</v>
      </c>
      <c r="K164" s="2">
        <v>4</v>
      </c>
      <c r="L164" s="2">
        <v>5</v>
      </c>
      <c r="M164" s="2">
        <v>16</v>
      </c>
      <c r="N164" s="2" t="s">
        <v>41</v>
      </c>
      <c r="O164" s="2"/>
      <c r="P164" s="2" t="s">
        <v>36</v>
      </c>
      <c r="Q164" s="3"/>
      <c r="R164" s="2"/>
    </row>
    <row r="165" spans="1:18" x14ac:dyDescent="0.3">
      <c r="A165" s="2" t="s">
        <v>374</v>
      </c>
      <c r="B165" s="2" t="s">
        <v>322</v>
      </c>
      <c r="C165" s="2" t="s">
        <v>20</v>
      </c>
      <c r="D165" s="3">
        <v>31099</v>
      </c>
      <c r="E165" s="3">
        <v>44461</v>
      </c>
      <c r="F165" s="2" t="s">
        <v>114</v>
      </c>
      <c r="G165" s="2" t="s">
        <v>150</v>
      </c>
      <c r="H165" s="2" t="s">
        <v>23</v>
      </c>
      <c r="I165" s="2" t="s">
        <v>24</v>
      </c>
      <c r="J165" s="4">
        <v>14080000</v>
      </c>
      <c r="K165" s="2">
        <v>5</v>
      </c>
      <c r="L165" s="2">
        <v>1</v>
      </c>
      <c r="M165" s="2">
        <v>5</v>
      </c>
      <c r="N165" s="2" t="s">
        <v>25</v>
      </c>
      <c r="O165" s="2" t="s">
        <v>26</v>
      </c>
      <c r="P165" s="2" t="s">
        <v>36</v>
      </c>
      <c r="Q165" s="3"/>
      <c r="R165" s="2"/>
    </row>
    <row r="166" spans="1:18" x14ac:dyDescent="0.3">
      <c r="A166" s="2" t="s">
        <v>375</v>
      </c>
      <c r="B166" s="2" t="s">
        <v>376</v>
      </c>
      <c r="C166" s="2" t="s">
        <v>20</v>
      </c>
      <c r="D166" s="3">
        <v>32776</v>
      </c>
      <c r="E166" s="3">
        <v>44548</v>
      </c>
      <c r="F166" s="2" t="s">
        <v>51</v>
      </c>
      <c r="G166" s="2" t="s">
        <v>52</v>
      </c>
      <c r="H166" s="2" t="s">
        <v>23</v>
      </c>
      <c r="I166" s="2" t="s">
        <v>24</v>
      </c>
      <c r="J166" s="4">
        <v>10590000</v>
      </c>
      <c r="K166" s="2">
        <v>4</v>
      </c>
      <c r="L166" s="2">
        <v>4</v>
      </c>
      <c r="M166" s="2">
        <v>22</v>
      </c>
      <c r="N166" s="2" t="s">
        <v>88</v>
      </c>
      <c r="O166" s="2" t="s">
        <v>26</v>
      </c>
      <c r="P166" s="2" t="s">
        <v>36</v>
      </c>
      <c r="Q166" s="3"/>
      <c r="R166" s="2"/>
    </row>
    <row r="167" spans="1:18" x14ac:dyDescent="0.3">
      <c r="A167" s="2" t="s">
        <v>377</v>
      </c>
      <c r="B167" s="2" t="s">
        <v>378</v>
      </c>
      <c r="C167" s="2" t="s">
        <v>20</v>
      </c>
      <c r="D167" s="3">
        <v>34235</v>
      </c>
      <c r="E167" s="3">
        <v>44914</v>
      </c>
      <c r="F167" s="2" t="s">
        <v>21</v>
      </c>
      <c r="G167" s="2" t="s">
        <v>103</v>
      </c>
      <c r="H167" s="2" t="s">
        <v>33</v>
      </c>
      <c r="I167" s="2" t="s">
        <v>206</v>
      </c>
      <c r="J167" s="4">
        <v>4970000</v>
      </c>
      <c r="K167" s="2">
        <v>3</v>
      </c>
      <c r="L167" s="2">
        <v>4</v>
      </c>
      <c r="M167" s="2">
        <v>3</v>
      </c>
      <c r="N167" s="2" t="s">
        <v>41</v>
      </c>
      <c r="O167" s="2" t="s">
        <v>35</v>
      </c>
      <c r="P167" s="2" t="s">
        <v>36</v>
      </c>
      <c r="Q167" s="3"/>
      <c r="R167" s="2"/>
    </row>
    <row r="168" spans="1:18" x14ac:dyDescent="0.3">
      <c r="A168" s="2" t="s">
        <v>379</v>
      </c>
      <c r="B168" s="2" t="s">
        <v>75</v>
      </c>
      <c r="C168" s="2" t="s">
        <v>31</v>
      </c>
      <c r="D168" s="3">
        <v>28403</v>
      </c>
      <c r="E168" s="3">
        <v>44997</v>
      </c>
      <c r="F168" s="2" t="s">
        <v>64</v>
      </c>
      <c r="G168" s="2" t="s">
        <v>79</v>
      </c>
      <c r="H168" s="2" t="s">
        <v>68</v>
      </c>
      <c r="I168" s="2" t="s">
        <v>44</v>
      </c>
      <c r="J168" s="4">
        <v>6140000</v>
      </c>
      <c r="K168" s="2">
        <v>5</v>
      </c>
      <c r="L168" s="2">
        <v>3</v>
      </c>
      <c r="M168" s="2">
        <v>10</v>
      </c>
      <c r="N168" s="2" t="s">
        <v>88</v>
      </c>
      <c r="O168" s="2" t="s">
        <v>26</v>
      </c>
      <c r="P168" s="2" t="s">
        <v>36</v>
      </c>
      <c r="Q168" s="3"/>
      <c r="R168" s="2"/>
    </row>
    <row r="169" spans="1:18" x14ac:dyDescent="0.3">
      <c r="A169" s="2" t="s">
        <v>380</v>
      </c>
      <c r="B169" s="2" t="s">
        <v>356</v>
      </c>
      <c r="C169" s="2" t="s">
        <v>31</v>
      </c>
      <c r="D169" s="3">
        <v>34918</v>
      </c>
      <c r="E169" s="3">
        <v>44514</v>
      </c>
      <c r="F169" s="2" t="s">
        <v>114</v>
      </c>
      <c r="G169" s="2" t="s">
        <v>150</v>
      </c>
      <c r="H169" s="2" t="s">
        <v>23</v>
      </c>
      <c r="I169" s="2" t="s">
        <v>24</v>
      </c>
      <c r="J169" s="4">
        <v>10150000</v>
      </c>
      <c r="K169" s="2">
        <v>4</v>
      </c>
      <c r="L169" s="2">
        <v>1</v>
      </c>
      <c r="M169" s="2">
        <v>11</v>
      </c>
      <c r="N169" s="2" t="s">
        <v>25</v>
      </c>
      <c r="O169" s="2" t="s">
        <v>35</v>
      </c>
      <c r="P169" s="2" t="s">
        <v>27</v>
      </c>
      <c r="Q169" s="3">
        <v>46069</v>
      </c>
      <c r="R169" s="2" t="s">
        <v>61</v>
      </c>
    </row>
    <row r="170" spans="1:18" x14ac:dyDescent="0.3">
      <c r="A170" s="2" t="s">
        <v>381</v>
      </c>
      <c r="B170" s="2" t="s">
        <v>382</v>
      </c>
      <c r="C170" s="2" t="s">
        <v>20</v>
      </c>
      <c r="D170" s="3">
        <v>29187</v>
      </c>
      <c r="E170" s="3">
        <v>45471</v>
      </c>
      <c r="F170" s="2" t="s">
        <v>64</v>
      </c>
      <c r="G170" s="2" t="s">
        <v>65</v>
      </c>
      <c r="H170" s="2" t="s">
        <v>33</v>
      </c>
      <c r="I170" s="2" t="s">
        <v>206</v>
      </c>
      <c r="J170" s="4">
        <v>3480000</v>
      </c>
      <c r="K170" s="2"/>
      <c r="L170" s="2">
        <v>3</v>
      </c>
      <c r="M170" s="2">
        <v>6</v>
      </c>
      <c r="N170" s="2" t="s">
        <v>25</v>
      </c>
      <c r="O170" s="2" t="s">
        <v>35</v>
      </c>
      <c r="P170" s="2" t="s">
        <v>36</v>
      </c>
      <c r="Q170" s="3"/>
      <c r="R170" s="2"/>
    </row>
    <row r="171" spans="1:18" x14ac:dyDescent="0.3">
      <c r="A171" s="2" t="s">
        <v>383</v>
      </c>
      <c r="B171" s="2" t="s">
        <v>384</v>
      </c>
      <c r="C171" s="2" t="s">
        <v>31</v>
      </c>
      <c r="D171" s="3">
        <v>30402</v>
      </c>
      <c r="E171" s="3">
        <v>44766</v>
      </c>
      <c r="F171" s="2" t="s">
        <v>47</v>
      </c>
      <c r="G171" s="2" t="s">
        <v>90</v>
      </c>
      <c r="H171" s="2" t="s">
        <v>33</v>
      </c>
      <c r="I171" s="2" t="s">
        <v>34</v>
      </c>
      <c r="J171" s="4">
        <v>5020000</v>
      </c>
      <c r="K171" s="2">
        <v>3</v>
      </c>
      <c r="L171" s="2">
        <v>4</v>
      </c>
      <c r="M171" s="2">
        <v>5</v>
      </c>
      <c r="N171" s="2" t="s">
        <v>25</v>
      </c>
      <c r="O171" s="2" t="s">
        <v>53</v>
      </c>
      <c r="P171" s="2" t="s">
        <v>36</v>
      </c>
      <c r="Q171" s="3"/>
      <c r="R171" s="2"/>
    </row>
    <row r="172" spans="1:18" x14ac:dyDescent="0.3">
      <c r="A172" s="2" t="s">
        <v>385</v>
      </c>
      <c r="B172" s="2" t="s">
        <v>386</v>
      </c>
      <c r="C172" s="2" t="s">
        <v>31</v>
      </c>
      <c r="D172" s="3">
        <v>33311</v>
      </c>
      <c r="E172" s="3">
        <v>45745</v>
      </c>
      <c r="F172" s="2" t="s">
        <v>51</v>
      </c>
      <c r="G172" s="2" t="s">
        <v>52</v>
      </c>
      <c r="H172" s="2" t="s">
        <v>68</v>
      </c>
      <c r="I172" s="2" t="s">
        <v>24</v>
      </c>
      <c r="J172" s="4">
        <v>4830000</v>
      </c>
      <c r="K172" s="2">
        <v>5</v>
      </c>
      <c r="L172" s="2">
        <v>2</v>
      </c>
      <c r="M172" s="2">
        <v>4</v>
      </c>
      <c r="N172" s="2" t="s">
        <v>41</v>
      </c>
      <c r="O172" s="2" t="s">
        <v>35</v>
      </c>
      <c r="P172" s="2" t="s">
        <v>36</v>
      </c>
      <c r="Q172" s="3"/>
      <c r="R172" s="2"/>
    </row>
    <row r="173" spans="1:18" x14ac:dyDescent="0.3">
      <c r="A173" s="2" t="s">
        <v>387</v>
      </c>
      <c r="B173" s="2" t="s">
        <v>388</v>
      </c>
      <c r="C173" s="2" t="s">
        <v>20</v>
      </c>
      <c r="D173" s="3">
        <v>37603</v>
      </c>
      <c r="E173" s="3">
        <v>45423</v>
      </c>
      <c r="F173" s="2" t="s">
        <v>51</v>
      </c>
      <c r="G173" s="2" t="s">
        <v>93</v>
      </c>
      <c r="H173" s="2" t="s">
        <v>68</v>
      </c>
      <c r="I173" s="2" t="s">
        <v>24</v>
      </c>
      <c r="J173" s="4">
        <v>6160000</v>
      </c>
      <c r="K173" s="2">
        <v>1</v>
      </c>
      <c r="L173" s="2">
        <v>2</v>
      </c>
      <c r="M173" s="2">
        <v>39</v>
      </c>
      <c r="N173" s="2" t="s">
        <v>41</v>
      </c>
      <c r="O173" s="2" t="s">
        <v>53</v>
      </c>
      <c r="P173" s="2" t="s">
        <v>27</v>
      </c>
      <c r="Q173" s="3">
        <v>45765</v>
      </c>
      <c r="R173" s="2" t="s">
        <v>111</v>
      </c>
    </row>
    <row r="174" spans="1:18" x14ac:dyDescent="0.3">
      <c r="A174" s="2" t="s">
        <v>389</v>
      </c>
      <c r="B174" s="2" t="s">
        <v>390</v>
      </c>
      <c r="C174" s="2" t="s">
        <v>31</v>
      </c>
      <c r="D174" s="3">
        <v>28017</v>
      </c>
      <c r="E174" s="3">
        <v>43358</v>
      </c>
      <c r="F174" s="2" t="s">
        <v>64</v>
      </c>
      <c r="G174" s="2" t="s">
        <v>73</v>
      </c>
      <c r="H174" s="2" t="s">
        <v>68</v>
      </c>
      <c r="I174" s="2" t="s">
        <v>24</v>
      </c>
      <c r="J174" s="4">
        <v>8080000</v>
      </c>
      <c r="K174" s="2">
        <v>3</v>
      </c>
      <c r="L174" s="2">
        <v>2</v>
      </c>
      <c r="M174" s="2">
        <v>9</v>
      </c>
      <c r="N174" s="2" t="s">
        <v>25</v>
      </c>
      <c r="O174" s="2" t="s">
        <v>53</v>
      </c>
      <c r="P174" s="2" t="s">
        <v>36</v>
      </c>
      <c r="Q174" s="3"/>
      <c r="R174" s="2"/>
    </row>
    <row r="175" spans="1:18" x14ac:dyDescent="0.3">
      <c r="A175" s="2" t="s">
        <v>391</v>
      </c>
      <c r="B175" s="2" t="s">
        <v>392</v>
      </c>
      <c r="C175" s="2" t="s">
        <v>31</v>
      </c>
      <c r="D175" s="3">
        <v>34457</v>
      </c>
      <c r="E175" s="3">
        <v>44493</v>
      </c>
      <c r="F175" s="2" t="s">
        <v>51</v>
      </c>
      <c r="G175" s="2" t="s">
        <v>93</v>
      </c>
      <c r="H175" s="2" t="s">
        <v>68</v>
      </c>
      <c r="I175" s="2" t="s">
        <v>34</v>
      </c>
      <c r="J175" s="4">
        <v>5960000</v>
      </c>
      <c r="K175" s="2">
        <v>3</v>
      </c>
      <c r="L175" s="2">
        <v>1</v>
      </c>
      <c r="M175" s="2">
        <v>10</v>
      </c>
      <c r="N175" s="2" t="s">
        <v>25</v>
      </c>
      <c r="O175" s="2" t="s">
        <v>26</v>
      </c>
      <c r="P175" s="2" t="s">
        <v>36</v>
      </c>
      <c r="Q175" s="3"/>
      <c r="R175" s="2"/>
    </row>
    <row r="176" spans="1:18" x14ac:dyDescent="0.3">
      <c r="A176" s="2" t="s">
        <v>393</v>
      </c>
      <c r="B176" s="2" t="s">
        <v>277</v>
      </c>
      <c r="C176" s="2" t="s">
        <v>20</v>
      </c>
      <c r="D176" s="3">
        <v>35502</v>
      </c>
      <c r="E176" s="3">
        <v>46048</v>
      </c>
      <c r="F176" s="2" t="s">
        <v>114</v>
      </c>
      <c r="G176" s="2" t="s">
        <v>150</v>
      </c>
      <c r="H176" s="2" t="s">
        <v>23</v>
      </c>
      <c r="I176" s="2" t="s">
        <v>206</v>
      </c>
      <c r="J176" s="4">
        <v>12430000</v>
      </c>
      <c r="K176" s="2">
        <v>3</v>
      </c>
      <c r="L176" s="2">
        <v>3</v>
      </c>
      <c r="M176" s="2">
        <v>25</v>
      </c>
      <c r="N176" s="2" t="s">
        <v>25</v>
      </c>
      <c r="O176" s="2" t="s">
        <v>26</v>
      </c>
      <c r="P176" s="2" t="s">
        <v>36</v>
      </c>
      <c r="Q176" s="3"/>
      <c r="R176" s="2"/>
    </row>
    <row r="177" spans="1:18" x14ac:dyDescent="0.3">
      <c r="A177" s="2" t="s">
        <v>394</v>
      </c>
      <c r="B177" s="2" t="s">
        <v>354</v>
      </c>
      <c r="C177" s="2" t="s">
        <v>369</v>
      </c>
      <c r="D177" s="3">
        <v>35035</v>
      </c>
      <c r="E177" s="3">
        <v>45359</v>
      </c>
      <c r="F177" s="2" t="s">
        <v>395</v>
      </c>
      <c r="G177" s="2" t="s">
        <v>32</v>
      </c>
      <c r="H177" s="2" t="s">
        <v>33</v>
      </c>
      <c r="I177" s="2" t="s">
        <v>44</v>
      </c>
      <c r="J177" s="4">
        <v>5740000</v>
      </c>
      <c r="K177" s="2">
        <v>3</v>
      </c>
      <c r="L177" s="2">
        <v>5</v>
      </c>
      <c r="M177" s="2">
        <v>10</v>
      </c>
      <c r="N177" s="2" t="s">
        <v>41</v>
      </c>
      <c r="O177" s="2" t="s">
        <v>26</v>
      </c>
      <c r="P177" s="2" t="s">
        <v>36</v>
      </c>
      <c r="Q177" s="3"/>
      <c r="R177" s="2"/>
    </row>
    <row r="178" spans="1:18" x14ac:dyDescent="0.3">
      <c r="A178" s="2" t="s">
        <v>396</v>
      </c>
      <c r="B178" s="2" t="s">
        <v>106</v>
      </c>
      <c r="C178" s="2" t="s">
        <v>20</v>
      </c>
      <c r="D178" s="3">
        <v>37084</v>
      </c>
      <c r="E178" s="3">
        <v>45234</v>
      </c>
      <c r="F178" s="2" t="s">
        <v>114</v>
      </c>
      <c r="G178" s="2" t="s">
        <v>150</v>
      </c>
      <c r="H178" s="2" t="s">
        <v>23</v>
      </c>
      <c r="I178" s="2" t="s">
        <v>82</v>
      </c>
      <c r="J178" s="4">
        <v>12560000</v>
      </c>
      <c r="K178" s="2">
        <v>4</v>
      </c>
      <c r="L178" s="2">
        <v>1</v>
      </c>
      <c r="M178" s="2">
        <v>8</v>
      </c>
      <c r="N178" s="2" t="s">
        <v>25</v>
      </c>
      <c r="O178" s="2" t="s">
        <v>26</v>
      </c>
      <c r="P178" s="2" t="s">
        <v>36</v>
      </c>
      <c r="Q178" s="3"/>
      <c r="R178" s="2"/>
    </row>
    <row r="179" spans="1:18" x14ac:dyDescent="0.3">
      <c r="A179" s="2" t="s">
        <v>397</v>
      </c>
      <c r="B179" s="2" t="s">
        <v>398</v>
      </c>
      <c r="C179" s="2" t="s">
        <v>20</v>
      </c>
      <c r="D179" s="3">
        <v>36441</v>
      </c>
      <c r="E179" s="3">
        <v>45463</v>
      </c>
      <c r="F179" s="2" t="s">
        <v>51</v>
      </c>
      <c r="G179" s="2" t="s">
        <v>93</v>
      </c>
      <c r="H179" s="2" t="s">
        <v>23</v>
      </c>
      <c r="I179" s="2" t="s">
        <v>104</v>
      </c>
      <c r="J179" s="4">
        <v>10510000</v>
      </c>
      <c r="K179" s="2">
        <v>3</v>
      </c>
      <c r="L179" s="2">
        <v>4</v>
      </c>
      <c r="M179" s="2">
        <v>25</v>
      </c>
      <c r="N179" s="2" t="s">
        <v>25</v>
      </c>
      <c r="O179" s="2" t="s">
        <v>35</v>
      </c>
      <c r="P179" s="2" t="s">
        <v>36</v>
      </c>
      <c r="Q179" s="3"/>
      <c r="R179" s="2"/>
    </row>
    <row r="180" spans="1:18" x14ac:dyDescent="0.3">
      <c r="A180" s="2" t="s">
        <v>399</v>
      </c>
      <c r="B180" s="2" t="s">
        <v>400</v>
      </c>
      <c r="C180" s="2" t="s">
        <v>31</v>
      </c>
      <c r="D180" s="3">
        <v>37806</v>
      </c>
      <c r="E180" s="3">
        <v>45401</v>
      </c>
      <c r="F180" s="2" t="s">
        <v>21</v>
      </c>
      <c r="G180" s="2" t="s">
        <v>32</v>
      </c>
      <c r="H180" s="2" t="s">
        <v>33</v>
      </c>
      <c r="I180" s="2" t="s">
        <v>24</v>
      </c>
      <c r="J180" s="4">
        <v>5200000</v>
      </c>
      <c r="K180" s="2">
        <v>4</v>
      </c>
      <c r="L180" s="2">
        <v>3</v>
      </c>
      <c r="M180" s="2">
        <v>27</v>
      </c>
      <c r="N180" s="2" t="s">
        <v>41</v>
      </c>
      <c r="O180" s="2" t="s">
        <v>35</v>
      </c>
      <c r="P180" s="2" t="s">
        <v>27</v>
      </c>
      <c r="Q180" s="3">
        <v>46063</v>
      </c>
      <c r="R180" s="2" t="s">
        <v>401</v>
      </c>
    </row>
    <row r="181" spans="1:18" x14ac:dyDescent="0.3">
      <c r="A181" s="2" t="s">
        <v>402</v>
      </c>
      <c r="B181" s="2" t="s">
        <v>403</v>
      </c>
      <c r="C181" s="2" t="s">
        <v>20</v>
      </c>
      <c r="D181" s="3">
        <v>32895</v>
      </c>
      <c r="E181" s="3">
        <v>43803</v>
      </c>
      <c r="F181" s="2" t="s">
        <v>64</v>
      </c>
      <c r="G181" s="2" t="s">
        <v>65</v>
      </c>
      <c r="H181" s="2" t="s">
        <v>68</v>
      </c>
      <c r="I181" s="2" t="s">
        <v>24</v>
      </c>
      <c r="J181" s="4">
        <v>6800000</v>
      </c>
      <c r="K181" s="2">
        <v>3</v>
      </c>
      <c r="L181" s="2">
        <v>3</v>
      </c>
      <c r="M181" s="2">
        <v>22</v>
      </c>
      <c r="N181" s="2" t="s">
        <v>25</v>
      </c>
      <c r="O181" s="2" t="s">
        <v>26</v>
      </c>
      <c r="P181" s="2" t="s">
        <v>27</v>
      </c>
      <c r="Q181" s="3">
        <v>45923</v>
      </c>
      <c r="R181" s="2" t="s">
        <v>28</v>
      </c>
    </row>
    <row r="182" spans="1:18" x14ac:dyDescent="0.3">
      <c r="A182" s="2" t="s">
        <v>404</v>
      </c>
      <c r="B182" s="2" t="s">
        <v>221</v>
      </c>
      <c r="C182" s="2" t="s">
        <v>20</v>
      </c>
      <c r="D182" s="3">
        <v>34017</v>
      </c>
      <c r="E182" s="3">
        <v>44547</v>
      </c>
      <c r="F182" s="2" t="s">
        <v>114</v>
      </c>
      <c r="G182" s="2" t="s">
        <v>115</v>
      </c>
      <c r="H182" s="2" t="s">
        <v>33</v>
      </c>
      <c r="I182" s="2" t="s">
        <v>24</v>
      </c>
      <c r="J182" s="4">
        <v>4130000</v>
      </c>
      <c r="K182" s="2">
        <v>4</v>
      </c>
      <c r="L182" s="2">
        <v>3</v>
      </c>
      <c r="M182" s="2">
        <v>30</v>
      </c>
      <c r="N182" s="2" t="s">
        <v>25</v>
      </c>
      <c r="O182" s="2" t="s">
        <v>26</v>
      </c>
      <c r="P182" s="2" t="s">
        <v>36</v>
      </c>
      <c r="Q182" s="3"/>
      <c r="R182" s="2"/>
    </row>
    <row r="183" spans="1:18" x14ac:dyDescent="0.3">
      <c r="A183" s="2" t="s">
        <v>405</v>
      </c>
      <c r="B183" s="2" t="s">
        <v>133</v>
      </c>
      <c r="C183" s="2" t="s">
        <v>20</v>
      </c>
      <c r="D183" s="3">
        <v>35898</v>
      </c>
      <c r="E183" s="3">
        <v>44336</v>
      </c>
      <c r="F183" s="2" t="s">
        <v>51</v>
      </c>
      <c r="G183" s="2" t="s">
        <v>93</v>
      </c>
      <c r="H183" s="2" t="s">
        <v>23</v>
      </c>
      <c r="I183" s="2" t="s">
        <v>24</v>
      </c>
      <c r="J183" s="4">
        <v>12660000</v>
      </c>
      <c r="K183" s="2">
        <v>4</v>
      </c>
      <c r="L183" s="2">
        <v>3</v>
      </c>
      <c r="M183" s="2">
        <v>17</v>
      </c>
      <c r="N183" s="2" t="s">
        <v>41</v>
      </c>
      <c r="O183" s="2" t="s">
        <v>26</v>
      </c>
      <c r="P183" s="2" t="s">
        <v>36</v>
      </c>
      <c r="Q183" s="3"/>
      <c r="R183" s="2"/>
    </row>
    <row r="184" spans="1:18" x14ac:dyDescent="0.3">
      <c r="A184" s="2" t="s">
        <v>406</v>
      </c>
      <c r="B184" s="2" t="s">
        <v>407</v>
      </c>
      <c r="C184" s="2" t="s">
        <v>20</v>
      </c>
      <c r="D184" s="3">
        <v>38721</v>
      </c>
      <c r="E184" s="3">
        <v>46218</v>
      </c>
      <c r="F184" s="2" t="s">
        <v>39</v>
      </c>
      <c r="G184" s="2" t="s">
        <v>40</v>
      </c>
      <c r="H184" s="2" t="s">
        <v>23</v>
      </c>
      <c r="I184" s="2" t="s">
        <v>24</v>
      </c>
      <c r="J184" s="4">
        <v>11990000</v>
      </c>
      <c r="K184" s="2">
        <v>5</v>
      </c>
      <c r="L184" s="2">
        <v>2</v>
      </c>
      <c r="M184" s="2">
        <v>12</v>
      </c>
      <c r="N184" s="2" t="s">
        <v>41</v>
      </c>
      <c r="O184" s="2" t="s">
        <v>26</v>
      </c>
      <c r="P184" s="2" t="s">
        <v>36</v>
      </c>
      <c r="Q184" s="3"/>
      <c r="R184" s="2"/>
    </row>
    <row r="185" spans="1:18" x14ac:dyDescent="0.3">
      <c r="A185" s="2" t="s">
        <v>408</v>
      </c>
      <c r="B185" s="2" t="s">
        <v>409</v>
      </c>
      <c r="C185" s="2" t="s">
        <v>31</v>
      </c>
      <c r="D185" s="3">
        <v>33552</v>
      </c>
      <c r="E185" s="3">
        <v>43187</v>
      </c>
      <c r="F185" s="2" t="s">
        <v>56</v>
      </c>
      <c r="G185" s="2" t="s">
        <v>60</v>
      </c>
      <c r="H185" s="2" t="s">
        <v>68</v>
      </c>
      <c r="I185" s="2" t="s">
        <v>82</v>
      </c>
      <c r="J185" s="4">
        <v>6900000</v>
      </c>
      <c r="K185" s="2">
        <v>2</v>
      </c>
      <c r="L185" s="2">
        <v>4</v>
      </c>
      <c r="M185" s="2">
        <v>23</v>
      </c>
      <c r="N185" s="2" t="s">
        <v>41</v>
      </c>
      <c r="O185" s="2" t="s">
        <v>26</v>
      </c>
      <c r="P185" s="2" t="s">
        <v>36</v>
      </c>
      <c r="Q185" s="3"/>
      <c r="R185" s="2"/>
    </row>
    <row r="186" spans="1:18" x14ac:dyDescent="0.3">
      <c r="A186" s="2" t="s">
        <v>410</v>
      </c>
      <c r="B186" s="2" t="s">
        <v>411</v>
      </c>
      <c r="C186" s="2" t="s">
        <v>31</v>
      </c>
      <c r="D186" s="3">
        <v>37157</v>
      </c>
      <c r="E186" s="3">
        <v>45511</v>
      </c>
      <c r="F186" s="2" t="s">
        <v>114</v>
      </c>
      <c r="G186" s="2" t="s">
        <v>196</v>
      </c>
      <c r="H186" s="2" t="s">
        <v>33</v>
      </c>
      <c r="I186" s="2" t="s">
        <v>24</v>
      </c>
      <c r="J186" s="4">
        <v>2790000</v>
      </c>
      <c r="K186" s="2">
        <v>4</v>
      </c>
      <c r="L186" s="2">
        <v>3</v>
      </c>
      <c r="M186" s="2">
        <v>32</v>
      </c>
      <c r="N186" s="2" t="s">
        <v>41</v>
      </c>
      <c r="O186" s="2" t="s">
        <v>26</v>
      </c>
      <c r="P186" s="2" t="s">
        <v>27</v>
      </c>
      <c r="Q186" s="3">
        <v>46209</v>
      </c>
      <c r="R186" s="2" t="s">
        <v>28</v>
      </c>
    </row>
    <row r="187" spans="1:18" x14ac:dyDescent="0.3">
      <c r="A187" s="2" t="s">
        <v>412</v>
      </c>
      <c r="B187" s="2" t="s">
        <v>413</v>
      </c>
      <c r="C187" s="2" t="s">
        <v>20</v>
      </c>
      <c r="D187" s="3">
        <v>35268</v>
      </c>
      <c r="E187" s="3">
        <v>44637</v>
      </c>
      <c r="F187" s="2" t="s">
        <v>64</v>
      </c>
      <c r="G187" s="2" t="s">
        <v>65</v>
      </c>
      <c r="H187" s="2" t="s">
        <v>33</v>
      </c>
      <c r="I187" s="2" t="s">
        <v>24</v>
      </c>
      <c r="J187" s="4">
        <v>3870000</v>
      </c>
      <c r="K187" s="2">
        <v>3</v>
      </c>
      <c r="L187" s="2">
        <v>3</v>
      </c>
      <c r="M187" s="2">
        <v>23</v>
      </c>
      <c r="N187" s="2" t="s">
        <v>41</v>
      </c>
      <c r="O187" s="2" t="s">
        <v>26</v>
      </c>
      <c r="P187" s="2" t="s">
        <v>36</v>
      </c>
      <c r="Q187" s="3"/>
      <c r="R187" s="2"/>
    </row>
    <row r="188" spans="1:18" x14ac:dyDescent="0.3">
      <c r="A188" s="2" t="s">
        <v>414</v>
      </c>
      <c r="B188" s="2" t="s">
        <v>415</v>
      </c>
      <c r="C188" s="2" t="s">
        <v>20</v>
      </c>
      <c r="D188" s="3">
        <v>30474</v>
      </c>
      <c r="E188" s="3">
        <v>42720</v>
      </c>
      <c r="F188" s="2" t="s">
        <v>21</v>
      </c>
      <c r="G188" s="2" t="s">
        <v>32</v>
      </c>
      <c r="H188" s="2" t="s">
        <v>68</v>
      </c>
      <c r="I188" s="2" t="s">
        <v>24</v>
      </c>
      <c r="J188" s="4">
        <v>9240000</v>
      </c>
      <c r="K188" s="2">
        <v>3</v>
      </c>
      <c r="L188" s="2">
        <v>3</v>
      </c>
      <c r="M188" s="2">
        <v>29</v>
      </c>
      <c r="N188" s="2" t="s">
        <v>25</v>
      </c>
      <c r="O188" s="2" t="s">
        <v>26</v>
      </c>
      <c r="P188" s="2" t="s">
        <v>36</v>
      </c>
      <c r="Q188" s="3"/>
      <c r="R188" s="2"/>
    </row>
    <row r="189" spans="1:18" x14ac:dyDescent="0.3">
      <c r="A189" s="2" t="s">
        <v>416</v>
      </c>
      <c r="B189" s="2" t="s">
        <v>92</v>
      </c>
      <c r="C189" s="2" t="s">
        <v>20</v>
      </c>
      <c r="D189" s="3">
        <v>32796</v>
      </c>
      <c r="E189" s="3">
        <v>45945</v>
      </c>
      <c r="F189" s="2" t="s">
        <v>21</v>
      </c>
      <c r="G189" s="2" t="s">
        <v>32</v>
      </c>
      <c r="H189" s="2" t="s">
        <v>68</v>
      </c>
      <c r="I189" s="2" t="s">
        <v>24</v>
      </c>
      <c r="J189" s="4">
        <v>7980000</v>
      </c>
      <c r="K189" s="2">
        <v>3</v>
      </c>
      <c r="L189" s="2">
        <v>4</v>
      </c>
      <c r="M189" s="2">
        <v>38</v>
      </c>
      <c r="N189" s="2" t="s">
        <v>41</v>
      </c>
      <c r="O189" s="2" t="s">
        <v>26</v>
      </c>
      <c r="P189" s="2" t="s">
        <v>36</v>
      </c>
      <c r="Q189" s="3"/>
      <c r="R189" s="2"/>
    </row>
    <row r="190" spans="1:18" x14ac:dyDescent="0.3">
      <c r="A190" s="2" t="s">
        <v>417</v>
      </c>
      <c r="B190" s="2" t="s">
        <v>418</v>
      </c>
      <c r="C190" s="2" t="s">
        <v>31</v>
      </c>
      <c r="D190" s="3">
        <v>35140</v>
      </c>
      <c r="E190" s="3">
        <v>44278</v>
      </c>
      <c r="F190" s="2" t="s">
        <v>64</v>
      </c>
      <c r="G190" s="2" t="s">
        <v>79</v>
      </c>
      <c r="H190" s="2" t="s">
        <v>68</v>
      </c>
      <c r="I190" s="2" t="s">
        <v>24</v>
      </c>
      <c r="J190" s="4">
        <v>6240000</v>
      </c>
      <c r="K190" s="2">
        <v>4</v>
      </c>
      <c r="L190" s="2">
        <v>2</v>
      </c>
      <c r="M190" s="2">
        <v>3</v>
      </c>
      <c r="N190" s="2" t="s">
        <v>41</v>
      </c>
      <c r="O190" s="2" t="s">
        <v>35</v>
      </c>
      <c r="P190" s="2" t="s">
        <v>36</v>
      </c>
      <c r="Q190" s="3"/>
      <c r="R190" s="2"/>
    </row>
    <row r="191" spans="1:18" x14ac:dyDescent="0.3">
      <c r="A191" s="2" t="s">
        <v>419</v>
      </c>
      <c r="B191" s="2" t="s">
        <v>420</v>
      </c>
      <c r="C191" s="2" t="s">
        <v>31</v>
      </c>
      <c r="D191" s="3">
        <v>35299</v>
      </c>
      <c r="E191" s="3">
        <v>43693</v>
      </c>
      <c r="F191" s="2" t="s">
        <v>21</v>
      </c>
      <c r="G191" s="2" t="s">
        <v>22</v>
      </c>
      <c r="H191" s="2" t="s">
        <v>23</v>
      </c>
      <c r="I191" s="2" t="s">
        <v>82</v>
      </c>
      <c r="J191" s="4">
        <v>15350000</v>
      </c>
      <c r="K191" s="2">
        <v>3</v>
      </c>
      <c r="L191" s="2">
        <v>4</v>
      </c>
      <c r="M191" s="2">
        <v>5</v>
      </c>
      <c r="N191" s="2" t="s">
        <v>88</v>
      </c>
      <c r="O191" s="2" t="s">
        <v>26</v>
      </c>
      <c r="P191" s="2" t="s">
        <v>36</v>
      </c>
      <c r="Q191" s="3"/>
      <c r="R191" s="2"/>
    </row>
    <row r="192" spans="1:18" x14ac:dyDescent="0.3">
      <c r="A192" s="2" t="s">
        <v>421</v>
      </c>
      <c r="B192" s="2" t="s">
        <v>422</v>
      </c>
      <c r="C192" s="2" t="s">
        <v>20</v>
      </c>
      <c r="D192" s="3">
        <v>36107</v>
      </c>
      <c r="E192" s="3">
        <v>44344</v>
      </c>
      <c r="F192" s="2" t="s">
        <v>21</v>
      </c>
      <c r="G192" s="2" t="s">
        <v>22</v>
      </c>
      <c r="H192" s="2" t="s">
        <v>33</v>
      </c>
      <c r="I192" s="2" t="s">
        <v>24</v>
      </c>
      <c r="J192" s="4">
        <v>5010000</v>
      </c>
      <c r="K192" s="2">
        <v>4</v>
      </c>
      <c r="L192" s="2">
        <v>4</v>
      </c>
      <c r="M192" s="2">
        <v>9</v>
      </c>
      <c r="N192" s="2" t="s">
        <v>41</v>
      </c>
      <c r="O192" s="2" t="s">
        <v>26</v>
      </c>
      <c r="P192" s="2" t="s">
        <v>36</v>
      </c>
      <c r="Q192" s="3"/>
      <c r="R192" s="2"/>
    </row>
    <row r="193" spans="1:18" x14ac:dyDescent="0.3">
      <c r="A193" s="2" t="s">
        <v>423</v>
      </c>
      <c r="B193" s="2" t="s">
        <v>285</v>
      </c>
      <c r="C193" s="2" t="s">
        <v>20</v>
      </c>
      <c r="D193" s="3">
        <v>33715</v>
      </c>
      <c r="E193" s="3">
        <v>44266</v>
      </c>
      <c r="F193" s="2" t="s">
        <v>51</v>
      </c>
      <c r="G193" s="2" t="s">
        <v>93</v>
      </c>
      <c r="H193" s="2" t="s">
        <v>33</v>
      </c>
      <c r="I193" s="2" t="s">
        <v>24</v>
      </c>
      <c r="J193" s="4">
        <v>3600000</v>
      </c>
      <c r="K193" s="2">
        <v>3</v>
      </c>
      <c r="L193" s="2">
        <v>5</v>
      </c>
      <c r="M193" s="2">
        <v>8</v>
      </c>
      <c r="N193" s="2" t="s">
        <v>41</v>
      </c>
      <c r="O193" s="2" t="s">
        <v>26</v>
      </c>
      <c r="P193" s="2" t="s">
        <v>36</v>
      </c>
      <c r="Q193" s="3"/>
      <c r="R193" s="2"/>
    </row>
    <row r="194" spans="1:18" x14ac:dyDescent="0.3">
      <c r="A194" s="2" t="s">
        <v>424</v>
      </c>
      <c r="B194" s="2" t="s">
        <v>425</v>
      </c>
      <c r="C194" s="2" t="s">
        <v>31</v>
      </c>
      <c r="D194" s="3">
        <v>38461</v>
      </c>
      <c r="E194" s="3">
        <v>45888</v>
      </c>
      <c r="F194" s="2" t="s">
        <v>51</v>
      </c>
      <c r="G194" s="2" t="s">
        <v>93</v>
      </c>
      <c r="H194" s="2" t="s">
        <v>68</v>
      </c>
      <c r="I194" s="2" t="s">
        <v>24</v>
      </c>
      <c r="J194" s="4">
        <v>4400000</v>
      </c>
      <c r="K194" s="2">
        <v>3</v>
      </c>
      <c r="L194" s="2">
        <v>2</v>
      </c>
      <c r="M194" s="2">
        <v>19</v>
      </c>
      <c r="N194" s="2" t="s">
        <v>41</v>
      </c>
      <c r="O194" s="2" t="s">
        <v>26</v>
      </c>
      <c r="P194" s="2" t="s">
        <v>27</v>
      </c>
      <c r="Q194" s="3">
        <v>46178</v>
      </c>
      <c r="R194" s="2" t="s">
        <v>155</v>
      </c>
    </row>
    <row r="195" spans="1:18" x14ac:dyDescent="0.3">
      <c r="A195" s="2" t="s">
        <v>426</v>
      </c>
      <c r="B195" s="2" t="s">
        <v>149</v>
      </c>
      <c r="C195" s="2" t="s">
        <v>31</v>
      </c>
      <c r="D195" s="3">
        <v>31102</v>
      </c>
      <c r="E195" s="3">
        <v>44683</v>
      </c>
      <c r="F195" s="2" t="s">
        <v>56</v>
      </c>
      <c r="G195" s="2" t="s">
        <v>142</v>
      </c>
      <c r="H195" s="2" t="s">
        <v>68</v>
      </c>
      <c r="I195" s="2" t="s">
        <v>24</v>
      </c>
      <c r="J195" s="4">
        <v>6180000</v>
      </c>
      <c r="K195" s="2">
        <v>3</v>
      </c>
      <c r="L195" s="2">
        <v>2</v>
      </c>
      <c r="M195" s="2">
        <v>17</v>
      </c>
      <c r="N195" s="2" t="s">
        <v>25</v>
      </c>
      <c r="O195" s="2" t="s">
        <v>26</v>
      </c>
      <c r="P195" s="2" t="s">
        <v>27</v>
      </c>
      <c r="Q195" s="3">
        <v>46249</v>
      </c>
      <c r="R195" s="2" t="s">
        <v>401</v>
      </c>
    </row>
    <row r="196" spans="1:18" x14ac:dyDescent="0.3">
      <c r="A196" s="2" t="s">
        <v>427</v>
      </c>
      <c r="B196" s="2" t="s">
        <v>428</v>
      </c>
      <c r="C196" s="2" t="s">
        <v>31</v>
      </c>
      <c r="D196" s="3">
        <v>34726</v>
      </c>
      <c r="E196" s="3">
        <v>43920</v>
      </c>
      <c r="F196" s="2" t="s">
        <v>114</v>
      </c>
      <c r="G196" s="2" t="s">
        <v>150</v>
      </c>
      <c r="H196" s="2" t="s">
        <v>33</v>
      </c>
      <c r="I196" s="2" t="s">
        <v>34</v>
      </c>
      <c r="J196" s="4">
        <v>2890000</v>
      </c>
      <c r="K196" s="2">
        <v>3</v>
      </c>
      <c r="L196" s="2">
        <v>2</v>
      </c>
      <c r="M196" s="2">
        <v>12</v>
      </c>
      <c r="N196" s="2" t="s">
        <v>41</v>
      </c>
      <c r="O196" s="2" t="s">
        <v>35</v>
      </c>
      <c r="P196" s="2" t="s">
        <v>27</v>
      </c>
      <c r="Q196" s="3">
        <v>46137</v>
      </c>
      <c r="R196" s="2" t="s">
        <v>28</v>
      </c>
    </row>
    <row r="197" spans="1:18" x14ac:dyDescent="0.3">
      <c r="A197" s="2" t="s">
        <v>429</v>
      </c>
      <c r="B197" s="2" t="s">
        <v>231</v>
      </c>
      <c r="C197" s="2" t="s">
        <v>20</v>
      </c>
      <c r="D197" s="3">
        <v>34766</v>
      </c>
      <c r="E197" s="3">
        <v>45983</v>
      </c>
      <c r="F197" s="2" t="s">
        <v>114</v>
      </c>
      <c r="G197" s="2" t="s">
        <v>196</v>
      </c>
      <c r="H197" s="2" t="s">
        <v>68</v>
      </c>
      <c r="I197" s="2" t="s">
        <v>24</v>
      </c>
      <c r="J197" s="4">
        <v>5000000</v>
      </c>
      <c r="K197" s="2">
        <v>5</v>
      </c>
      <c r="L197" s="2">
        <v>3</v>
      </c>
      <c r="M197" s="2">
        <v>33</v>
      </c>
      <c r="N197" s="2" t="s">
        <v>41</v>
      </c>
      <c r="O197" s="2" t="s">
        <v>35</v>
      </c>
      <c r="P197" s="2" t="s">
        <v>36</v>
      </c>
      <c r="Q197" s="3"/>
      <c r="R197" s="2"/>
    </row>
    <row r="198" spans="1:18" x14ac:dyDescent="0.3">
      <c r="A198" s="2" t="s">
        <v>430</v>
      </c>
      <c r="B198" s="2" t="s">
        <v>431</v>
      </c>
      <c r="C198" s="2" t="s">
        <v>20</v>
      </c>
      <c r="D198" s="3">
        <v>36665</v>
      </c>
      <c r="E198" s="3">
        <v>44886</v>
      </c>
      <c r="F198" s="2" t="s">
        <v>51</v>
      </c>
      <c r="G198" s="2" t="s">
        <v>93</v>
      </c>
      <c r="H198" s="2" t="s">
        <v>68</v>
      </c>
      <c r="I198" s="2" t="s">
        <v>24</v>
      </c>
      <c r="J198" s="4">
        <v>5080000</v>
      </c>
      <c r="K198" s="2"/>
      <c r="L198" s="2">
        <v>3</v>
      </c>
      <c r="M198" s="2">
        <v>19</v>
      </c>
      <c r="N198" s="2" t="s">
        <v>25</v>
      </c>
      <c r="O198" s="2" t="s">
        <v>26</v>
      </c>
      <c r="P198" s="2" t="s">
        <v>27</v>
      </c>
      <c r="Q198" s="3">
        <v>46003</v>
      </c>
      <c r="R198" s="2" t="s">
        <v>235</v>
      </c>
    </row>
    <row r="199" spans="1:18" x14ac:dyDescent="0.3">
      <c r="A199" s="2" t="s">
        <v>432</v>
      </c>
      <c r="B199" s="2" t="s">
        <v>433</v>
      </c>
      <c r="C199" s="2" t="s">
        <v>31</v>
      </c>
      <c r="D199" s="3">
        <v>30595</v>
      </c>
      <c r="E199" s="3">
        <v>42547</v>
      </c>
      <c r="F199" s="2" t="s">
        <v>64</v>
      </c>
      <c r="G199" s="2" t="s">
        <v>65</v>
      </c>
      <c r="H199" s="2" t="s">
        <v>68</v>
      </c>
      <c r="I199" s="2" t="s">
        <v>24</v>
      </c>
      <c r="J199" s="4">
        <v>8260000</v>
      </c>
      <c r="K199" s="2">
        <v>2</v>
      </c>
      <c r="L199" s="2">
        <v>3</v>
      </c>
      <c r="M199" s="2">
        <v>22</v>
      </c>
      <c r="N199" s="2" t="s">
        <v>41</v>
      </c>
      <c r="O199" s="2" t="s">
        <v>35</v>
      </c>
      <c r="P199" s="2" t="s">
        <v>36</v>
      </c>
      <c r="Q199" s="3"/>
      <c r="R199" s="2"/>
    </row>
    <row r="200" spans="1:18" x14ac:dyDescent="0.3">
      <c r="A200" s="2" t="s">
        <v>434</v>
      </c>
      <c r="B200" s="2" t="s">
        <v>435</v>
      </c>
      <c r="C200" s="2" t="s">
        <v>31</v>
      </c>
      <c r="D200" s="3">
        <v>25782</v>
      </c>
      <c r="E200" s="3">
        <v>45593</v>
      </c>
      <c r="F200" s="2" t="s">
        <v>56</v>
      </c>
      <c r="G200" s="2" t="s">
        <v>60</v>
      </c>
      <c r="H200" s="2" t="s">
        <v>23</v>
      </c>
      <c r="I200" s="2" t="s">
        <v>24</v>
      </c>
      <c r="J200" s="4">
        <v>15200000</v>
      </c>
      <c r="K200" s="2">
        <v>3</v>
      </c>
      <c r="L200" s="2">
        <v>4</v>
      </c>
      <c r="M200" s="2">
        <v>6</v>
      </c>
      <c r="N200" s="2" t="s">
        <v>25</v>
      </c>
      <c r="O200" s="2" t="s">
        <v>26</v>
      </c>
      <c r="P200" s="2" t="s">
        <v>36</v>
      </c>
      <c r="Q200" s="3"/>
      <c r="R200" s="2"/>
    </row>
    <row r="201" spans="1:18" x14ac:dyDescent="0.3">
      <c r="A201" s="2" t="s">
        <v>436</v>
      </c>
      <c r="B201" s="2" t="s">
        <v>437</v>
      </c>
      <c r="C201" s="2" t="s">
        <v>20</v>
      </c>
      <c r="D201" s="3">
        <v>33588</v>
      </c>
      <c r="E201" s="3">
        <v>46016</v>
      </c>
      <c r="F201" s="2" t="s">
        <v>64</v>
      </c>
      <c r="G201" s="2" t="s">
        <v>79</v>
      </c>
      <c r="H201" s="2" t="s">
        <v>23</v>
      </c>
      <c r="I201" s="2" t="s">
        <v>104</v>
      </c>
      <c r="J201" s="4">
        <v>14470000</v>
      </c>
      <c r="K201" s="2">
        <v>4</v>
      </c>
      <c r="L201" s="2">
        <v>4</v>
      </c>
      <c r="M201" s="2">
        <v>10</v>
      </c>
      <c r="N201" s="2" t="s">
        <v>41</v>
      </c>
      <c r="O201" s="2" t="s">
        <v>53</v>
      </c>
      <c r="P201" s="2" t="s">
        <v>36</v>
      </c>
      <c r="Q201" s="3"/>
      <c r="R201" s="2"/>
    </row>
    <row r="202" spans="1:18" x14ac:dyDescent="0.3">
      <c r="A202" s="2" t="s">
        <v>438</v>
      </c>
      <c r="B202" s="2" t="s">
        <v>415</v>
      </c>
      <c r="C202" s="2" t="s">
        <v>20</v>
      </c>
      <c r="D202" s="3">
        <v>38751</v>
      </c>
      <c r="E202" s="3">
        <v>46244</v>
      </c>
      <c r="F202" s="2" t="s">
        <v>51</v>
      </c>
      <c r="G202" s="2" t="s">
        <v>52</v>
      </c>
      <c r="H202" s="2" t="s">
        <v>68</v>
      </c>
      <c r="I202" s="2" t="s">
        <v>96</v>
      </c>
      <c r="J202" s="4">
        <v>5070000</v>
      </c>
      <c r="K202" s="2">
        <v>4</v>
      </c>
      <c r="L202" s="2">
        <v>4</v>
      </c>
      <c r="M202" s="2">
        <v>14</v>
      </c>
      <c r="N202" s="2" t="s">
        <v>25</v>
      </c>
      <c r="O202" s="2" t="s">
        <v>35</v>
      </c>
      <c r="P202" s="2" t="s">
        <v>36</v>
      </c>
      <c r="Q202" s="3"/>
      <c r="R202" s="2"/>
    </row>
    <row r="203" spans="1:18" x14ac:dyDescent="0.3">
      <c r="A203" s="2" t="s">
        <v>439</v>
      </c>
      <c r="B203" s="2" t="s">
        <v>440</v>
      </c>
      <c r="C203" s="2" t="s">
        <v>20</v>
      </c>
      <c r="D203" s="3">
        <v>36720</v>
      </c>
      <c r="E203" s="3">
        <v>46036</v>
      </c>
      <c r="F203" s="2" t="s">
        <v>51</v>
      </c>
      <c r="G203" s="2" t="s">
        <v>93</v>
      </c>
      <c r="H203" s="2" t="s">
        <v>68</v>
      </c>
      <c r="I203" s="2" t="s">
        <v>24</v>
      </c>
      <c r="J203" s="4">
        <v>5350000</v>
      </c>
      <c r="K203" s="2">
        <v>4</v>
      </c>
      <c r="L203" s="2">
        <v>4</v>
      </c>
      <c r="M203" s="2">
        <v>4</v>
      </c>
      <c r="N203" s="2" t="s">
        <v>41</v>
      </c>
      <c r="O203" s="2" t="s">
        <v>35</v>
      </c>
      <c r="P203" s="2" t="s">
        <v>36</v>
      </c>
      <c r="Q203" s="3"/>
      <c r="R203" s="2"/>
    </row>
    <row r="204" spans="1:18" x14ac:dyDescent="0.3">
      <c r="A204" s="2" t="s">
        <v>441</v>
      </c>
      <c r="B204" s="2" t="s">
        <v>277</v>
      </c>
      <c r="C204" s="2" t="s">
        <v>20</v>
      </c>
      <c r="D204" s="3">
        <v>36695</v>
      </c>
      <c r="E204" s="3">
        <v>45430</v>
      </c>
      <c r="F204" s="2" t="s">
        <v>64</v>
      </c>
      <c r="G204" s="2" t="s">
        <v>65</v>
      </c>
      <c r="H204" s="2" t="s">
        <v>33</v>
      </c>
      <c r="I204" s="2" t="s">
        <v>104</v>
      </c>
      <c r="J204" s="4">
        <v>3070000</v>
      </c>
      <c r="K204" s="2">
        <v>3</v>
      </c>
      <c r="L204" s="2">
        <v>5</v>
      </c>
      <c r="M204" s="2">
        <v>7</v>
      </c>
      <c r="N204" s="2" t="s">
        <v>25</v>
      </c>
      <c r="O204" s="2" t="s">
        <v>26</v>
      </c>
      <c r="P204" s="2" t="s">
        <v>36</v>
      </c>
      <c r="Q204" s="3"/>
      <c r="R204" s="2"/>
    </row>
    <row r="205" spans="1:18" x14ac:dyDescent="0.3">
      <c r="A205" s="2" t="s">
        <v>442</v>
      </c>
      <c r="B205" s="2" t="s">
        <v>443</v>
      </c>
      <c r="C205" s="2" t="s">
        <v>31</v>
      </c>
      <c r="D205" s="3">
        <v>35867</v>
      </c>
      <c r="E205" s="3">
        <v>44430</v>
      </c>
      <c r="F205" s="2" t="s">
        <v>47</v>
      </c>
      <c r="G205" s="2" t="s">
        <v>90</v>
      </c>
      <c r="H205" s="2" t="s">
        <v>33</v>
      </c>
      <c r="I205" s="2" t="s">
        <v>206</v>
      </c>
      <c r="J205" s="4">
        <v>5020000</v>
      </c>
      <c r="K205" s="2">
        <v>4</v>
      </c>
      <c r="L205" s="2">
        <v>5</v>
      </c>
      <c r="M205" s="2">
        <v>5</v>
      </c>
      <c r="N205" s="2" t="s">
        <v>41</v>
      </c>
      <c r="O205" s="2" t="s">
        <v>26</v>
      </c>
      <c r="P205" s="2" t="s">
        <v>36</v>
      </c>
      <c r="Q205" s="3"/>
      <c r="R205" s="2"/>
    </row>
    <row r="206" spans="1:18" x14ac:dyDescent="0.3">
      <c r="A206" s="2" t="s">
        <v>444</v>
      </c>
      <c r="B206" s="2" t="s">
        <v>445</v>
      </c>
      <c r="C206" s="2" t="s">
        <v>31</v>
      </c>
      <c r="D206" s="3">
        <v>34397</v>
      </c>
      <c r="E206" s="3">
        <v>45316</v>
      </c>
      <c r="F206" s="2" t="s">
        <v>51</v>
      </c>
      <c r="G206" s="2" t="s">
        <v>52</v>
      </c>
      <c r="H206" s="2" t="s">
        <v>68</v>
      </c>
      <c r="I206" s="2" t="s">
        <v>82</v>
      </c>
      <c r="J206" s="4">
        <v>6460000</v>
      </c>
      <c r="K206" s="2">
        <v>4</v>
      </c>
      <c r="L206" s="2">
        <v>5</v>
      </c>
      <c r="M206" s="2">
        <v>19</v>
      </c>
      <c r="N206" s="2" t="s">
        <v>25</v>
      </c>
      <c r="O206" s="2" t="s">
        <v>26</v>
      </c>
      <c r="P206" s="2" t="s">
        <v>36</v>
      </c>
      <c r="Q206" s="3"/>
      <c r="R206" s="2"/>
    </row>
    <row r="207" spans="1:18" x14ac:dyDescent="0.3">
      <c r="A207" s="2" t="s">
        <v>446</v>
      </c>
      <c r="B207" s="2" t="s">
        <v>141</v>
      </c>
      <c r="C207" s="2" t="s">
        <v>20</v>
      </c>
      <c r="D207" s="3">
        <v>36292</v>
      </c>
      <c r="E207" s="3">
        <v>45077</v>
      </c>
      <c r="F207" s="2" t="s">
        <v>47</v>
      </c>
      <c r="G207" s="2" t="s">
        <v>48</v>
      </c>
      <c r="H207" s="2" t="s">
        <v>68</v>
      </c>
      <c r="I207" s="2" t="s">
        <v>206</v>
      </c>
      <c r="J207" s="4">
        <v>7690000</v>
      </c>
      <c r="K207" s="2">
        <v>4</v>
      </c>
      <c r="L207" s="2">
        <v>5</v>
      </c>
      <c r="M207" s="2">
        <v>4</v>
      </c>
      <c r="N207" s="2" t="s">
        <v>41</v>
      </c>
      <c r="O207" s="2" t="s">
        <v>35</v>
      </c>
      <c r="P207" s="2" t="s">
        <v>36</v>
      </c>
      <c r="Q207" s="3"/>
      <c r="R207" s="2"/>
    </row>
    <row r="208" spans="1:18" x14ac:dyDescent="0.3">
      <c r="A208" s="2" t="s">
        <v>447</v>
      </c>
      <c r="B208" s="2" t="s">
        <v>448</v>
      </c>
      <c r="C208" s="2" t="s">
        <v>31</v>
      </c>
      <c r="D208" s="3">
        <v>35513</v>
      </c>
      <c r="E208" s="3">
        <v>44572</v>
      </c>
      <c r="F208" s="2" t="s">
        <v>39</v>
      </c>
      <c r="G208" s="2" t="s">
        <v>40</v>
      </c>
      <c r="H208" s="2" t="s">
        <v>33</v>
      </c>
      <c r="I208" s="2" t="s">
        <v>34</v>
      </c>
      <c r="J208" s="4">
        <v>3110000</v>
      </c>
      <c r="K208" s="2">
        <v>5</v>
      </c>
      <c r="L208" s="2">
        <v>5</v>
      </c>
      <c r="M208" s="2">
        <v>23</v>
      </c>
      <c r="N208" s="2" t="s">
        <v>41</v>
      </c>
      <c r="O208" s="2" t="s">
        <v>35</v>
      </c>
      <c r="P208" s="2" t="s">
        <v>36</v>
      </c>
      <c r="Q208" s="3"/>
      <c r="R208" s="2"/>
    </row>
    <row r="209" spans="1:18" x14ac:dyDescent="0.3">
      <c r="A209" s="2" t="s">
        <v>449</v>
      </c>
      <c r="B209" s="2" t="s">
        <v>362</v>
      </c>
      <c r="C209" s="2" t="s">
        <v>20</v>
      </c>
      <c r="D209" s="3">
        <v>39046</v>
      </c>
      <c r="E209" s="3">
        <v>46290</v>
      </c>
      <c r="F209" s="2" t="s">
        <v>47</v>
      </c>
      <c r="G209" s="2" t="s">
        <v>48</v>
      </c>
      <c r="H209" s="2" t="s">
        <v>33</v>
      </c>
      <c r="I209" s="2" t="s">
        <v>206</v>
      </c>
      <c r="J209" s="4">
        <v>4010000</v>
      </c>
      <c r="K209" s="2">
        <v>2</v>
      </c>
      <c r="L209" s="2">
        <v>5</v>
      </c>
      <c r="M209" s="2">
        <v>0</v>
      </c>
      <c r="N209" s="2" t="s">
        <v>25</v>
      </c>
      <c r="O209" s="2" t="s">
        <v>26</v>
      </c>
      <c r="P209" s="2" t="s">
        <v>36</v>
      </c>
      <c r="Q209" s="3"/>
      <c r="R209" s="2"/>
    </row>
    <row r="210" spans="1:18" x14ac:dyDescent="0.3">
      <c r="A210" s="2" t="s">
        <v>450</v>
      </c>
      <c r="B210" s="2" t="s">
        <v>451</v>
      </c>
      <c r="C210" s="2" t="s">
        <v>20</v>
      </c>
      <c r="D210" s="3">
        <v>32534</v>
      </c>
      <c r="E210" s="3">
        <v>45751</v>
      </c>
      <c r="F210" s="2" t="s">
        <v>56</v>
      </c>
      <c r="G210" s="2" t="s">
        <v>142</v>
      </c>
      <c r="H210" s="2" t="s">
        <v>33</v>
      </c>
      <c r="I210" s="2" t="s">
        <v>34</v>
      </c>
      <c r="J210" s="4">
        <v>3440000</v>
      </c>
      <c r="K210" s="2">
        <v>3</v>
      </c>
      <c r="L210" s="2">
        <v>3</v>
      </c>
      <c r="M210" s="2">
        <v>1</v>
      </c>
      <c r="N210" s="2" t="s">
        <v>25</v>
      </c>
      <c r="O210" s="2" t="s">
        <v>53</v>
      </c>
      <c r="P210" s="2" t="s">
        <v>36</v>
      </c>
      <c r="Q210" s="3"/>
      <c r="R210" s="2"/>
    </row>
    <row r="211" spans="1:18" x14ac:dyDescent="0.3">
      <c r="A211" s="2" t="s">
        <v>452</v>
      </c>
      <c r="B211" s="2" t="s">
        <v>453</v>
      </c>
      <c r="C211" s="2" t="s">
        <v>20</v>
      </c>
      <c r="D211" s="3">
        <v>35284</v>
      </c>
      <c r="E211" s="3">
        <v>45508</v>
      </c>
      <c r="F211" s="2" t="s">
        <v>114</v>
      </c>
      <c r="G211" s="2" t="s">
        <v>150</v>
      </c>
      <c r="H211" s="2" t="s">
        <v>68</v>
      </c>
      <c r="I211" s="2" t="s">
        <v>96</v>
      </c>
      <c r="J211" s="4">
        <v>6090000</v>
      </c>
      <c r="K211" s="2">
        <v>3</v>
      </c>
      <c r="L211" s="2">
        <v>4</v>
      </c>
      <c r="M211" s="2">
        <v>39</v>
      </c>
      <c r="N211" s="2" t="s">
        <v>41</v>
      </c>
      <c r="O211" s="2" t="s">
        <v>26</v>
      </c>
      <c r="P211" s="2" t="s">
        <v>36</v>
      </c>
      <c r="Q211" s="3"/>
      <c r="R211" s="2"/>
    </row>
    <row r="212" spans="1:18" x14ac:dyDescent="0.3">
      <c r="A212" s="2" t="s">
        <v>454</v>
      </c>
      <c r="B212" s="2" t="s">
        <v>313</v>
      </c>
      <c r="C212" s="2" t="s">
        <v>20</v>
      </c>
      <c r="D212" s="3">
        <v>33672</v>
      </c>
      <c r="E212" s="3">
        <v>45864</v>
      </c>
      <c r="F212" s="2" t="s">
        <v>114</v>
      </c>
      <c r="G212" s="2" t="s">
        <v>150</v>
      </c>
      <c r="H212" s="2" t="s">
        <v>68</v>
      </c>
      <c r="I212" s="2" t="s">
        <v>104</v>
      </c>
      <c r="J212" s="4">
        <v>6250000</v>
      </c>
      <c r="K212" s="2">
        <v>2</v>
      </c>
      <c r="L212" s="2">
        <v>3</v>
      </c>
      <c r="M212" s="2">
        <v>9</v>
      </c>
      <c r="N212" s="2" t="s">
        <v>41</v>
      </c>
      <c r="O212" s="2" t="s">
        <v>26</v>
      </c>
      <c r="P212" s="2" t="s">
        <v>36</v>
      </c>
      <c r="Q212" s="3"/>
      <c r="R212" s="2"/>
    </row>
    <row r="213" spans="1:18" x14ac:dyDescent="0.3">
      <c r="A213" s="2" t="s">
        <v>455</v>
      </c>
      <c r="B213" s="2" t="s">
        <v>456</v>
      </c>
      <c r="C213" s="2" t="s">
        <v>31</v>
      </c>
      <c r="D213" s="3">
        <v>32679</v>
      </c>
      <c r="E213" s="3">
        <v>45966</v>
      </c>
      <c r="F213" s="2" t="s">
        <v>51</v>
      </c>
      <c r="G213" s="2" t="s">
        <v>52</v>
      </c>
      <c r="H213" s="2" t="s">
        <v>23</v>
      </c>
      <c r="I213" s="2" t="s">
        <v>96</v>
      </c>
      <c r="J213" s="4">
        <v>12200000</v>
      </c>
      <c r="K213" s="2">
        <v>2</v>
      </c>
      <c r="L213" s="2">
        <v>4</v>
      </c>
      <c r="M213" s="2">
        <v>6</v>
      </c>
      <c r="N213" s="2" t="s">
        <v>25</v>
      </c>
      <c r="O213" s="2" t="s">
        <v>35</v>
      </c>
      <c r="P213" s="2" t="s">
        <v>36</v>
      </c>
      <c r="Q213" s="3"/>
      <c r="R213" s="2"/>
    </row>
    <row r="214" spans="1:18" x14ac:dyDescent="0.3">
      <c r="A214" s="2" t="s">
        <v>457</v>
      </c>
      <c r="B214" s="2" t="s">
        <v>345</v>
      </c>
      <c r="C214" s="2" t="s">
        <v>31</v>
      </c>
      <c r="D214" s="3">
        <v>38713</v>
      </c>
      <c r="E214" s="3">
        <v>46144</v>
      </c>
      <c r="F214" s="2" t="s">
        <v>21</v>
      </c>
      <c r="G214" s="2" t="s">
        <v>103</v>
      </c>
      <c r="H214" s="2" t="s">
        <v>68</v>
      </c>
      <c r="I214" s="2" t="s">
        <v>96</v>
      </c>
      <c r="J214" s="4">
        <v>11940000</v>
      </c>
      <c r="K214" s="2">
        <v>4</v>
      </c>
      <c r="L214" s="2">
        <v>2</v>
      </c>
      <c r="M214" s="2">
        <v>22</v>
      </c>
      <c r="N214" s="2" t="s">
        <v>25</v>
      </c>
      <c r="O214" s="2" t="s">
        <v>26</v>
      </c>
      <c r="P214" s="2" t="s">
        <v>36</v>
      </c>
      <c r="Q214" s="3"/>
      <c r="R214" s="2"/>
    </row>
    <row r="215" spans="1:18" x14ac:dyDescent="0.3">
      <c r="A215" s="2" t="s">
        <v>458</v>
      </c>
      <c r="B215" s="2" t="s">
        <v>70</v>
      </c>
      <c r="C215" s="2" t="s">
        <v>31</v>
      </c>
      <c r="D215" s="3">
        <v>32021</v>
      </c>
      <c r="E215" s="3">
        <v>44476</v>
      </c>
      <c r="F215" s="2" t="s">
        <v>51</v>
      </c>
      <c r="G215" s="2" t="s">
        <v>93</v>
      </c>
      <c r="H215" s="2" t="s">
        <v>68</v>
      </c>
      <c r="I215" s="2" t="s">
        <v>82</v>
      </c>
      <c r="J215" s="4">
        <v>6010000</v>
      </c>
      <c r="K215" s="2">
        <v>3</v>
      </c>
      <c r="L215" s="2">
        <v>4</v>
      </c>
      <c r="M215" s="2">
        <v>18</v>
      </c>
      <c r="N215" s="2" t="s">
        <v>41</v>
      </c>
      <c r="O215" s="2" t="s">
        <v>26</v>
      </c>
      <c r="P215" s="2" t="s">
        <v>36</v>
      </c>
      <c r="Q215" s="3"/>
      <c r="R215" s="2"/>
    </row>
    <row r="216" spans="1:18" x14ac:dyDescent="0.3">
      <c r="A216" s="2" t="s">
        <v>459</v>
      </c>
      <c r="B216" s="2" t="s">
        <v>219</v>
      </c>
      <c r="C216" s="2" t="s">
        <v>20</v>
      </c>
      <c r="D216" s="3">
        <v>28681</v>
      </c>
      <c r="E216" s="3">
        <v>44405</v>
      </c>
      <c r="F216" s="2" t="s">
        <v>64</v>
      </c>
      <c r="G216" s="2" t="s">
        <v>79</v>
      </c>
      <c r="H216" s="2" t="s">
        <v>23</v>
      </c>
      <c r="I216" s="2" t="s">
        <v>24</v>
      </c>
      <c r="J216" s="4">
        <v>15380000</v>
      </c>
      <c r="K216" s="2">
        <v>4</v>
      </c>
      <c r="L216" s="2">
        <v>4</v>
      </c>
      <c r="M216" s="2">
        <v>16</v>
      </c>
      <c r="N216" s="2" t="s">
        <v>25</v>
      </c>
      <c r="O216" s="2" t="s">
        <v>35</v>
      </c>
      <c r="P216" s="2" t="s">
        <v>36</v>
      </c>
      <c r="Q216" s="3"/>
      <c r="R216" s="2"/>
    </row>
    <row r="217" spans="1:18" x14ac:dyDescent="0.3">
      <c r="A217" s="2" t="s">
        <v>460</v>
      </c>
      <c r="B217" s="2" t="s">
        <v>265</v>
      </c>
      <c r="C217" s="2" t="s">
        <v>234</v>
      </c>
      <c r="D217" s="3">
        <v>38760</v>
      </c>
      <c r="E217" s="3">
        <v>46244</v>
      </c>
      <c r="F217" s="2" t="s">
        <v>64</v>
      </c>
      <c r="G217" s="2" t="s">
        <v>79</v>
      </c>
      <c r="H217" s="2" t="s">
        <v>33</v>
      </c>
      <c r="I217" s="2" t="s">
        <v>206</v>
      </c>
      <c r="J217" s="4">
        <v>3650000</v>
      </c>
      <c r="K217" s="2">
        <v>1</v>
      </c>
      <c r="L217" s="2">
        <v>4</v>
      </c>
      <c r="M217" s="2">
        <v>5</v>
      </c>
      <c r="N217" s="2" t="s">
        <v>41</v>
      </c>
      <c r="O217" s="2" t="s">
        <v>26</v>
      </c>
      <c r="P217" s="2" t="s">
        <v>36</v>
      </c>
      <c r="Q217" s="3"/>
      <c r="R217" s="2"/>
    </row>
    <row r="218" spans="1:18" x14ac:dyDescent="0.3">
      <c r="A218" s="2" t="s">
        <v>461</v>
      </c>
      <c r="B218" s="2" t="s">
        <v>456</v>
      </c>
      <c r="C218" s="2" t="s">
        <v>31</v>
      </c>
      <c r="D218" s="3">
        <v>33704</v>
      </c>
      <c r="E218" s="3">
        <v>44917</v>
      </c>
      <c r="F218" s="2" t="s">
        <v>114</v>
      </c>
      <c r="G218" s="2" t="s">
        <v>150</v>
      </c>
      <c r="H218" s="2" t="s">
        <v>23</v>
      </c>
      <c r="I218" s="2" t="s">
        <v>34</v>
      </c>
      <c r="J218" s="4">
        <v>10240000</v>
      </c>
      <c r="K218" s="2">
        <v>4</v>
      </c>
      <c r="L218" s="2">
        <v>4</v>
      </c>
      <c r="M218" s="2">
        <v>11</v>
      </c>
      <c r="N218" s="2" t="s">
        <v>25</v>
      </c>
      <c r="O218" s="2" t="s">
        <v>35</v>
      </c>
      <c r="P218" s="2" t="s">
        <v>36</v>
      </c>
      <c r="Q218" s="3"/>
      <c r="R218" s="2"/>
    </row>
    <row r="219" spans="1:18" x14ac:dyDescent="0.3">
      <c r="A219" s="2" t="s">
        <v>462</v>
      </c>
      <c r="B219" s="2" t="s">
        <v>463</v>
      </c>
      <c r="C219" s="2" t="s">
        <v>31</v>
      </c>
      <c r="D219" s="3">
        <v>36943</v>
      </c>
      <c r="E219" s="3">
        <v>45410</v>
      </c>
      <c r="F219" s="2" t="s">
        <v>47</v>
      </c>
      <c r="G219" s="2" t="s">
        <v>90</v>
      </c>
      <c r="H219" s="2" t="s">
        <v>68</v>
      </c>
      <c r="I219" s="2" t="s">
        <v>44</v>
      </c>
      <c r="J219" s="4">
        <v>7660000</v>
      </c>
      <c r="K219" s="2">
        <v>4</v>
      </c>
      <c r="L219" s="2">
        <v>2</v>
      </c>
      <c r="M219" s="2">
        <v>11</v>
      </c>
      <c r="N219" s="2" t="s">
        <v>88</v>
      </c>
      <c r="O219" s="2" t="s">
        <v>53</v>
      </c>
      <c r="P219" s="2" t="s">
        <v>36</v>
      </c>
      <c r="Q219" s="3"/>
      <c r="R219" s="2"/>
    </row>
    <row r="220" spans="1:18" x14ac:dyDescent="0.3">
      <c r="A220" s="2" t="s">
        <v>464</v>
      </c>
      <c r="B220" s="2" t="s">
        <v>465</v>
      </c>
      <c r="C220" s="2" t="s">
        <v>20</v>
      </c>
      <c r="D220" s="3">
        <v>31485</v>
      </c>
      <c r="E220" s="3">
        <v>45195</v>
      </c>
      <c r="F220" s="2" t="s">
        <v>21</v>
      </c>
      <c r="G220" s="2" t="s">
        <v>32</v>
      </c>
      <c r="H220" s="2" t="s">
        <v>23</v>
      </c>
      <c r="I220" s="2" t="s">
        <v>24</v>
      </c>
      <c r="J220" s="4">
        <v>15600000</v>
      </c>
      <c r="K220" s="2"/>
      <c r="L220" s="2">
        <v>2</v>
      </c>
      <c r="M220" s="2">
        <v>16</v>
      </c>
      <c r="N220" s="2" t="s">
        <v>41</v>
      </c>
      <c r="O220" s="2" t="s">
        <v>53</v>
      </c>
      <c r="P220" s="2" t="s">
        <v>36</v>
      </c>
      <c r="Q220" s="3"/>
      <c r="R220" s="2"/>
    </row>
    <row r="221" spans="1:18" x14ac:dyDescent="0.3">
      <c r="A221" s="2" t="s">
        <v>466</v>
      </c>
      <c r="B221" s="2" t="s">
        <v>267</v>
      </c>
      <c r="C221" s="2" t="s">
        <v>234</v>
      </c>
      <c r="D221" s="3">
        <v>32988</v>
      </c>
      <c r="E221" s="3">
        <v>45836</v>
      </c>
      <c r="F221" s="2" t="s">
        <v>47</v>
      </c>
      <c r="G221" s="2" t="s">
        <v>48</v>
      </c>
      <c r="H221" s="2" t="s">
        <v>68</v>
      </c>
      <c r="I221" s="2" t="s">
        <v>24</v>
      </c>
      <c r="J221" s="4">
        <v>6860000</v>
      </c>
      <c r="K221" s="2">
        <v>4</v>
      </c>
      <c r="L221" s="2">
        <v>1</v>
      </c>
      <c r="M221" s="2">
        <v>26</v>
      </c>
      <c r="N221" s="2" t="s">
        <v>25</v>
      </c>
      <c r="O221" s="2" t="s">
        <v>26</v>
      </c>
      <c r="P221" s="2" t="s">
        <v>36</v>
      </c>
      <c r="Q221" s="3"/>
      <c r="R221" s="2"/>
    </row>
    <row r="222" spans="1:18" x14ac:dyDescent="0.3">
      <c r="A222" s="2" t="s">
        <v>467</v>
      </c>
      <c r="B222" s="2" t="s">
        <v>468</v>
      </c>
      <c r="C222" s="2" t="s">
        <v>20</v>
      </c>
      <c r="D222" s="3">
        <v>31734</v>
      </c>
      <c r="E222" s="3">
        <v>45030</v>
      </c>
      <c r="F222" s="2" t="s">
        <v>47</v>
      </c>
      <c r="G222" s="2" t="s">
        <v>127</v>
      </c>
      <c r="H222" s="2" t="s">
        <v>68</v>
      </c>
      <c r="I222" s="2" t="s">
        <v>24</v>
      </c>
      <c r="J222" s="4">
        <v>6940000</v>
      </c>
      <c r="K222" s="2">
        <v>3</v>
      </c>
      <c r="L222" s="2">
        <v>2</v>
      </c>
      <c r="M222" s="2">
        <v>0</v>
      </c>
      <c r="N222" s="2" t="s">
        <v>25</v>
      </c>
      <c r="O222" s="2" t="s">
        <v>35</v>
      </c>
      <c r="P222" s="2" t="s">
        <v>36</v>
      </c>
      <c r="Q222" s="3"/>
      <c r="R222" s="2"/>
    </row>
    <row r="223" spans="1:18" x14ac:dyDescent="0.3">
      <c r="A223" s="2" t="s">
        <v>469</v>
      </c>
      <c r="B223" s="2" t="s">
        <v>470</v>
      </c>
      <c r="C223" s="2" t="s">
        <v>20</v>
      </c>
      <c r="D223" s="3">
        <v>37067</v>
      </c>
      <c r="E223" s="3">
        <v>46162</v>
      </c>
      <c r="F223" s="2" t="s">
        <v>51</v>
      </c>
      <c r="G223" s="2" t="s">
        <v>52</v>
      </c>
      <c r="H223" s="2" t="s">
        <v>23</v>
      </c>
      <c r="I223" s="2" t="s">
        <v>24</v>
      </c>
      <c r="J223" s="4">
        <v>11810000</v>
      </c>
      <c r="K223" s="2">
        <v>3</v>
      </c>
      <c r="L223" s="2">
        <v>4</v>
      </c>
      <c r="M223" s="2">
        <v>30</v>
      </c>
      <c r="N223" s="2" t="s">
        <v>25</v>
      </c>
      <c r="O223" s="2" t="s">
        <v>26</v>
      </c>
      <c r="P223" s="2" t="s">
        <v>36</v>
      </c>
      <c r="Q223" s="3"/>
      <c r="R223" s="2"/>
    </row>
    <row r="224" spans="1:18" x14ac:dyDescent="0.3">
      <c r="A224" s="2" t="s">
        <v>471</v>
      </c>
      <c r="B224" s="2" t="s">
        <v>472</v>
      </c>
      <c r="C224" s="2" t="s">
        <v>20</v>
      </c>
      <c r="D224" s="3">
        <v>28833</v>
      </c>
      <c r="E224" s="3">
        <v>45519</v>
      </c>
      <c r="F224" s="2" t="s">
        <v>51</v>
      </c>
      <c r="G224" s="2" t="s">
        <v>52</v>
      </c>
      <c r="H224" s="2" t="s">
        <v>68</v>
      </c>
      <c r="I224" s="2" t="s">
        <v>24</v>
      </c>
      <c r="J224" s="4">
        <v>4850000</v>
      </c>
      <c r="K224" s="2">
        <v>5</v>
      </c>
      <c r="L224" s="2">
        <v>3</v>
      </c>
      <c r="M224" s="2">
        <v>16</v>
      </c>
      <c r="N224" s="2" t="s">
        <v>41</v>
      </c>
      <c r="O224" s="2" t="s">
        <v>26</v>
      </c>
      <c r="P224" s="2" t="s">
        <v>27</v>
      </c>
      <c r="Q224" s="3">
        <v>46257</v>
      </c>
      <c r="R224" s="2" t="s">
        <v>155</v>
      </c>
    </row>
    <row r="225" spans="1:18" x14ac:dyDescent="0.3">
      <c r="A225" s="2" t="s">
        <v>473</v>
      </c>
      <c r="B225" s="2" t="s">
        <v>267</v>
      </c>
      <c r="C225" s="2" t="s">
        <v>31</v>
      </c>
      <c r="D225" s="3">
        <v>29101</v>
      </c>
      <c r="E225" s="3">
        <v>45964</v>
      </c>
      <c r="F225" s="2" t="s">
        <v>51</v>
      </c>
      <c r="G225" s="2" t="s">
        <v>52</v>
      </c>
      <c r="H225" s="2" t="s">
        <v>68</v>
      </c>
      <c r="I225" s="2" t="s">
        <v>96</v>
      </c>
      <c r="J225" s="4">
        <v>5760000</v>
      </c>
      <c r="K225" s="2">
        <v>4</v>
      </c>
      <c r="L225" s="2">
        <v>2</v>
      </c>
      <c r="M225" s="2">
        <v>20</v>
      </c>
      <c r="N225" s="2" t="s">
        <v>41</v>
      </c>
      <c r="O225" s="2" t="s">
        <v>53</v>
      </c>
      <c r="P225" s="2" t="s">
        <v>27</v>
      </c>
      <c r="Q225" s="3">
        <v>46077</v>
      </c>
      <c r="R225" s="2" t="s">
        <v>155</v>
      </c>
    </row>
    <row r="226" spans="1:18" x14ac:dyDescent="0.3">
      <c r="A226" s="2" t="s">
        <v>474</v>
      </c>
      <c r="B226" s="2" t="s">
        <v>165</v>
      </c>
      <c r="C226" s="2" t="s">
        <v>20</v>
      </c>
      <c r="D226" s="3">
        <v>37605</v>
      </c>
      <c r="E226" s="3">
        <v>45140</v>
      </c>
      <c r="F226" s="2" t="s">
        <v>114</v>
      </c>
      <c r="G226" s="2" t="s">
        <v>196</v>
      </c>
      <c r="H226" s="2" t="s">
        <v>68</v>
      </c>
      <c r="I226" s="2" t="s">
        <v>96</v>
      </c>
      <c r="J226" s="4">
        <v>6430000</v>
      </c>
      <c r="K226" s="2">
        <v>3</v>
      </c>
      <c r="L226" s="2">
        <v>4</v>
      </c>
      <c r="M226" s="2">
        <v>7</v>
      </c>
      <c r="N226" s="2" t="s">
        <v>25</v>
      </c>
      <c r="O226" s="2" t="s">
        <v>26</v>
      </c>
      <c r="P226" s="2" t="s">
        <v>36</v>
      </c>
      <c r="Q226" s="3"/>
      <c r="R226" s="2"/>
    </row>
    <row r="227" spans="1:18" x14ac:dyDescent="0.3">
      <c r="A227" s="2" t="s">
        <v>475</v>
      </c>
      <c r="B227" s="2" t="s">
        <v>84</v>
      </c>
      <c r="C227" s="2" t="s">
        <v>31</v>
      </c>
      <c r="D227" s="3">
        <v>36982</v>
      </c>
      <c r="E227" s="3">
        <v>45790</v>
      </c>
      <c r="F227" s="2" t="s">
        <v>21</v>
      </c>
      <c r="G227" s="2" t="s">
        <v>32</v>
      </c>
      <c r="H227" s="2" t="s">
        <v>23</v>
      </c>
      <c r="I227" s="2" t="s">
        <v>24</v>
      </c>
      <c r="J227" s="4">
        <v>20230000</v>
      </c>
      <c r="K227" s="2">
        <v>1</v>
      </c>
      <c r="L227" s="2">
        <v>2</v>
      </c>
      <c r="M227" s="2">
        <v>22</v>
      </c>
      <c r="N227" s="2" t="s">
        <v>88</v>
      </c>
      <c r="O227" s="2" t="s">
        <v>35</v>
      </c>
      <c r="P227" s="2" t="s">
        <v>36</v>
      </c>
      <c r="Q227" s="3"/>
      <c r="R227" s="2"/>
    </row>
    <row r="228" spans="1:18" x14ac:dyDescent="0.3">
      <c r="A228" s="2" t="s">
        <v>476</v>
      </c>
      <c r="B228" s="2" t="s">
        <v>477</v>
      </c>
      <c r="C228" s="2" t="s">
        <v>31</v>
      </c>
      <c r="D228" s="3">
        <v>37214</v>
      </c>
      <c r="E228" s="3">
        <v>45624</v>
      </c>
      <c r="F228" s="2" t="s">
        <v>51</v>
      </c>
      <c r="G228" s="2" t="s">
        <v>52</v>
      </c>
      <c r="H228" s="2" t="s">
        <v>33</v>
      </c>
      <c r="I228" s="2" t="s">
        <v>24</v>
      </c>
      <c r="J228" s="4">
        <v>3170000</v>
      </c>
      <c r="K228" s="2"/>
      <c r="L228" s="2">
        <v>4</v>
      </c>
      <c r="M228" s="2">
        <v>1</v>
      </c>
      <c r="N228" s="2" t="s">
        <v>41</v>
      </c>
      <c r="O228" s="2" t="s">
        <v>26</v>
      </c>
      <c r="P228" s="2" t="s">
        <v>36</v>
      </c>
      <c r="Q228" s="3"/>
      <c r="R228" s="2"/>
    </row>
    <row r="229" spans="1:18" x14ac:dyDescent="0.3">
      <c r="A229" s="2" t="s">
        <v>478</v>
      </c>
      <c r="B229" s="2" t="s">
        <v>479</v>
      </c>
      <c r="C229" s="2" t="s">
        <v>31</v>
      </c>
      <c r="D229" s="3">
        <v>33621</v>
      </c>
      <c r="E229" s="3">
        <v>45202</v>
      </c>
      <c r="F229" s="2" t="s">
        <v>114</v>
      </c>
      <c r="G229" s="2" t="s">
        <v>115</v>
      </c>
      <c r="H229" s="2" t="s">
        <v>68</v>
      </c>
      <c r="I229" s="2" t="s">
        <v>24</v>
      </c>
      <c r="J229" s="4">
        <v>6820000</v>
      </c>
      <c r="K229" s="2">
        <v>4</v>
      </c>
      <c r="L229" s="2">
        <v>1</v>
      </c>
      <c r="M229" s="2">
        <v>9</v>
      </c>
      <c r="N229" s="2" t="s">
        <v>25</v>
      </c>
      <c r="O229" s="2" t="s">
        <v>26</v>
      </c>
      <c r="P229" s="2" t="s">
        <v>36</v>
      </c>
      <c r="Q229" s="3"/>
      <c r="R229" s="2"/>
    </row>
    <row r="230" spans="1:18" x14ac:dyDescent="0.3">
      <c r="A230" s="2" t="s">
        <v>480</v>
      </c>
      <c r="B230" s="2" t="s">
        <v>481</v>
      </c>
      <c r="C230" s="2" t="s">
        <v>31</v>
      </c>
      <c r="D230" s="3">
        <v>31996</v>
      </c>
      <c r="E230" s="3">
        <v>45360</v>
      </c>
      <c r="F230" s="2" t="s">
        <v>78</v>
      </c>
      <c r="G230" s="2" t="s">
        <v>79</v>
      </c>
      <c r="H230" s="2" t="s">
        <v>68</v>
      </c>
      <c r="I230" s="2" t="s">
        <v>44</v>
      </c>
      <c r="J230" s="4">
        <v>8940000</v>
      </c>
      <c r="K230" s="2">
        <v>4</v>
      </c>
      <c r="L230" s="2">
        <v>2</v>
      </c>
      <c r="M230" s="2">
        <v>8</v>
      </c>
      <c r="N230" s="2" t="s">
        <v>41</v>
      </c>
      <c r="O230" s="2"/>
      <c r="P230" s="2" t="s">
        <v>27</v>
      </c>
      <c r="Q230" s="3">
        <v>45902</v>
      </c>
      <c r="R230" s="2" t="s">
        <v>111</v>
      </c>
    </row>
    <row r="231" spans="1:18" x14ac:dyDescent="0.3">
      <c r="A231" s="2" t="s">
        <v>482</v>
      </c>
      <c r="B231" s="2" t="s">
        <v>258</v>
      </c>
      <c r="C231" s="2" t="s">
        <v>20</v>
      </c>
      <c r="D231" s="3">
        <v>35297</v>
      </c>
      <c r="E231" s="3">
        <v>42782</v>
      </c>
      <c r="F231" s="2" t="s">
        <v>39</v>
      </c>
      <c r="G231" s="2" t="s">
        <v>40</v>
      </c>
      <c r="H231" s="2" t="s">
        <v>68</v>
      </c>
      <c r="I231" s="2" t="s">
        <v>24</v>
      </c>
      <c r="J231" s="4">
        <v>5470000</v>
      </c>
      <c r="K231" s="2">
        <v>2</v>
      </c>
      <c r="L231" s="2">
        <v>4</v>
      </c>
      <c r="M231" s="2">
        <v>19</v>
      </c>
      <c r="N231" s="2" t="s">
        <v>25</v>
      </c>
      <c r="O231" s="2" t="s">
        <v>26</v>
      </c>
      <c r="P231" s="2" t="s">
        <v>36</v>
      </c>
      <c r="Q231" s="3"/>
      <c r="R231" s="2"/>
    </row>
    <row r="232" spans="1:18" x14ac:dyDescent="0.3">
      <c r="A232" s="2" t="s">
        <v>483</v>
      </c>
      <c r="B232" s="2" t="s">
        <v>200</v>
      </c>
      <c r="C232" s="2" t="s">
        <v>31</v>
      </c>
      <c r="D232" s="3">
        <v>33573</v>
      </c>
      <c r="E232" s="3">
        <v>44575</v>
      </c>
      <c r="F232" s="2" t="s">
        <v>484</v>
      </c>
      <c r="G232" s="2" t="s">
        <v>115</v>
      </c>
      <c r="H232" s="2" t="s">
        <v>23</v>
      </c>
      <c r="I232" s="2" t="s">
        <v>44</v>
      </c>
      <c r="J232" s="4">
        <v>13740000</v>
      </c>
      <c r="K232" s="2">
        <v>3</v>
      </c>
      <c r="L232" s="2">
        <v>5</v>
      </c>
      <c r="M232" s="2">
        <v>19</v>
      </c>
      <c r="N232" s="2" t="s">
        <v>41</v>
      </c>
      <c r="O232" s="2" t="s">
        <v>26</v>
      </c>
      <c r="P232" s="2" t="s">
        <v>36</v>
      </c>
      <c r="Q232" s="3"/>
      <c r="R232" s="2"/>
    </row>
    <row r="233" spans="1:18" x14ac:dyDescent="0.3">
      <c r="A233" s="2" t="s">
        <v>485</v>
      </c>
      <c r="B233" s="2" t="s">
        <v>400</v>
      </c>
      <c r="C233" s="2" t="s">
        <v>31</v>
      </c>
      <c r="D233" s="3">
        <v>32102</v>
      </c>
      <c r="E233" s="3">
        <v>43858</v>
      </c>
      <c r="F233" s="2" t="s">
        <v>51</v>
      </c>
      <c r="G233" s="2" t="s">
        <v>52</v>
      </c>
      <c r="H233" s="2" t="s">
        <v>33</v>
      </c>
      <c r="I233" s="2" t="s">
        <v>44</v>
      </c>
      <c r="J233" s="4">
        <v>3060000</v>
      </c>
      <c r="K233" s="2">
        <v>1</v>
      </c>
      <c r="L233" s="2">
        <v>2</v>
      </c>
      <c r="M233" s="2">
        <v>23</v>
      </c>
      <c r="N233" s="2" t="s">
        <v>88</v>
      </c>
      <c r="O233" s="2" t="s">
        <v>26</v>
      </c>
      <c r="P233" s="2" t="s">
        <v>27</v>
      </c>
      <c r="Q233" s="3">
        <v>45902</v>
      </c>
      <c r="R233" s="2" t="s">
        <v>111</v>
      </c>
    </row>
    <row r="234" spans="1:18" x14ac:dyDescent="0.3">
      <c r="A234" s="2" t="s">
        <v>486</v>
      </c>
      <c r="B234" s="2" t="s">
        <v>487</v>
      </c>
      <c r="C234" s="2" t="s">
        <v>31</v>
      </c>
      <c r="D234" s="3">
        <v>32671</v>
      </c>
      <c r="E234" s="3">
        <v>43429</v>
      </c>
      <c r="F234" s="2" t="s">
        <v>64</v>
      </c>
      <c r="G234" s="2" t="s">
        <v>73</v>
      </c>
      <c r="H234" s="2" t="s">
        <v>23</v>
      </c>
      <c r="I234" s="2" t="s">
        <v>82</v>
      </c>
      <c r="J234" s="4">
        <v>13190000</v>
      </c>
      <c r="K234" s="2">
        <v>4</v>
      </c>
      <c r="L234" s="2">
        <v>3</v>
      </c>
      <c r="M234" s="2">
        <v>9</v>
      </c>
      <c r="N234" s="2" t="s">
        <v>88</v>
      </c>
      <c r="O234" s="2" t="s">
        <v>26</v>
      </c>
      <c r="P234" s="2" t="s">
        <v>36</v>
      </c>
      <c r="Q234" s="3"/>
      <c r="R234" s="2"/>
    </row>
    <row r="235" spans="1:18" x14ac:dyDescent="0.3">
      <c r="A235" s="2" t="s">
        <v>488</v>
      </c>
      <c r="B235" s="2" t="s">
        <v>489</v>
      </c>
      <c r="C235" s="2" t="s">
        <v>31</v>
      </c>
      <c r="D235" s="3">
        <v>34312</v>
      </c>
      <c r="E235" s="3">
        <v>43508</v>
      </c>
      <c r="F235" s="2" t="s">
        <v>21</v>
      </c>
      <c r="G235" s="2" t="s">
        <v>22</v>
      </c>
      <c r="H235" s="2" t="s">
        <v>23</v>
      </c>
      <c r="I235" s="2" t="s">
        <v>24</v>
      </c>
      <c r="J235" s="4">
        <v>17680000</v>
      </c>
      <c r="K235" s="2">
        <v>4</v>
      </c>
      <c r="L235" s="2">
        <v>4</v>
      </c>
      <c r="M235" s="2">
        <v>0</v>
      </c>
      <c r="N235" s="2" t="s">
        <v>25</v>
      </c>
      <c r="O235" s="2" t="s">
        <v>26</v>
      </c>
      <c r="P235" s="2" t="s">
        <v>36</v>
      </c>
      <c r="Q235" s="3"/>
      <c r="R235" s="2"/>
    </row>
    <row r="236" spans="1:18" x14ac:dyDescent="0.3">
      <c r="A236" s="2" t="s">
        <v>490</v>
      </c>
      <c r="B236" s="2" t="s">
        <v>119</v>
      </c>
      <c r="C236" s="2" t="s">
        <v>31</v>
      </c>
      <c r="D236" s="3">
        <v>32071</v>
      </c>
      <c r="E236" s="3">
        <v>42864</v>
      </c>
      <c r="F236" s="2" t="s">
        <v>114</v>
      </c>
      <c r="G236" s="2" t="s">
        <v>196</v>
      </c>
      <c r="H236" s="2" t="s">
        <v>33</v>
      </c>
      <c r="I236" s="2" t="s">
        <v>24</v>
      </c>
      <c r="J236" s="4">
        <v>2820000</v>
      </c>
      <c r="K236" s="2">
        <v>3</v>
      </c>
      <c r="L236" s="2">
        <v>1</v>
      </c>
      <c r="M236" s="2">
        <v>2</v>
      </c>
      <c r="N236" s="2" t="s">
        <v>41</v>
      </c>
      <c r="O236" s="2" t="s">
        <v>26</v>
      </c>
      <c r="P236" s="2" t="s">
        <v>27</v>
      </c>
      <c r="Q236" s="3">
        <v>45734</v>
      </c>
      <c r="R236" s="2" t="s">
        <v>28</v>
      </c>
    </row>
    <row r="237" spans="1:18" x14ac:dyDescent="0.3">
      <c r="A237" s="2" t="s">
        <v>491</v>
      </c>
      <c r="B237" s="2" t="s">
        <v>492</v>
      </c>
      <c r="C237" s="2" t="s">
        <v>20</v>
      </c>
      <c r="D237" s="3">
        <v>33737</v>
      </c>
      <c r="E237" s="3">
        <v>46237</v>
      </c>
      <c r="F237" s="2" t="s">
        <v>21</v>
      </c>
      <c r="G237" s="2" t="s">
        <v>32</v>
      </c>
      <c r="H237" s="2" t="s">
        <v>33</v>
      </c>
      <c r="I237" s="2" t="s">
        <v>24</v>
      </c>
      <c r="J237" s="4">
        <v>6660000</v>
      </c>
      <c r="K237" s="2">
        <v>5</v>
      </c>
      <c r="L237" s="2">
        <v>3</v>
      </c>
      <c r="M237" s="2">
        <v>16</v>
      </c>
      <c r="N237" s="2" t="s">
        <v>41</v>
      </c>
      <c r="O237" s="2" t="s">
        <v>26</v>
      </c>
      <c r="P237" s="2" t="s">
        <v>36</v>
      </c>
      <c r="Q237" s="3"/>
      <c r="R237" s="2"/>
    </row>
    <row r="238" spans="1:18" x14ac:dyDescent="0.3">
      <c r="A238" s="2" t="s">
        <v>493</v>
      </c>
      <c r="B238" s="2" t="s">
        <v>50</v>
      </c>
      <c r="C238" s="2" t="s">
        <v>31</v>
      </c>
      <c r="D238" s="3">
        <v>35704</v>
      </c>
      <c r="E238" s="3">
        <v>44081</v>
      </c>
      <c r="F238" s="2" t="s">
        <v>51</v>
      </c>
      <c r="G238" s="2" t="s">
        <v>93</v>
      </c>
      <c r="H238" s="2" t="s">
        <v>23</v>
      </c>
      <c r="I238" s="2" t="s">
        <v>44</v>
      </c>
      <c r="J238" s="4">
        <v>11160000</v>
      </c>
      <c r="K238" s="2">
        <v>4</v>
      </c>
      <c r="L238" s="2">
        <v>4</v>
      </c>
      <c r="M238" s="2">
        <v>21</v>
      </c>
      <c r="N238" s="2" t="s">
        <v>41</v>
      </c>
      <c r="O238" s="2" t="s">
        <v>35</v>
      </c>
      <c r="P238" s="2" t="s">
        <v>36</v>
      </c>
      <c r="Q238" s="3"/>
      <c r="R238" s="2"/>
    </row>
    <row r="239" spans="1:18" x14ac:dyDescent="0.3">
      <c r="A239" s="2" t="s">
        <v>494</v>
      </c>
      <c r="B239" s="2" t="s">
        <v>495</v>
      </c>
      <c r="C239" s="2" t="s">
        <v>20</v>
      </c>
      <c r="D239" s="3">
        <v>35836</v>
      </c>
      <c r="E239" s="3">
        <v>44817</v>
      </c>
      <c r="F239" s="2" t="s">
        <v>64</v>
      </c>
      <c r="G239" s="2" t="s">
        <v>73</v>
      </c>
      <c r="H239" s="2" t="s">
        <v>23</v>
      </c>
      <c r="I239" s="2" t="s">
        <v>104</v>
      </c>
      <c r="J239" s="4">
        <v>13250000</v>
      </c>
      <c r="K239" s="2"/>
      <c r="L239" s="2">
        <v>3</v>
      </c>
      <c r="M239" s="2">
        <v>12</v>
      </c>
      <c r="N239" s="2" t="s">
        <v>41</v>
      </c>
      <c r="O239" s="2" t="s">
        <v>53</v>
      </c>
      <c r="P239" s="2" t="s">
        <v>36</v>
      </c>
      <c r="Q239" s="3"/>
      <c r="R239" s="2"/>
    </row>
    <row r="240" spans="1:18" x14ac:dyDescent="0.3">
      <c r="A240" s="2" t="s">
        <v>496</v>
      </c>
      <c r="B240" s="2" t="s">
        <v>149</v>
      </c>
      <c r="C240" s="2" t="s">
        <v>31</v>
      </c>
      <c r="D240" s="3">
        <v>37367</v>
      </c>
      <c r="E240" s="3">
        <v>46119</v>
      </c>
      <c r="F240" s="2" t="s">
        <v>497</v>
      </c>
      <c r="G240" s="2" t="s">
        <v>73</v>
      </c>
      <c r="H240" s="2" t="s">
        <v>68</v>
      </c>
      <c r="I240" s="2" t="s">
        <v>44</v>
      </c>
      <c r="J240" s="4">
        <v>6340000</v>
      </c>
      <c r="K240" s="2">
        <v>5</v>
      </c>
      <c r="L240" s="2">
        <v>3</v>
      </c>
      <c r="M240" s="2">
        <v>23</v>
      </c>
      <c r="N240" s="2" t="s">
        <v>41</v>
      </c>
      <c r="O240" s="2" t="s">
        <v>35</v>
      </c>
      <c r="P240" s="2" t="s">
        <v>36</v>
      </c>
      <c r="Q240" s="3"/>
      <c r="R240" s="2"/>
    </row>
    <row r="241" spans="1:18" x14ac:dyDescent="0.3">
      <c r="A241" s="2" t="s">
        <v>498</v>
      </c>
      <c r="B241" s="2" t="s">
        <v>499</v>
      </c>
      <c r="C241" s="2" t="s">
        <v>31</v>
      </c>
      <c r="D241" s="3">
        <v>35696</v>
      </c>
      <c r="E241" s="3">
        <v>45099</v>
      </c>
      <c r="F241" s="2" t="s">
        <v>56</v>
      </c>
      <c r="G241" s="2" t="s">
        <v>60</v>
      </c>
      <c r="H241" s="2" t="s">
        <v>33</v>
      </c>
      <c r="I241" s="2" t="s">
        <v>24</v>
      </c>
      <c r="J241" s="4">
        <v>3680000</v>
      </c>
      <c r="K241" s="2">
        <v>3</v>
      </c>
      <c r="L241" s="2">
        <v>3</v>
      </c>
      <c r="M241" s="2">
        <v>12</v>
      </c>
      <c r="N241" s="2" t="s">
        <v>41</v>
      </c>
      <c r="O241" s="2" t="s">
        <v>26</v>
      </c>
      <c r="P241" s="2" t="s">
        <v>27</v>
      </c>
      <c r="Q241" s="3">
        <v>46027</v>
      </c>
      <c r="R241" s="2" t="s">
        <v>155</v>
      </c>
    </row>
    <row r="242" spans="1:18" x14ac:dyDescent="0.3">
      <c r="A242" s="2" t="s">
        <v>500</v>
      </c>
      <c r="B242" s="2" t="s">
        <v>501</v>
      </c>
      <c r="C242" s="2" t="s">
        <v>31</v>
      </c>
      <c r="D242" s="3">
        <v>33897</v>
      </c>
      <c r="E242" s="3">
        <v>46119</v>
      </c>
      <c r="F242" s="2" t="s">
        <v>51</v>
      </c>
      <c r="G242" s="2" t="s">
        <v>52</v>
      </c>
      <c r="H242" s="2" t="s">
        <v>33</v>
      </c>
      <c r="I242" s="2" t="s">
        <v>96</v>
      </c>
      <c r="J242" s="4">
        <v>3240000</v>
      </c>
      <c r="K242" s="2">
        <v>3</v>
      </c>
      <c r="L242" s="2">
        <v>2</v>
      </c>
      <c r="M242" s="2">
        <v>33</v>
      </c>
      <c r="N242" s="2" t="s">
        <v>41</v>
      </c>
      <c r="O242" s="2" t="s">
        <v>26</v>
      </c>
      <c r="P242" s="2" t="s">
        <v>27</v>
      </c>
      <c r="Q242" s="3">
        <v>46212</v>
      </c>
      <c r="R242" s="2" t="s">
        <v>61</v>
      </c>
    </row>
    <row r="243" spans="1:18" x14ac:dyDescent="0.3">
      <c r="A243" s="2" t="s">
        <v>500</v>
      </c>
      <c r="B243" s="2" t="s">
        <v>501</v>
      </c>
      <c r="C243" s="2" t="s">
        <v>31</v>
      </c>
      <c r="D243" s="3">
        <v>33897</v>
      </c>
      <c r="E243" s="3">
        <v>46119</v>
      </c>
      <c r="F243" s="2" t="s">
        <v>51</v>
      </c>
      <c r="G243" s="2" t="s">
        <v>52</v>
      </c>
      <c r="H243" s="2" t="s">
        <v>33</v>
      </c>
      <c r="I243" s="2" t="s">
        <v>96</v>
      </c>
      <c r="J243" s="4">
        <v>3240000</v>
      </c>
      <c r="K243" s="2">
        <v>3</v>
      </c>
      <c r="L243" s="2">
        <v>2</v>
      </c>
      <c r="M243" s="2">
        <v>33</v>
      </c>
      <c r="N243" s="2" t="s">
        <v>41</v>
      </c>
      <c r="O243" s="2" t="s">
        <v>26</v>
      </c>
      <c r="P243" s="2" t="s">
        <v>27</v>
      </c>
      <c r="Q243" s="3">
        <v>46212</v>
      </c>
      <c r="R243" s="2" t="s">
        <v>61</v>
      </c>
    </row>
    <row r="244" spans="1:18" x14ac:dyDescent="0.3">
      <c r="A244" s="2" t="s">
        <v>502</v>
      </c>
      <c r="B244" s="2" t="s">
        <v>503</v>
      </c>
      <c r="C244" s="2" t="s">
        <v>31</v>
      </c>
      <c r="D244" s="3">
        <v>36259</v>
      </c>
      <c r="E244" s="3">
        <v>45750</v>
      </c>
      <c r="F244" s="2" t="s">
        <v>114</v>
      </c>
      <c r="G244" s="2" t="s">
        <v>150</v>
      </c>
      <c r="H244" s="2" t="s">
        <v>33</v>
      </c>
      <c r="I244" s="2" t="s">
        <v>24</v>
      </c>
      <c r="J244" s="4">
        <v>3550000</v>
      </c>
      <c r="K244" s="2">
        <v>3</v>
      </c>
      <c r="L244" s="2">
        <v>3</v>
      </c>
      <c r="M244" s="2">
        <v>24</v>
      </c>
      <c r="N244" s="2" t="s">
        <v>25</v>
      </c>
      <c r="O244" s="2" t="s">
        <v>26</v>
      </c>
      <c r="P244" s="2" t="s">
        <v>36</v>
      </c>
      <c r="Q244" s="3"/>
      <c r="R244" s="2"/>
    </row>
    <row r="245" spans="1:18" x14ac:dyDescent="0.3">
      <c r="A245" s="2" t="s">
        <v>504</v>
      </c>
      <c r="B245" s="2" t="s">
        <v>477</v>
      </c>
      <c r="C245" s="2" t="s">
        <v>31</v>
      </c>
      <c r="D245" s="3">
        <v>37937</v>
      </c>
      <c r="E245" s="3">
        <v>46174</v>
      </c>
      <c r="F245" s="2" t="s">
        <v>64</v>
      </c>
      <c r="G245" s="2" t="s">
        <v>65</v>
      </c>
      <c r="H245" s="2" t="s">
        <v>68</v>
      </c>
      <c r="I245" s="2" t="s">
        <v>82</v>
      </c>
      <c r="J245" s="4">
        <v>6790000</v>
      </c>
      <c r="K245" s="2">
        <v>5</v>
      </c>
      <c r="L245" s="2">
        <v>2</v>
      </c>
      <c r="M245" s="2">
        <v>15</v>
      </c>
      <c r="N245" s="2" t="s">
        <v>41</v>
      </c>
      <c r="O245" s="2"/>
      <c r="P245" s="2" t="s">
        <v>36</v>
      </c>
      <c r="Q245" s="3"/>
      <c r="R245" s="2"/>
    </row>
    <row r="246" spans="1:18" x14ac:dyDescent="0.3">
      <c r="A246" s="2" t="s">
        <v>505</v>
      </c>
      <c r="B246" s="2" t="s">
        <v>205</v>
      </c>
      <c r="C246" s="2" t="s">
        <v>31</v>
      </c>
      <c r="D246" s="3">
        <v>29365</v>
      </c>
      <c r="E246" s="3">
        <v>44470</v>
      </c>
      <c r="F246" s="2" t="s">
        <v>47</v>
      </c>
      <c r="G246" s="2" t="s">
        <v>90</v>
      </c>
      <c r="H246" s="2" t="s">
        <v>23</v>
      </c>
      <c r="I246" s="2" t="s">
        <v>34</v>
      </c>
      <c r="J246" s="4">
        <v>14780000</v>
      </c>
      <c r="K246" s="2">
        <v>1</v>
      </c>
      <c r="L246" s="2">
        <v>5</v>
      </c>
      <c r="M246" s="2">
        <v>9</v>
      </c>
      <c r="N246" s="2" t="s">
        <v>41</v>
      </c>
      <c r="O246" s="2" t="s">
        <v>53</v>
      </c>
      <c r="P246" s="2" t="s">
        <v>36</v>
      </c>
      <c r="Q246" s="3"/>
      <c r="R246" s="2"/>
    </row>
    <row r="247" spans="1:18" x14ac:dyDescent="0.3">
      <c r="A247" s="2" t="s">
        <v>506</v>
      </c>
      <c r="B247" s="2" t="s">
        <v>507</v>
      </c>
      <c r="C247" s="2" t="s">
        <v>20</v>
      </c>
      <c r="D247" s="3">
        <v>35649</v>
      </c>
      <c r="E247" s="3">
        <v>46214</v>
      </c>
      <c r="F247" s="2" t="s">
        <v>47</v>
      </c>
      <c r="G247" s="2" t="s">
        <v>127</v>
      </c>
      <c r="H247" s="2" t="s">
        <v>33</v>
      </c>
      <c r="I247" s="2" t="s">
        <v>34</v>
      </c>
      <c r="J247" s="4">
        <v>4740000</v>
      </c>
      <c r="K247" s="2">
        <v>1</v>
      </c>
      <c r="L247" s="2">
        <v>2</v>
      </c>
      <c r="M247" s="2">
        <v>7</v>
      </c>
      <c r="N247" s="2" t="s">
        <v>41</v>
      </c>
      <c r="O247" s="2" t="s">
        <v>26</v>
      </c>
      <c r="P247" s="2" t="s">
        <v>36</v>
      </c>
      <c r="Q247" s="3"/>
      <c r="R247" s="2"/>
    </row>
    <row r="248" spans="1:18" x14ac:dyDescent="0.3">
      <c r="A248" s="2" t="s">
        <v>508</v>
      </c>
      <c r="B248" s="2" t="s">
        <v>481</v>
      </c>
      <c r="C248" s="2" t="s">
        <v>31</v>
      </c>
      <c r="D248" s="3">
        <v>36023</v>
      </c>
      <c r="E248" s="3">
        <v>44637</v>
      </c>
      <c r="F248" s="2" t="s">
        <v>56</v>
      </c>
      <c r="G248" s="2" t="s">
        <v>57</v>
      </c>
      <c r="H248" s="2" t="s">
        <v>33</v>
      </c>
      <c r="I248" s="2" t="s">
        <v>24</v>
      </c>
      <c r="J248" s="4">
        <v>4540000</v>
      </c>
      <c r="K248" s="2">
        <v>3</v>
      </c>
      <c r="L248" s="2">
        <v>3</v>
      </c>
      <c r="M248" s="2">
        <v>7</v>
      </c>
      <c r="N248" s="2" t="s">
        <v>88</v>
      </c>
      <c r="O248" s="2" t="s">
        <v>26</v>
      </c>
      <c r="P248" s="2" t="s">
        <v>36</v>
      </c>
      <c r="Q248" s="3"/>
      <c r="R248" s="2"/>
    </row>
    <row r="249" spans="1:18" x14ac:dyDescent="0.3">
      <c r="A249" s="2" t="s">
        <v>509</v>
      </c>
      <c r="B249" s="2" t="s">
        <v>510</v>
      </c>
      <c r="C249" s="2" t="s">
        <v>31</v>
      </c>
      <c r="D249" s="3">
        <v>35303</v>
      </c>
      <c r="E249" s="3">
        <v>45948</v>
      </c>
      <c r="F249" s="2" t="s">
        <v>21</v>
      </c>
      <c r="G249" s="2" t="s">
        <v>32</v>
      </c>
      <c r="H249" s="2" t="s">
        <v>68</v>
      </c>
      <c r="I249" s="2" t="s">
        <v>96</v>
      </c>
      <c r="J249" s="4">
        <v>12390000</v>
      </c>
      <c r="K249" s="2">
        <v>3</v>
      </c>
      <c r="L249" s="2">
        <v>5</v>
      </c>
      <c r="M249" s="2">
        <v>13</v>
      </c>
      <c r="N249" s="2" t="s">
        <v>41</v>
      </c>
      <c r="O249" s="2" t="s">
        <v>35</v>
      </c>
      <c r="P249" s="2" t="s">
        <v>27</v>
      </c>
      <c r="Q249" s="3">
        <v>46061</v>
      </c>
      <c r="R249" s="2" t="s">
        <v>235</v>
      </c>
    </row>
    <row r="250" spans="1:18" x14ac:dyDescent="0.3">
      <c r="A250" s="2" t="s">
        <v>511</v>
      </c>
      <c r="B250" s="2" t="s">
        <v>152</v>
      </c>
      <c r="C250" s="2" t="s">
        <v>31</v>
      </c>
      <c r="D250" s="3">
        <v>31923</v>
      </c>
      <c r="E250" s="3">
        <v>43178</v>
      </c>
      <c r="F250" s="2" t="s">
        <v>114</v>
      </c>
      <c r="G250" s="2" t="s">
        <v>196</v>
      </c>
      <c r="H250" s="2" t="s">
        <v>68</v>
      </c>
      <c r="I250" s="2" t="s">
        <v>24</v>
      </c>
      <c r="J250" s="4">
        <v>5720000</v>
      </c>
      <c r="K250" s="2">
        <v>4</v>
      </c>
      <c r="L250" s="2">
        <v>4</v>
      </c>
      <c r="M250" s="2">
        <v>21</v>
      </c>
      <c r="N250" s="2" t="s">
        <v>88</v>
      </c>
      <c r="O250" s="2" t="s">
        <v>35</v>
      </c>
      <c r="P250" s="2" t="s">
        <v>36</v>
      </c>
      <c r="Q250" s="3"/>
      <c r="R250" s="2"/>
    </row>
    <row r="251" spans="1:18" x14ac:dyDescent="0.3">
      <c r="A251" s="2" t="s">
        <v>512</v>
      </c>
      <c r="B251" s="2" t="s">
        <v>513</v>
      </c>
      <c r="C251" s="2" t="s">
        <v>20</v>
      </c>
      <c r="D251" s="3">
        <v>32649</v>
      </c>
      <c r="E251" s="3">
        <v>43892</v>
      </c>
      <c r="F251" s="2" t="s">
        <v>64</v>
      </c>
      <c r="G251" s="2" t="s">
        <v>65</v>
      </c>
      <c r="H251" s="2" t="s">
        <v>23</v>
      </c>
      <c r="I251" s="2" t="s">
        <v>44</v>
      </c>
      <c r="J251" s="4">
        <v>14930000</v>
      </c>
      <c r="K251" s="2">
        <v>4</v>
      </c>
      <c r="L251" s="2">
        <v>1</v>
      </c>
      <c r="M251" s="2">
        <v>35</v>
      </c>
      <c r="N251" s="2" t="s">
        <v>41</v>
      </c>
      <c r="O251" s="2" t="s">
        <v>35</v>
      </c>
      <c r="P251" s="2" t="s">
        <v>36</v>
      </c>
      <c r="Q251" s="3"/>
      <c r="R251" s="2"/>
    </row>
    <row r="252" spans="1:18" x14ac:dyDescent="0.3">
      <c r="A252" s="2" t="s">
        <v>514</v>
      </c>
      <c r="B252" s="2" t="s">
        <v>515</v>
      </c>
      <c r="C252" s="2" t="s">
        <v>20</v>
      </c>
      <c r="D252" s="3">
        <v>33678</v>
      </c>
      <c r="E252" s="3">
        <v>43002</v>
      </c>
      <c r="F252" s="2" t="s">
        <v>51</v>
      </c>
      <c r="G252" s="2" t="s">
        <v>93</v>
      </c>
      <c r="H252" s="2" t="s">
        <v>23</v>
      </c>
      <c r="I252" s="2" t="s">
        <v>82</v>
      </c>
      <c r="J252" s="4">
        <v>12660000</v>
      </c>
      <c r="K252" s="2">
        <v>4</v>
      </c>
      <c r="L252" s="2">
        <v>3</v>
      </c>
      <c r="M252" s="2">
        <v>2</v>
      </c>
      <c r="N252" s="2" t="s">
        <v>88</v>
      </c>
      <c r="O252" s="2" t="s">
        <v>26</v>
      </c>
      <c r="P252" s="2" t="s">
        <v>36</v>
      </c>
      <c r="Q252" s="3"/>
      <c r="R252" s="2"/>
    </row>
    <row r="253" spans="1:18" x14ac:dyDescent="0.3">
      <c r="A253" s="2" t="s">
        <v>516</v>
      </c>
      <c r="B253" s="2" t="s">
        <v>113</v>
      </c>
      <c r="C253" s="2" t="s">
        <v>20</v>
      </c>
      <c r="D253" s="3">
        <v>32972</v>
      </c>
      <c r="E253" s="3">
        <v>44485</v>
      </c>
      <c r="F253" s="2" t="s">
        <v>64</v>
      </c>
      <c r="G253" s="2" t="s">
        <v>79</v>
      </c>
      <c r="H253" s="2" t="s">
        <v>33</v>
      </c>
      <c r="I253" s="2" t="s">
        <v>82</v>
      </c>
      <c r="J253" s="4">
        <v>3840000</v>
      </c>
      <c r="K253" s="2">
        <v>2</v>
      </c>
      <c r="L253" s="2">
        <v>4</v>
      </c>
      <c r="M253" s="2">
        <v>22</v>
      </c>
      <c r="N253" s="2" t="s">
        <v>25</v>
      </c>
      <c r="O253" s="2" t="s">
        <v>26</v>
      </c>
      <c r="P253" s="2" t="s">
        <v>36</v>
      </c>
      <c r="Q253" s="3"/>
      <c r="R253" s="2"/>
    </row>
    <row r="254" spans="1:18" x14ac:dyDescent="0.3">
      <c r="A254" s="2" t="s">
        <v>517</v>
      </c>
      <c r="B254" s="2" t="s">
        <v>518</v>
      </c>
      <c r="C254" s="2" t="s">
        <v>31</v>
      </c>
      <c r="D254" s="3">
        <v>30388</v>
      </c>
      <c r="E254" s="3">
        <v>45829</v>
      </c>
      <c r="F254" s="2" t="s">
        <v>21</v>
      </c>
      <c r="G254" s="2" t="s">
        <v>32</v>
      </c>
      <c r="H254" s="2" t="s">
        <v>68</v>
      </c>
      <c r="I254" s="2" t="s">
        <v>82</v>
      </c>
      <c r="J254" s="4">
        <v>10850000</v>
      </c>
      <c r="K254" s="2">
        <v>4</v>
      </c>
      <c r="L254" s="2">
        <v>4</v>
      </c>
      <c r="M254" s="2">
        <v>13</v>
      </c>
      <c r="N254" s="2" t="s">
        <v>88</v>
      </c>
      <c r="O254" s="2" t="s">
        <v>26</v>
      </c>
      <c r="P254" s="2" t="s">
        <v>36</v>
      </c>
      <c r="Q254" s="3"/>
      <c r="R254" s="2"/>
    </row>
    <row r="255" spans="1:18" x14ac:dyDescent="0.3">
      <c r="A255" s="2" t="s">
        <v>519</v>
      </c>
      <c r="B255" s="2" t="s">
        <v>520</v>
      </c>
      <c r="C255" s="2" t="s">
        <v>20</v>
      </c>
      <c r="D255" s="3">
        <v>31741</v>
      </c>
      <c r="E255" s="3">
        <v>45126</v>
      </c>
      <c r="F255" s="2" t="s">
        <v>39</v>
      </c>
      <c r="G255" s="2" t="s">
        <v>170</v>
      </c>
      <c r="H255" s="2" t="s">
        <v>23</v>
      </c>
      <c r="I255" s="2" t="s">
        <v>24</v>
      </c>
      <c r="J255" s="4">
        <v>11850000</v>
      </c>
      <c r="K255" s="2">
        <v>4</v>
      </c>
      <c r="L255" s="2">
        <v>1</v>
      </c>
      <c r="M255" s="2">
        <v>16</v>
      </c>
      <c r="N255" s="2" t="s">
        <v>25</v>
      </c>
      <c r="O255" s="2" t="s">
        <v>35</v>
      </c>
      <c r="P255" s="2" t="s">
        <v>36</v>
      </c>
      <c r="Q255" s="3"/>
      <c r="R255" s="2"/>
    </row>
    <row r="256" spans="1:18" x14ac:dyDescent="0.3">
      <c r="A256" s="2" t="s">
        <v>521</v>
      </c>
      <c r="B256" s="2" t="s">
        <v>522</v>
      </c>
      <c r="C256" s="2" t="s">
        <v>31</v>
      </c>
      <c r="D256" s="3">
        <v>34790</v>
      </c>
      <c r="E256" s="3">
        <v>46189</v>
      </c>
      <c r="F256" s="2" t="s">
        <v>64</v>
      </c>
      <c r="G256" s="2" t="s">
        <v>73</v>
      </c>
      <c r="H256" s="2" t="s">
        <v>23</v>
      </c>
      <c r="I256" s="2" t="s">
        <v>96</v>
      </c>
      <c r="J256" s="4">
        <v>10890000</v>
      </c>
      <c r="K256" s="2">
        <v>3</v>
      </c>
      <c r="L256" s="2">
        <v>3</v>
      </c>
      <c r="M256" s="2">
        <v>32</v>
      </c>
      <c r="N256" s="2" t="s">
        <v>41</v>
      </c>
      <c r="O256" s="2" t="s">
        <v>26</v>
      </c>
      <c r="P256" s="2" t="s">
        <v>36</v>
      </c>
      <c r="Q256" s="3"/>
      <c r="R256" s="2"/>
    </row>
    <row r="257" spans="1:18" x14ac:dyDescent="0.3">
      <c r="A257" s="2" t="s">
        <v>523</v>
      </c>
      <c r="B257" s="2" t="s">
        <v>524</v>
      </c>
      <c r="C257" s="2" t="s">
        <v>31</v>
      </c>
      <c r="D257" s="3">
        <v>34357</v>
      </c>
      <c r="E257" s="3">
        <v>45528</v>
      </c>
      <c r="F257" s="2" t="s">
        <v>51</v>
      </c>
      <c r="G257" s="2" t="s">
        <v>93</v>
      </c>
      <c r="H257" s="2" t="s">
        <v>68</v>
      </c>
      <c r="I257" s="2" t="s">
        <v>44</v>
      </c>
      <c r="J257" s="4">
        <v>5360000</v>
      </c>
      <c r="K257" s="2">
        <v>3</v>
      </c>
      <c r="L257" s="2">
        <v>2</v>
      </c>
      <c r="M257" s="2">
        <v>23</v>
      </c>
      <c r="N257" s="2" t="s">
        <v>25</v>
      </c>
      <c r="O257" s="2" t="s">
        <v>26</v>
      </c>
      <c r="P257" s="2" t="s">
        <v>36</v>
      </c>
      <c r="Q257" s="3"/>
      <c r="R257" s="2"/>
    </row>
    <row r="258" spans="1:18" x14ac:dyDescent="0.3">
      <c r="A258" s="2" t="s">
        <v>525</v>
      </c>
      <c r="B258" s="2" t="s">
        <v>526</v>
      </c>
      <c r="C258" s="2" t="s">
        <v>20</v>
      </c>
      <c r="D258" s="3">
        <v>33820</v>
      </c>
      <c r="E258" s="3">
        <v>45467</v>
      </c>
      <c r="F258" s="2" t="s">
        <v>64</v>
      </c>
      <c r="G258" s="2" t="s">
        <v>73</v>
      </c>
      <c r="H258" s="2" t="s">
        <v>33</v>
      </c>
      <c r="I258" s="2" t="s">
        <v>24</v>
      </c>
      <c r="J258" s="4">
        <v>4610000</v>
      </c>
      <c r="K258" s="2">
        <v>4</v>
      </c>
      <c r="L258" s="2">
        <v>2</v>
      </c>
      <c r="M258" s="2">
        <v>30</v>
      </c>
      <c r="N258" s="2" t="s">
        <v>25</v>
      </c>
      <c r="O258" s="2"/>
      <c r="P258" s="2" t="s">
        <v>36</v>
      </c>
      <c r="Q258" s="3"/>
      <c r="R258" s="2"/>
    </row>
    <row r="259" spans="1:18" x14ac:dyDescent="0.3">
      <c r="A259" s="2" t="s">
        <v>527</v>
      </c>
      <c r="B259" s="2" t="s">
        <v>528</v>
      </c>
      <c r="C259" s="2" t="s">
        <v>31</v>
      </c>
      <c r="D259" s="3">
        <v>35567</v>
      </c>
      <c r="E259" s="3">
        <v>43476</v>
      </c>
      <c r="F259" s="2" t="s">
        <v>21</v>
      </c>
      <c r="G259" s="2" t="s">
        <v>32</v>
      </c>
      <c r="H259" s="2" t="s">
        <v>33</v>
      </c>
      <c r="I259" s="2" t="s">
        <v>24</v>
      </c>
      <c r="J259" s="4">
        <v>4840000</v>
      </c>
      <c r="K259" s="2">
        <v>1</v>
      </c>
      <c r="L259" s="2">
        <v>3</v>
      </c>
      <c r="M259" s="2">
        <v>6</v>
      </c>
      <c r="N259" s="2" t="s">
        <v>41</v>
      </c>
      <c r="O259" s="2" t="s">
        <v>35</v>
      </c>
      <c r="P259" s="2" t="s">
        <v>36</v>
      </c>
      <c r="Q259" s="3"/>
      <c r="R259" s="2"/>
    </row>
    <row r="260" spans="1:18" x14ac:dyDescent="0.3">
      <c r="A260" s="2" t="s">
        <v>529</v>
      </c>
      <c r="B260" s="2" t="s">
        <v>489</v>
      </c>
      <c r="C260" s="2" t="s">
        <v>31</v>
      </c>
      <c r="D260" s="3">
        <v>28920</v>
      </c>
      <c r="E260" s="3">
        <v>45806</v>
      </c>
      <c r="F260" s="2" t="s">
        <v>64</v>
      </c>
      <c r="G260" s="2" t="s">
        <v>65</v>
      </c>
      <c r="H260" s="2" t="s">
        <v>68</v>
      </c>
      <c r="I260" s="2" t="s">
        <v>24</v>
      </c>
      <c r="J260" s="4">
        <v>8010000</v>
      </c>
      <c r="K260" s="2">
        <v>5</v>
      </c>
      <c r="L260" s="2">
        <v>4</v>
      </c>
      <c r="M260" s="2">
        <v>15</v>
      </c>
      <c r="N260" s="2" t="s">
        <v>41</v>
      </c>
      <c r="O260" s="2" t="s">
        <v>26</v>
      </c>
      <c r="P260" s="2" t="s">
        <v>36</v>
      </c>
      <c r="Q260" s="3"/>
      <c r="R260" s="2"/>
    </row>
    <row r="261" spans="1:18" x14ac:dyDescent="0.3">
      <c r="A261" s="2" t="s">
        <v>530</v>
      </c>
      <c r="B261" s="2" t="s">
        <v>298</v>
      </c>
      <c r="C261" s="2" t="s">
        <v>20</v>
      </c>
      <c r="D261" s="3">
        <v>31112</v>
      </c>
      <c r="E261" s="3">
        <v>43615</v>
      </c>
      <c r="F261" s="2" t="s">
        <v>51</v>
      </c>
      <c r="G261" s="2" t="s">
        <v>93</v>
      </c>
      <c r="H261" s="2" t="s">
        <v>68</v>
      </c>
      <c r="I261" s="2" t="s">
        <v>24</v>
      </c>
      <c r="J261" s="4">
        <v>4730000</v>
      </c>
      <c r="K261" s="2">
        <v>3</v>
      </c>
      <c r="L261" s="2">
        <v>3</v>
      </c>
      <c r="M261" s="2">
        <v>20</v>
      </c>
      <c r="N261" s="2" t="s">
        <v>25</v>
      </c>
      <c r="O261" s="2" t="s">
        <v>35</v>
      </c>
      <c r="P261" s="2" t="s">
        <v>36</v>
      </c>
      <c r="Q261" s="3"/>
      <c r="R261" s="2"/>
    </row>
    <row r="262" spans="1:18" x14ac:dyDescent="0.3">
      <c r="A262" s="2" t="s">
        <v>531</v>
      </c>
      <c r="B262" s="2" t="s">
        <v>532</v>
      </c>
      <c r="C262" s="2" t="s">
        <v>31</v>
      </c>
      <c r="D262" s="3">
        <v>36481</v>
      </c>
      <c r="E262" s="3">
        <v>46171</v>
      </c>
      <c r="F262" s="2" t="s">
        <v>64</v>
      </c>
      <c r="G262" s="2" t="s">
        <v>65</v>
      </c>
      <c r="H262" s="2" t="s">
        <v>23</v>
      </c>
      <c r="I262" s="2" t="s">
        <v>96</v>
      </c>
      <c r="J262" s="4">
        <v>12510000</v>
      </c>
      <c r="K262" s="2">
        <v>4</v>
      </c>
      <c r="L262" s="2">
        <v>3</v>
      </c>
      <c r="M262" s="2">
        <v>17</v>
      </c>
      <c r="N262" s="2" t="s">
        <v>25</v>
      </c>
      <c r="O262" s="2" t="s">
        <v>35</v>
      </c>
      <c r="P262" s="2" t="s">
        <v>27</v>
      </c>
      <c r="Q262" s="3">
        <v>46289</v>
      </c>
      <c r="R262" s="2" t="s">
        <v>28</v>
      </c>
    </row>
    <row r="263" spans="1:18" x14ac:dyDescent="0.3">
      <c r="A263" s="2" t="s">
        <v>533</v>
      </c>
      <c r="B263" s="2" t="s">
        <v>534</v>
      </c>
      <c r="C263" s="2" t="s">
        <v>31</v>
      </c>
      <c r="D263" s="3">
        <v>34641</v>
      </c>
      <c r="E263" s="3">
        <v>42980</v>
      </c>
      <c r="F263" s="2" t="s">
        <v>51</v>
      </c>
      <c r="G263" s="2" t="s">
        <v>52</v>
      </c>
      <c r="H263" s="2" t="s">
        <v>68</v>
      </c>
      <c r="I263" s="2" t="s">
        <v>104</v>
      </c>
      <c r="J263" s="4">
        <v>5500000</v>
      </c>
      <c r="K263" s="2">
        <v>2</v>
      </c>
      <c r="L263" s="2">
        <v>5</v>
      </c>
      <c r="M263" s="2">
        <v>9</v>
      </c>
      <c r="N263" s="2" t="s">
        <v>41</v>
      </c>
      <c r="O263" s="2" t="s">
        <v>26</v>
      </c>
      <c r="P263" s="2" t="s">
        <v>36</v>
      </c>
      <c r="Q263" s="3"/>
      <c r="R263" s="2"/>
    </row>
    <row r="264" spans="1:18" x14ac:dyDescent="0.3">
      <c r="A264" s="2" t="s">
        <v>535</v>
      </c>
      <c r="B264" s="2" t="s">
        <v>536</v>
      </c>
      <c r="C264" s="2" t="s">
        <v>31</v>
      </c>
      <c r="D264" s="3">
        <v>33060</v>
      </c>
      <c r="E264" s="3">
        <v>44557</v>
      </c>
      <c r="F264" s="2" t="s">
        <v>64</v>
      </c>
      <c r="G264" s="2" t="s">
        <v>65</v>
      </c>
      <c r="H264" s="2" t="s">
        <v>68</v>
      </c>
      <c r="I264" s="2" t="s">
        <v>206</v>
      </c>
      <c r="J264" s="4">
        <v>6680000</v>
      </c>
      <c r="K264" s="2">
        <v>2</v>
      </c>
      <c r="L264" s="2">
        <v>2</v>
      </c>
      <c r="M264" s="2">
        <v>8</v>
      </c>
      <c r="N264" s="2" t="s">
        <v>41</v>
      </c>
      <c r="O264" s="2" t="s">
        <v>26</v>
      </c>
      <c r="P264" s="2" t="s">
        <v>27</v>
      </c>
      <c r="Q264" s="3">
        <v>46053</v>
      </c>
      <c r="R264" s="2" t="s">
        <v>155</v>
      </c>
    </row>
    <row r="265" spans="1:18" x14ac:dyDescent="0.3">
      <c r="A265" s="2" t="s">
        <v>537</v>
      </c>
      <c r="B265" s="2" t="s">
        <v>492</v>
      </c>
      <c r="C265" s="2" t="s">
        <v>20</v>
      </c>
      <c r="D265" s="3">
        <v>35513</v>
      </c>
      <c r="E265" s="3">
        <v>45862</v>
      </c>
      <c r="F265" s="2" t="s">
        <v>64</v>
      </c>
      <c r="G265" s="2" t="s">
        <v>65</v>
      </c>
      <c r="H265" s="2" t="s">
        <v>33</v>
      </c>
      <c r="I265" s="2" t="s">
        <v>206</v>
      </c>
      <c r="J265" s="4">
        <v>3680000</v>
      </c>
      <c r="K265" s="2">
        <v>3</v>
      </c>
      <c r="L265" s="2">
        <v>3</v>
      </c>
      <c r="M265" s="2">
        <v>23</v>
      </c>
      <c r="N265" s="2" t="s">
        <v>25</v>
      </c>
      <c r="O265" s="2" t="s">
        <v>26</v>
      </c>
      <c r="P265" s="2" t="s">
        <v>36</v>
      </c>
      <c r="Q265" s="3"/>
      <c r="R265" s="2"/>
    </row>
    <row r="266" spans="1:18" x14ac:dyDescent="0.3">
      <c r="A266" s="2" t="s">
        <v>538</v>
      </c>
      <c r="B266" s="2" t="s">
        <v>362</v>
      </c>
      <c r="C266" s="2" t="s">
        <v>20</v>
      </c>
      <c r="D266" s="3">
        <v>34446</v>
      </c>
      <c r="E266" s="3">
        <v>45061</v>
      </c>
      <c r="F266" s="2" t="s">
        <v>21</v>
      </c>
      <c r="G266" s="2" t="s">
        <v>22</v>
      </c>
      <c r="H266" s="2" t="s">
        <v>23</v>
      </c>
      <c r="I266" s="2" t="s">
        <v>24</v>
      </c>
      <c r="J266" s="4">
        <v>14090000</v>
      </c>
      <c r="K266" s="2">
        <v>4</v>
      </c>
      <c r="L266" s="2">
        <v>4</v>
      </c>
      <c r="M266" s="2">
        <v>2</v>
      </c>
      <c r="N266" s="2" t="s">
        <v>88</v>
      </c>
      <c r="O266" s="2" t="s">
        <v>26</v>
      </c>
      <c r="P266" s="2" t="s">
        <v>36</v>
      </c>
      <c r="Q266" s="3"/>
      <c r="R266" s="2"/>
    </row>
    <row r="267" spans="1:18" x14ac:dyDescent="0.3">
      <c r="A267" s="2" t="s">
        <v>539</v>
      </c>
      <c r="B267" s="2" t="s">
        <v>221</v>
      </c>
      <c r="C267" s="2" t="s">
        <v>20</v>
      </c>
      <c r="D267" s="3">
        <v>35986</v>
      </c>
      <c r="E267" s="3">
        <v>45640</v>
      </c>
      <c r="F267" s="2" t="s">
        <v>64</v>
      </c>
      <c r="G267" s="2" t="s">
        <v>73</v>
      </c>
      <c r="H267" s="2" t="s">
        <v>33</v>
      </c>
      <c r="I267" s="2" t="s">
        <v>24</v>
      </c>
      <c r="J267" s="4">
        <v>4510000</v>
      </c>
      <c r="K267" s="2">
        <v>4</v>
      </c>
      <c r="L267" s="2">
        <v>4</v>
      </c>
      <c r="M267" s="2">
        <v>21</v>
      </c>
      <c r="N267" s="2" t="s">
        <v>25</v>
      </c>
      <c r="O267" s="2" t="s">
        <v>53</v>
      </c>
      <c r="P267" s="2" t="s">
        <v>36</v>
      </c>
      <c r="Q267" s="3"/>
      <c r="R267" s="2"/>
    </row>
    <row r="268" spans="1:18" x14ac:dyDescent="0.3">
      <c r="A268" s="2" t="s">
        <v>540</v>
      </c>
      <c r="B268" s="2" t="s">
        <v>541</v>
      </c>
      <c r="C268" s="2" t="s">
        <v>31</v>
      </c>
      <c r="D268" s="3">
        <v>35229</v>
      </c>
      <c r="E268" s="3">
        <v>45107</v>
      </c>
      <c r="F268" s="2" t="s">
        <v>21</v>
      </c>
      <c r="G268" s="2" t="s">
        <v>103</v>
      </c>
      <c r="H268" s="2" t="s">
        <v>33</v>
      </c>
      <c r="I268" s="2" t="s">
        <v>96</v>
      </c>
      <c r="J268" s="4">
        <v>5140000</v>
      </c>
      <c r="K268" s="2">
        <v>4</v>
      </c>
      <c r="L268" s="2">
        <v>3</v>
      </c>
      <c r="M268" s="2">
        <v>23</v>
      </c>
      <c r="N268" s="2" t="s">
        <v>25</v>
      </c>
      <c r="O268" s="2" t="s">
        <v>35</v>
      </c>
      <c r="P268" s="2" t="s">
        <v>36</v>
      </c>
      <c r="Q268" s="3"/>
      <c r="R268" s="2"/>
    </row>
    <row r="269" spans="1:18" x14ac:dyDescent="0.3">
      <c r="A269" s="2" t="s">
        <v>542</v>
      </c>
      <c r="B269" s="2" t="s">
        <v>543</v>
      </c>
      <c r="C269" s="2" t="s">
        <v>31</v>
      </c>
      <c r="D269" s="3">
        <v>37253</v>
      </c>
      <c r="E269" s="3">
        <v>44882</v>
      </c>
      <c r="F269" s="2" t="s">
        <v>544</v>
      </c>
      <c r="G269" s="2" t="s">
        <v>52</v>
      </c>
      <c r="H269" s="2" t="s">
        <v>33</v>
      </c>
      <c r="I269" s="2" t="s">
        <v>24</v>
      </c>
      <c r="J269" s="4">
        <v>2590000</v>
      </c>
      <c r="K269" s="2">
        <v>5</v>
      </c>
      <c r="L269" s="2">
        <v>5</v>
      </c>
      <c r="M269" s="2">
        <v>14</v>
      </c>
      <c r="N269" s="2" t="s">
        <v>41</v>
      </c>
      <c r="O269" s="2" t="s">
        <v>53</v>
      </c>
      <c r="P269" s="2" t="s">
        <v>27</v>
      </c>
      <c r="Q269" s="3">
        <v>45727</v>
      </c>
      <c r="R269" s="2" t="s">
        <v>155</v>
      </c>
    </row>
    <row r="270" spans="1:18" x14ac:dyDescent="0.3">
      <c r="A270" s="2" t="s">
        <v>545</v>
      </c>
      <c r="B270" s="2" t="s">
        <v>304</v>
      </c>
      <c r="C270" s="2" t="s">
        <v>20</v>
      </c>
      <c r="D270" s="3">
        <v>36851</v>
      </c>
      <c r="E270" s="3">
        <v>45267</v>
      </c>
      <c r="F270" s="2" t="s">
        <v>51</v>
      </c>
      <c r="G270" s="2" t="s">
        <v>52</v>
      </c>
      <c r="H270" s="2" t="s">
        <v>33</v>
      </c>
      <c r="I270" s="2" t="s">
        <v>96</v>
      </c>
      <c r="J270" s="4">
        <v>3740000</v>
      </c>
      <c r="K270" s="2">
        <v>4</v>
      </c>
      <c r="L270" s="2">
        <v>3</v>
      </c>
      <c r="M270" s="2">
        <v>14</v>
      </c>
      <c r="N270" s="2" t="s">
        <v>25</v>
      </c>
      <c r="O270" s="2" t="s">
        <v>35</v>
      </c>
      <c r="P270" s="2" t="s">
        <v>36</v>
      </c>
      <c r="Q270" s="3"/>
      <c r="R270" s="2"/>
    </row>
    <row r="271" spans="1:18" x14ac:dyDescent="0.3">
      <c r="A271" s="2" t="s">
        <v>546</v>
      </c>
      <c r="B271" s="2" t="s">
        <v>330</v>
      </c>
      <c r="C271" s="2" t="s">
        <v>20</v>
      </c>
      <c r="D271" s="3">
        <v>31509</v>
      </c>
      <c r="E271" s="3">
        <v>45321</v>
      </c>
      <c r="F271" s="2" t="s">
        <v>21</v>
      </c>
      <c r="G271" s="2" t="s">
        <v>103</v>
      </c>
      <c r="H271" s="2" t="s">
        <v>23</v>
      </c>
      <c r="I271" s="2" t="s">
        <v>24</v>
      </c>
      <c r="J271" s="4">
        <v>21250000</v>
      </c>
      <c r="K271" s="2">
        <v>4</v>
      </c>
      <c r="L271" s="2">
        <v>4</v>
      </c>
      <c r="M271" s="2">
        <v>1</v>
      </c>
      <c r="N271" s="2" t="s">
        <v>41</v>
      </c>
      <c r="O271" s="2" t="s">
        <v>35</v>
      </c>
      <c r="P271" s="2" t="s">
        <v>36</v>
      </c>
      <c r="Q271" s="3"/>
      <c r="R271" s="2"/>
    </row>
    <row r="272" spans="1:18" x14ac:dyDescent="0.3">
      <c r="A272" s="2" t="s">
        <v>547</v>
      </c>
      <c r="B272" s="2" t="s">
        <v>548</v>
      </c>
      <c r="C272" s="2" t="s">
        <v>31</v>
      </c>
      <c r="D272" s="3">
        <v>35411</v>
      </c>
      <c r="E272" s="3">
        <v>43353</v>
      </c>
      <c r="F272" s="2" t="s">
        <v>64</v>
      </c>
      <c r="G272" s="2" t="s">
        <v>79</v>
      </c>
      <c r="H272" s="2" t="s">
        <v>68</v>
      </c>
      <c r="I272" s="2" t="s">
        <v>96</v>
      </c>
      <c r="J272" s="4">
        <v>6780000</v>
      </c>
      <c r="K272" s="2">
        <v>5</v>
      </c>
      <c r="L272" s="2">
        <v>4</v>
      </c>
      <c r="M272" s="2">
        <v>25</v>
      </c>
      <c r="N272" s="2" t="s">
        <v>41</v>
      </c>
      <c r="O272" s="2" t="s">
        <v>35</v>
      </c>
      <c r="P272" s="2" t="s">
        <v>36</v>
      </c>
      <c r="Q272" s="3"/>
      <c r="R272" s="2"/>
    </row>
    <row r="273" spans="1:18" x14ac:dyDescent="0.3">
      <c r="A273" s="2" t="s">
        <v>549</v>
      </c>
      <c r="B273" s="2" t="s">
        <v>352</v>
      </c>
      <c r="C273" s="2" t="s">
        <v>20</v>
      </c>
      <c r="D273" s="3">
        <v>34602</v>
      </c>
      <c r="E273" s="3">
        <v>45155</v>
      </c>
      <c r="F273" s="2" t="s">
        <v>56</v>
      </c>
      <c r="G273" s="2" t="s">
        <v>57</v>
      </c>
      <c r="H273" s="2" t="s">
        <v>23</v>
      </c>
      <c r="I273" s="2" t="s">
        <v>24</v>
      </c>
      <c r="J273" s="4">
        <v>13490000</v>
      </c>
      <c r="K273" s="2">
        <v>4</v>
      </c>
      <c r="L273" s="2">
        <v>5</v>
      </c>
      <c r="M273" s="2">
        <v>5</v>
      </c>
      <c r="N273" s="2" t="s">
        <v>41</v>
      </c>
      <c r="O273" s="2" t="s">
        <v>26</v>
      </c>
      <c r="P273" s="2" t="s">
        <v>27</v>
      </c>
      <c r="Q273" s="3">
        <v>46222</v>
      </c>
      <c r="R273" s="2" t="s">
        <v>111</v>
      </c>
    </row>
    <row r="274" spans="1:18" x14ac:dyDescent="0.3">
      <c r="A274" s="2" t="s">
        <v>550</v>
      </c>
      <c r="B274" s="2" t="s">
        <v>551</v>
      </c>
      <c r="C274" s="2" t="s">
        <v>31</v>
      </c>
      <c r="D274" s="3">
        <v>39074</v>
      </c>
      <c r="E274" s="3">
        <v>46298</v>
      </c>
      <c r="F274" s="2" t="s">
        <v>51</v>
      </c>
      <c r="G274" s="2" t="s">
        <v>52</v>
      </c>
      <c r="H274" s="2" t="s">
        <v>23</v>
      </c>
      <c r="I274" s="2" t="s">
        <v>34</v>
      </c>
      <c r="J274" s="4">
        <v>8690000</v>
      </c>
      <c r="K274" s="2">
        <v>4</v>
      </c>
      <c r="L274" s="2">
        <v>4</v>
      </c>
      <c r="M274" s="2">
        <v>17</v>
      </c>
      <c r="N274" s="2" t="s">
        <v>41</v>
      </c>
      <c r="O274" s="2" t="s">
        <v>35</v>
      </c>
      <c r="P274" s="2" t="s">
        <v>36</v>
      </c>
      <c r="Q274" s="3"/>
      <c r="R274" s="2"/>
    </row>
    <row r="275" spans="1:18" x14ac:dyDescent="0.3">
      <c r="A275" s="2" t="s">
        <v>552</v>
      </c>
      <c r="B275" s="2" t="s">
        <v>281</v>
      </c>
      <c r="C275" s="2" t="s">
        <v>31</v>
      </c>
      <c r="D275" s="3">
        <v>34143</v>
      </c>
      <c r="E275" s="3">
        <v>43778</v>
      </c>
      <c r="F275" s="2" t="s">
        <v>64</v>
      </c>
      <c r="G275" s="2" t="s">
        <v>73</v>
      </c>
      <c r="H275" s="2" t="s">
        <v>68</v>
      </c>
      <c r="I275" s="2" t="s">
        <v>24</v>
      </c>
      <c r="J275" s="4">
        <v>8380000</v>
      </c>
      <c r="K275" s="2">
        <v>3</v>
      </c>
      <c r="L275" s="2">
        <v>2</v>
      </c>
      <c r="M275" s="2">
        <v>15</v>
      </c>
      <c r="N275" s="2" t="s">
        <v>88</v>
      </c>
      <c r="O275" s="2" t="s">
        <v>26</v>
      </c>
      <c r="P275" s="2" t="s">
        <v>36</v>
      </c>
      <c r="Q275" s="3"/>
      <c r="R275" s="2"/>
    </row>
    <row r="276" spans="1:18" x14ac:dyDescent="0.3">
      <c r="A276" s="2" t="s">
        <v>553</v>
      </c>
      <c r="B276" s="2" t="s">
        <v>554</v>
      </c>
      <c r="C276" s="2" t="s">
        <v>31</v>
      </c>
      <c r="D276" s="3">
        <v>31063</v>
      </c>
      <c r="E276" s="3">
        <v>45919</v>
      </c>
      <c r="F276" s="2" t="s">
        <v>51</v>
      </c>
      <c r="G276" s="2" t="s">
        <v>52</v>
      </c>
      <c r="H276" s="2" t="s">
        <v>23</v>
      </c>
      <c r="I276" s="2" t="s">
        <v>206</v>
      </c>
      <c r="J276" s="4">
        <v>12310000</v>
      </c>
      <c r="K276" s="2">
        <v>4</v>
      </c>
      <c r="L276" s="2">
        <v>3</v>
      </c>
      <c r="M276" s="2">
        <v>5</v>
      </c>
      <c r="N276" s="2" t="s">
        <v>41</v>
      </c>
      <c r="O276" s="2" t="s">
        <v>26</v>
      </c>
      <c r="P276" s="2" t="s">
        <v>36</v>
      </c>
      <c r="Q276" s="3"/>
      <c r="R276" s="2"/>
    </row>
    <row r="277" spans="1:18" x14ac:dyDescent="0.3">
      <c r="A277" s="2" t="s">
        <v>555</v>
      </c>
      <c r="B277" s="2" t="s">
        <v>556</v>
      </c>
      <c r="C277" s="2" t="s">
        <v>31</v>
      </c>
      <c r="D277" s="3">
        <v>33160</v>
      </c>
      <c r="E277" s="3">
        <v>44627</v>
      </c>
      <c r="F277" s="2" t="s">
        <v>47</v>
      </c>
      <c r="G277" s="2" t="s">
        <v>90</v>
      </c>
      <c r="H277" s="2" t="s">
        <v>68</v>
      </c>
      <c r="I277" s="2" t="s">
        <v>44</v>
      </c>
      <c r="J277" s="4">
        <v>6300000</v>
      </c>
      <c r="K277" s="2">
        <v>4</v>
      </c>
      <c r="L277" s="2">
        <v>2</v>
      </c>
      <c r="M277" s="2">
        <v>20</v>
      </c>
      <c r="N277" s="2" t="s">
        <v>41</v>
      </c>
      <c r="O277" s="2" t="s">
        <v>26</v>
      </c>
      <c r="P277" s="2" t="s">
        <v>36</v>
      </c>
      <c r="Q277" s="3"/>
      <c r="R277" s="2"/>
    </row>
    <row r="278" spans="1:18" x14ac:dyDescent="0.3">
      <c r="A278" s="2" t="s">
        <v>557</v>
      </c>
      <c r="B278" s="2" t="s">
        <v>558</v>
      </c>
      <c r="C278" s="2" t="s">
        <v>20</v>
      </c>
      <c r="D278" s="3">
        <v>36085</v>
      </c>
      <c r="E278" s="3">
        <v>44923</v>
      </c>
      <c r="F278" s="2" t="s">
        <v>64</v>
      </c>
      <c r="G278" s="2" t="s">
        <v>73</v>
      </c>
      <c r="H278" s="2" t="s">
        <v>33</v>
      </c>
      <c r="I278" s="2" t="s">
        <v>44</v>
      </c>
      <c r="J278" s="4">
        <v>3770000</v>
      </c>
      <c r="K278" s="2">
        <v>2</v>
      </c>
      <c r="L278" s="2">
        <v>2</v>
      </c>
      <c r="M278" s="2">
        <v>19</v>
      </c>
      <c r="N278" s="2" t="s">
        <v>41</v>
      </c>
      <c r="O278" s="2" t="s">
        <v>26</v>
      </c>
      <c r="P278" s="2" t="s">
        <v>36</v>
      </c>
      <c r="Q278" s="3"/>
      <c r="R278" s="2"/>
    </row>
    <row r="279" spans="1:18" x14ac:dyDescent="0.3">
      <c r="A279" s="2" t="s">
        <v>559</v>
      </c>
      <c r="B279" s="2" t="s">
        <v>560</v>
      </c>
      <c r="C279" s="2" t="s">
        <v>20</v>
      </c>
      <c r="D279" s="3">
        <v>34684</v>
      </c>
      <c r="E279" s="3">
        <v>45380</v>
      </c>
      <c r="F279" s="2" t="s">
        <v>21</v>
      </c>
      <c r="G279" s="2" t="s">
        <v>32</v>
      </c>
      <c r="H279" s="2" t="s">
        <v>68</v>
      </c>
      <c r="I279" s="2" t="s">
        <v>24</v>
      </c>
      <c r="J279" s="4">
        <v>12370000</v>
      </c>
      <c r="K279" s="2">
        <v>4</v>
      </c>
      <c r="L279" s="2">
        <v>2</v>
      </c>
      <c r="M279" s="2">
        <v>11</v>
      </c>
      <c r="N279" s="2" t="s">
        <v>25</v>
      </c>
      <c r="O279" s="2" t="s">
        <v>26</v>
      </c>
      <c r="P279" s="2" t="s">
        <v>36</v>
      </c>
      <c r="Q279" s="3"/>
      <c r="R279" s="2"/>
    </row>
    <row r="280" spans="1:18" x14ac:dyDescent="0.3">
      <c r="A280" s="2" t="s">
        <v>561</v>
      </c>
      <c r="B280" s="2" t="s">
        <v>413</v>
      </c>
      <c r="C280" s="2" t="s">
        <v>20</v>
      </c>
      <c r="D280" s="3">
        <v>36455</v>
      </c>
      <c r="E280" s="3">
        <v>45208</v>
      </c>
      <c r="F280" s="2" t="s">
        <v>64</v>
      </c>
      <c r="G280" s="2" t="s">
        <v>73</v>
      </c>
      <c r="H280" s="2" t="s">
        <v>68</v>
      </c>
      <c r="I280" s="2" t="s">
        <v>24</v>
      </c>
      <c r="J280" s="4">
        <v>6140000</v>
      </c>
      <c r="K280" s="2">
        <v>2</v>
      </c>
      <c r="L280" s="2">
        <v>5</v>
      </c>
      <c r="M280" s="2">
        <v>17</v>
      </c>
      <c r="N280" s="2" t="s">
        <v>25</v>
      </c>
      <c r="O280" s="2" t="s">
        <v>26</v>
      </c>
      <c r="P280" s="2" t="s">
        <v>36</v>
      </c>
      <c r="Q280" s="3"/>
      <c r="R280" s="2"/>
    </row>
    <row r="281" spans="1:18" x14ac:dyDescent="0.3">
      <c r="A281" s="2" t="s">
        <v>562</v>
      </c>
      <c r="B281" s="2" t="s">
        <v>563</v>
      </c>
      <c r="C281" s="2" t="s">
        <v>31</v>
      </c>
      <c r="D281" s="3">
        <v>39037</v>
      </c>
      <c r="E281" s="3">
        <v>46284</v>
      </c>
      <c r="F281" s="2" t="s">
        <v>64</v>
      </c>
      <c r="G281" s="2" t="s">
        <v>65</v>
      </c>
      <c r="H281" s="2" t="s">
        <v>33</v>
      </c>
      <c r="I281" s="2" t="s">
        <v>104</v>
      </c>
      <c r="J281" s="4">
        <v>4570000</v>
      </c>
      <c r="K281" s="2">
        <v>3</v>
      </c>
      <c r="L281" s="2">
        <v>3</v>
      </c>
      <c r="M281" s="2">
        <v>13</v>
      </c>
      <c r="N281" s="2" t="s">
        <v>41</v>
      </c>
      <c r="O281" s="2" t="s">
        <v>35</v>
      </c>
      <c r="P281" s="2" t="s">
        <v>36</v>
      </c>
      <c r="Q281" s="3"/>
      <c r="R281" s="2"/>
    </row>
    <row r="282" spans="1:18" x14ac:dyDescent="0.3">
      <c r="A282" s="2" t="s">
        <v>564</v>
      </c>
      <c r="B282" s="2" t="s">
        <v>565</v>
      </c>
      <c r="C282" s="2" t="s">
        <v>20</v>
      </c>
      <c r="D282" s="3">
        <v>38899</v>
      </c>
      <c r="E282" s="3">
        <v>46256</v>
      </c>
      <c r="F282" s="2" t="s">
        <v>64</v>
      </c>
      <c r="G282" s="2" t="s">
        <v>73</v>
      </c>
      <c r="H282" s="2" t="s">
        <v>33</v>
      </c>
      <c r="I282" s="2" t="s">
        <v>96</v>
      </c>
      <c r="J282" s="4">
        <v>3290000</v>
      </c>
      <c r="K282" s="2">
        <v>3</v>
      </c>
      <c r="L282" s="2">
        <v>1</v>
      </c>
      <c r="M282" s="2">
        <v>16</v>
      </c>
      <c r="N282" s="2" t="s">
        <v>41</v>
      </c>
      <c r="O282" s="2" t="s">
        <v>35</v>
      </c>
      <c r="P282" s="2" t="s">
        <v>36</v>
      </c>
      <c r="Q282" s="3"/>
      <c r="R282" s="2"/>
    </row>
    <row r="283" spans="1:18" x14ac:dyDescent="0.3">
      <c r="A283" s="2" t="s">
        <v>566</v>
      </c>
      <c r="B283" s="2" t="s">
        <v>503</v>
      </c>
      <c r="C283" s="2" t="s">
        <v>31</v>
      </c>
      <c r="D283" s="3">
        <v>31869</v>
      </c>
      <c r="E283" s="3">
        <v>43030</v>
      </c>
      <c r="F283" s="2" t="s">
        <v>567</v>
      </c>
      <c r="G283" s="2" t="s">
        <v>196</v>
      </c>
      <c r="H283" s="2" t="s">
        <v>33</v>
      </c>
      <c r="I283" s="2" t="s">
        <v>24</v>
      </c>
      <c r="J283" s="4">
        <v>4270000</v>
      </c>
      <c r="K283" s="2">
        <v>4</v>
      </c>
      <c r="L283" s="2">
        <v>4</v>
      </c>
      <c r="M283" s="2">
        <v>11</v>
      </c>
      <c r="N283" s="2" t="s">
        <v>41</v>
      </c>
      <c r="O283" s="2" t="s">
        <v>26</v>
      </c>
      <c r="P283" s="2" t="s">
        <v>27</v>
      </c>
      <c r="Q283" s="3">
        <v>45785</v>
      </c>
      <c r="R283" s="2" t="s">
        <v>28</v>
      </c>
    </row>
    <row r="284" spans="1:18" x14ac:dyDescent="0.3">
      <c r="A284" s="2" t="s">
        <v>568</v>
      </c>
      <c r="B284" s="2" t="s">
        <v>569</v>
      </c>
      <c r="C284" s="2" t="s">
        <v>31</v>
      </c>
      <c r="D284" s="3">
        <v>33523</v>
      </c>
      <c r="E284" s="3">
        <v>46211</v>
      </c>
      <c r="F284" s="2" t="s">
        <v>114</v>
      </c>
      <c r="G284" s="2" t="s">
        <v>115</v>
      </c>
      <c r="H284" s="2" t="s">
        <v>33</v>
      </c>
      <c r="I284" s="2" t="s">
        <v>24</v>
      </c>
      <c r="J284" s="4">
        <v>3480000</v>
      </c>
      <c r="K284" s="2">
        <v>3</v>
      </c>
      <c r="L284" s="2">
        <v>3</v>
      </c>
      <c r="M284" s="2">
        <v>20</v>
      </c>
      <c r="N284" s="2" t="s">
        <v>41</v>
      </c>
      <c r="O284" s="2" t="s">
        <v>35</v>
      </c>
      <c r="P284" s="2" t="s">
        <v>27</v>
      </c>
      <c r="Q284" s="3">
        <v>46292</v>
      </c>
      <c r="R284" s="2" t="s">
        <v>145</v>
      </c>
    </row>
    <row r="285" spans="1:18" x14ac:dyDescent="0.3">
      <c r="A285" s="2" t="s">
        <v>570</v>
      </c>
      <c r="B285" s="2" t="s">
        <v>265</v>
      </c>
      <c r="C285" s="2" t="s">
        <v>31</v>
      </c>
      <c r="D285" s="3">
        <v>34597</v>
      </c>
      <c r="E285" s="3">
        <v>44972</v>
      </c>
      <c r="F285" s="2" t="s">
        <v>114</v>
      </c>
      <c r="G285" s="2" t="s">
        <v>115</v>
      </c>
      <c r="H285" s="2" t="s">
        <v>68</v>
      </c>
      <c r="I285" s="2" t="s">
        <v>24</v>
      </c>
      <c r="J285" s="4">
        <v>7740000</v>
      </c>
      <c r="K285" s="2">
        <v>1</v>
      </c>
      <c r="L285" s="2">
        <v>3</v>
      </c>
      <c r="M285" s="2">
        <v>8</v>
      </c>
      <c r="N285" s="2" t="s">
        <v>25</v>
      </c>
      <c r="O285" s="2" t="s">
        <v>53</v>
      </c>
      <c r="P285" s="2" t="s">
        <v>36</v>
      </c>
      <c r="Q285" s="3"/>
      <c r="R285" s="2"/>
    </row>
    <row r="286" spans="1:18" x14ac:dyDescent="0.3">
      <c r="A286" s="2" t="s">
        <v>571</v>
      </c>
      <c r="B286" s="2" t="s">
        <v>572</v>
      </c>
      <c r="C286" s="2" t="s">
        <v>31</v>
      </c>
      <c r="D286" s="3">
        <v>33228</v>
      </c>
      <c r="E286" s="3">
        <v>42195</v>
      </c>
      <c r="F286" s="2" t="s">
        <v>64</v>
      </c>
      <c r="G286" s="2" t="s">
        <v>79</v>
      </c>
      <c r="H286" s="2" t="s">
        <v>68</v>
      </c>
      <c r="I286" s="2" t="s">
        <v>24</v>
      </c>
      <c r="J286" s="4">
        <v>8290000</v>
      </c>
      <c r="K286" s="2">
        <v>3</v>
      </c>
      <c r="L286" s="2">
        <v>4</v>
      </c>
      <c r="M286" s="2">
        <v>29</v>
      </c>
      <c r="N286" s="2" t="s">
        <v>41</v>
      </c>
      <c r="O286" s="2" t="s">
        <v>26</v>
      </c>
      <c r="P286" s="2" t="s">
        <v>36</v>
      </c>
      <c r="Q286" s="3"/>
      <c r="R286" s="2"/>
    </row>
    <row r="287" spans="1:18" x14ac:dyDescent="0.3">
      <c r="A287" s="2" t="s">
        <v>573</v>
      </c>
      <c r="B287" s="2" t="s">
        <v>574</v>
      </c>
      <c r="C287" s="2" t="s">
        <v>31</v>
      </c>
      <c r="D287" s="3">
        <v>35546</v>
      </c>
      <c r="E287" s="3">
        <v>46246</v>
      </c>
      <c r="F287" s="2" t="s">
        <v>114</v>
      </c>
      <c r="G287" s="2" t="s">
        <v>196</v>
      </c>
      <c r="H287" s="2" t="s">
        <v>23</v>
      </c>
      <c r="I287" s="2" t="s">
        <v>34</v>
      </c>
      <c r="J287" s="4">
        <v>12720000</v>
      </c>
      <c r="K287" s="2">
        <v>3</v>
      </c>
      <c r="L287" s="2">
        <v>4</v>
      </c>
      <c r="M287" s="2">
        <v>21</v>
      </c>
      <c r="N287" s="2" t="s">
        <v>25</v>
      </c>
      <c r="O287" s="2" t="s">
        <v>26</v>
      </c>
      <c r="P287" s="2" t="s">
        <v>36</v>
      </c>
      <c r="Q287" s="3"/>
      <c r="R287" s="2"/>
    </row>
    <row r="288" spans="1:18" x14ac:dyDescent="0.3">
      <c r="A288" s="2" t="s">
        <v>575</v>
      </c>
      <c r="B288" s="2" t="s">
        <v>576</v>
      </c>
      <c r="C288" s="2" t="s">
        <v>20</v>
      </c>
      <c r="D288" s="3">
        <v>31052</v>
      </c>
      <c r="E288" s="3">
        <v>46023</v>
      </c>
      <c r="F288" s="2" t="s">
        <v>21</v>
      </c>
      <c r="G288" s="2" t="s">
        <v>22</v>
      </c>
      <c r="H288" s="2" t="s">
        <v>68</v>
      </c>
      <c r="I288" s="2" t="s">
        <v>24</v>
      </c>
      <c r="J288" s="4">
        <v>10570000</v>
      </c>
      <c r="K288" s="2">
        <v>3</v>
      </c>
      <c r="L288" s="2">
        <v>5</v>
      </c>
      <c r="M288" s="2">
        <v>11</v>
      </c>
      <c r="N288" s="2" t="s">
        <v>41</v>
      </c>
      <c r="O288" s="2" t="s">
        <v>26</v>
      </c>
      <c r="P288" s="2" t="s">
        <v>36</v>
      </c>
      <c r="Q288" s="3"/>
      <c r="R288" s="2"/>
    </row>
    <row r="289" spans="1:18" x14ac:dyDescent="0.3">
      <c r="A289" s="2" t="s">
        <v>577</v>
      </c>
      <c r="B289" s="2" t="s">
        <v>578</v>
      </c>
      <c r="C289" s="2" t="s">
        <v>31</v>
      </c>
      <c r="D289" s="3">
        <v>30736</v>
      </c>
      <c r="E289" s="3">
        <v>44794</v>
      </c>
      <c r="F289" s="2" t="s">
        <v>21</v>
      </c>
      <c r="G289" s="2" t="s">
        <v>103</v>
      </c>
      <c r="H289" s="2" t="s">
        <v>33</v>
      </c>
      <c r="I289" s="2" t="s">
        <v>96</v>
      </c>
      <c r="J289" s="4">
        <v>6220000</v>
      </c>
      <c r="K289" s="2">
        <v>3</v>
      </c>
      <c r="L289" s="2">
        <v>4</v>
      </c>
      <c r="M289" s="2">
        <v>0</v>
      </c>
      <c r="N289" s="2" t="s">
        <v>41</v>
      </c>
      <c r="O289" s="2" t="s">
        <v>53</v>
      </c>
      <c r="P289" s="2" t="s">
        <v>36</v>
      </c>
      <c r="Q289" s="3"/>
      <c r="R289" s="2"/>
    </row>
    <row r="290" spans="1:18" x14ac:dyDescent="0.3">
      <c r="A290" s="2" t="s">
        <v>579</v>
      </c>
      <c r="B290" s="2" t="s">
        <v>580</v>
      </c>
      <c r="C290" s="2" t="s">
        <v>20</v>
      </c>
      <c r="D290" s="3">
        <v>35565</v>
      </c>
      <c r="E290" s="3">
        <v>46161</v>
      </c>
      <c r="F290" s="2" t="s">
        <v>114</v>
      </c>
      <c r="G290" s="2" t="s">
        <v>150</v>
      </c>
      <c r="H290" s="2" t="s">
        <v>68</v>
      </c>
      <c r="I290" s="2" t="s">
        <v>34</v>
      </c>
      <c r="J290" s="4">
        <v>6440000</v>
      </c>
      <c r="K290" s="2">
        <v>2</v>
      </c>
      <c r="L290" s="2">
        <v>4</v>
      </c>
      <c r="M290" s="2">
        <v>2</v>
      </c>
      <c r="N290" s="2" t="s">
        <v>25</v>
      </c>
      <c r="O290" s="2" t="s">
        <v>53</v>
      </c>
      <c r="P290" s="2" t="s">
        <v>36</v>
      </c>
      <c r="Q290" s="3"/>
      <c r="R290" s="2"/>
    </row>
    <row r="291" spans="1:18" x14ac:dyDescent="0.3">
      <c r="A291" s="2" t="s">
        <v>581</v>
      </c>
      <c r="B291" s="2" t="s">
        <v>265</v>
      </c>
      <c r="C291" s="2" t="s">
        <v>31</v>
      </c>
      <c r="D291" s="3">
        <v>31194</v>
      </c>
      <c r="E291" s="3">
        <v>42988</v>
      </c>
      <c r="F291" s="2" t="s">
        <v>56</v>
      </c>
      <c r="G291" s="2" t="s">
        <v>60</v>
      </c>
      <c r="H291" s="2" t="s">
        <v>68</v>
      </c>
      <c r="I291" s="2" t="s">
        <v>82</v>
      </c>
      <c r="J291" s="4">
        <v>9330000</v>
      </c>
      <c r="K291" s="2">
        <v>5</v>
      </c>
      <c r="L291" s="2">
        <v>1</v>
      </c>
      <c r="M291" s="2">
        <v>0</v>
      </c>
      <c r="N291" s="2" t="s">
        <v>41</v>
      </c>
      <c r="O291" s="2" t="s">
        <v>26</v>
      </c>
      <c r="P291" s="2" t="s">
        <v>36</v>
      </c>
      <c r="Q291" s="3"/>
      <c r="R291" s="2"/>
    </row>
    <row r="292" spans="1:18" x14ac:dyDescent="0.3">
      <c r="A292" s="2" t="s">
        <v>582</v>
      </c>
      <c r="B292" s="2" t="s">
        <v>576</v>
      </c>
      <c r="C292" s="2" t="s">
        <v>20</v>
      </c>
      <c r="D292" s="3">
        <v>39048</v>
      </c>
      <c r="E292" s="3">
        <v>46294</v>
      </c>
      <c r="F292" s="2" t="s">
        <v>114</v>
      </c>
      <c r="G292" s="2" t="s">
        <v>196</v>
      </c>
      <c r="H292" s="2" t="s">
        <v>33</v>
      </c>
      <c r="I292" s="2" t="s">
        <v>24</v>
      </c>
      <c r="J292" s="4">
        <v>3310000</v>
      </c>
      <c r="K292" s="2">
        <v>3</v>
      </c>
      <c r="L292" s="2">
        <v>5</v>
      </c>
      <c r="M292" s="2">
        <v>7</v>
      </c>
      <c r="N292" s="2" t="s">
        <v>88</v>
      </c>
      <c r="O292" s="2" t="s">
        <v>35</v>
      </c>
      <c r="P292" s="2" t="s">
        <v>36</v>
      </c>
      <c r="Q292" s="3"/>
      <c r="R292" s="2"/>
    </row>
    <row r="293" spans="1:18" x14ac:dyDescent="0.3">
      <c r="A293" s="2" t="s">
        <v>582</v>
      </c>
      <c r="B293" s="2" t="s">
        <v>576</v>
      </c>
      <c r="C293" s="2" t="s">
        <v>20</v>
      </c>
      <c r="D293" s="3">
        <v>39048</v>
      </c>
      <c r="E293" s="3">
        <v>46294</v>
      </c>
      <c r="F293" s="2" t="s">
        <v>114</v>
      </c>
      <c r="G293" s="2" t="s">
        <v>196</v>
      </c>
      <c r="H293" s="2" t="s">
        <v>33</v>
      </c>
      <c r="I293" s="2" t="s">
        <v>24</v>
      </c>
      <c r="J293" s="4">
        <v>3310000</v>
      </c>
      <c r="K293" s="2">
        <v>3</v>
      </c>
      <c r="L293" s="2">
        <v>5</v>
      </c>
      <c r="M293" s="2">
        <v>7</v>
      </c>
      <c r="N293" s="2" t="s">
        <v>88</v>
      </c>
      <c r="O293" s="2" t="s">
        <v>35</v>
      </c>
      <c r="P293" s="2" t="s">
        <v>36</v>
      </c>
      <c r="Q293" s="3"/>
      <c r="R293" s="2"/>
    </row>
    <row r="294" spans="1:18" x14ac:dyDescent="0.3">
      <c r="A294" s="2" t="s">
        <v>583</v>
      </c>
      <c r="B294" s="2" t="s">
        <v>149</v>
      </c>
      <c r="C294" s="2" t="s">
        <v>31</v>
      </c>
      <c r="D294" s="3">
        <v>32078</v>
      </c>
      <c r="E294" s="3">
        <v>46040</v>
      </c>
      <c r="F294" s="2" t="s">
        <v>51</v>
      </c>
      <c r="G294" s="2" t="s">
        <v>93</v>
      </c>
      <c r="H294" s="2" t="s">
        <v>33</v>
      </c>
      <c r="I294" s="2" t="s">
        <v>34</v>
      </c>
      <c r="J294" s="4">
        <v>3690000</v>
      </c>
      <c r="K294" s="2">
        <v>4</v>
      </c>
      <c r="L294" s="2">
        <v>4</v>
      </c>
      <c r="M294" s="2">
        <v>18</v>
      </c>
      <c r="N294" s="2" t="s">
        <v>25</v>
      </c>
      <c r="O294" s="2" t="s">
        <v>35</v>
      </c>
      <c r="P294" s="2" t="s">
        <v>36</v>
      </c>
      <c r="Q294" s="3"/>
      <c r="R294" s="2"/>
    </row>
    <row r="295" spans="1:18" x14ac:dyDescent="0.3">
      <c r="A295" s="2" t="s">
        <v>584</v>
      </c>
      <c r="B295" s="2" t="s">
        <v>239</v>
      </c>
      <c r="C295" s="2" t="s">
        <v>20</v>
      </c>
      <c r="D295" s="3">
        <v>35617</v>
      </c>
      <c r="E295" s="3">
        <v>46129</v>
      </c>
      <c r="F295" s="2" t="s">
        <v>51</v>
      </c>
      <c r="G295" s="2" t="s">
        <v>52</v>
      </c>
      <c r="H295" s="2" t="s">
        <v>68</v>
      </c>
      <c r="I295" s="2" t="s">
        <v>206</v>
      </c>
      <c r="J295" s="4">
        <v>5980000</v>
      </c>
      <c r="K295" s="2">
        <v>2</v>
      </c>
      <c r="L295" s="2">
        <v>3</v>
      </c>
      <c r="M295" s="2">
        <v>9</v>
      </c>
      <c r="N295" s="2" t="s">
        <v>41</v>
      </c>
      <c r="O295" s="2" t="s">
        <v>53</v>
      </c>
      <c r="P295" s="2" t="s">
        <v>27</v>
      </c>
      <c r="Q295" s="3">
        <v>46201</v>
      </c>
      <c r="R295" s="2" t="s">
        <v>61</v>
      </c>
    </row>
    <row r="296" spans="1:18" x14ac:dyDescent="0.3">
      <c r="A296" s="2" t="s">
        <v>585</v>
      </c>
      <c r="B296" s="2" t="s">
        <v>84</v>
      </c>
      <c r="C296" s="2" t="s">
        <v>31</v>
      </c>
      <c r="D296" s="3">
        <v>34990</v>
      </c>
      <c r="E296" s="3">
        <v>44779</v>
      </c>
      <c r="F296" s="2" t="s">
        <v>64</v>
      </c>
      <c r="G296" s="2" t="s">
        <v>73</v>
      </c>
      <c r="H296" s="2" t="s">
        <v>33</v>
      </c>
      <c r="I296" s="2" t="s">
        <v>96</v>
      </c>
      <c r="J296" s="4">
        <v>4910000</v>
      </c>
      <c r="K296" s="2">
        <v>3</v>
      </c>
      <c r="L296" s="2">
        <v>3</v>
      </c>
      <c r="M296" s="2">
        <v>30</v>
      </c>
      <c r="N296" s="2" t="s">
        <v>25</v>
      </c>
      <c r="O296" s="2" t="s">
        <v>35</v>
      </c>
      <c r="P296" s="2" t="s">
        <v>36</v>
      </c>
      <c r="Q296" s="3"/>
      <c r="R296" s="2"/>
    </row>
    <row r="297" spans="1:18" x14ac:dyDescent="0.3">
      <c r="A297" s="2" t="s">
        <v>586</v>
      </c>
      <c r="B297" s="2" t="s">
        <v>587</v>
      </c>
      <c r="C297" s="2" t="s">
        <v>31</v>
      </c>
      <c r="D297" s="3">
        <v>36137</v>
      </c>
      <c r="E297" s="3">
        <v>43613</v>
      </c>
      <c r="F297" s="2" t="s">
        <v>114</v>
      </c>
      <c r="G297" s="2" t="s">
        <v>196</v>
      </c>
      <c r="H297" s="2" t="s">
        <v>33</v>
      </c>
      <c r="I297" s="2" t="s">
        <v>24</v>
      </c>
      <c r="J297" s="4">
        <v>3700000</v>
      </c>
      <c r="K297" s="2">
        <v>3</v>
      </c>
      <c r="L297" s="2">
        <v>3</v>
      </c>
      <c r="M297" s="2">
        <v>7</v>
      </c>
      <c r="N297" s="2" t="s">
        <v>25</v>
      </c>
      <c r="O297" s="2" t="s">
        <v>26</v>
      </c>
      <c r="P297" s="2" t="s">
        <v>36</v>
      </c>
      <c r="Q297" s="3"/>
      <c r="R297" s="2"/>
    </row>
    <row r="298" spans="1:18" x14ac:dyDescent="0.3">
      <c r="A298" s="2" t="s">
        <v>588</v>
      </c>
      <c r="B298" s="2" t="s">
        <v>443</v>
      </c>
      <c r="C298" s="2" t="s">
        <v>31</v>
      </c>
      <c r="D298" s="3">
        <v>37743</v>
      </c>
      <c r="E298" s="3">
        <v>45651</v>
      </c>
      <c r="F298" s="2" t="s">
        <v>51</v>
      </c>
      <c r="G298" s="2" t="s">
        <v>93</v>
      </c>
      <c r="H298" s="2" t="s">
        <v>23</v>
      </c>
      <c r="I298" s="2" t="s">
        <v>96</v>
      </c>
      <c r="J298" s="4">
        <v>10730000</v>
      </c>
      <c r="K298" s="2">
        <v>1</v>
      </c>
      <c r="L298" s="2">
        <v>3</v>
      </c>
      <c r="M298" s="2">
        <v>13</v>
      </c>
      <c r="N298" s="2" t="s">
        <v>41</v>
      </c>
      <c r="O298" s="2" t="s">
        <v>35</v>
      </c>
      <c r="P298" s="2" t="s">
        <v>27</v>
      </c>
      <c r="Q298" s="3">
        <v>45918</v>
      </c>
      <c r="R298" s="2" t="s">
        <v>235</v>
      </c>
    </row>
    <row r="299" spans="1:18" x14ac:dyDescent="0.3">
      <c r="A299" s="2" t="s">
        <v>589</v>
      </c>
      <c r="B299" s="2" t="s">
        <v>590</v>
      </c>
      <c r="C299" s="2" t="s">
        <v>31</v>
      </c>
      <c r="D299" s="3">
        <v>37794</v>
      </c>
      <c r="E299" s="3">
        <v>45227</v>
      </c>
      <c r="F299" s="2" t="s">
        <v>51</v>
      </c>
      <c r="G299" s="2" t="s">
        <v>52</v>
      </c>
      <c r="H299" s="2" t="s">
        <v>23</v>
      </c>
      <c r="I299" s="2" t="s">
        <v>96</v>
      </c>
      <c r="J299" s="4">
        <v>10860000</v>
      </c>
      <c r="K299" s="2">
        <v>4</v>
      </c>
      <c r="L299" s="2">
        <v>3</v>
      </c>
      <c r="M299" s="2">
        <v>7</v>
      </c>
      <c r="N299" s="2" t="s">
        <v>41</v>
      </c>
      <c r="O299" s="2" t="s">
        <v>35</v>
      </c>
      <c r="P299" s="2" t="s">
        <v>36</v>
      </c>
      <c r="Q299" s="3"/>
      <c r="R299" s="2"/>
    </row>
    <row r="300" spans="1:18" x14ac:dyDescent="0.3">
      <c r="A300" s="2" t="s">
        <v>591</v>
      </c>
      <c r="B300" s="2" t="s">
        <v>592</v>
      </c>
      <c r="C300" s="2" t="s">
        <v>31</v>
      </c>
      <c r="D300" s="3">
        <v>36962</v>
      </c>
      <c r="E300" s="3">
        <v>46166</v>
      </c>
      <c r="F300" s="2" t="s">
        <v>114</v>
      </c>
      <c r="G300" s="2" t="s">
        <v>196</v>
      </c>
      <c r="H300" s="2" t="s">
        <v>33</v>
      </c>
      <c r="I300" s="2" t="s">
        <v>44</v>
      </c>
      <c r="J300" s="4">
        <v>3370000</v>
      </c>
      <c r="K300" s="2">
        <v>4</v>
      </c>
      <c r="L300" s="2">
        <v>2</v>
      </c>
      <c r="M300" s="2">
        <v>3</v>
      </c>
      <c r="N300" s="2" t="s">
        <v>41</v>
      </c>
      <c r="O300" s="2" t="s">
        <v>35</v>
      </c>
      <c r="P300" s="2" t="s">
        <v>36</v>
      </c>
      <c r="Q300" s="3"/>
      <c r="R300" s="2"/>
    </row>
    <row r="301" spans="1:18" x14ac:dyDescent="0.3">
      <c r="A301" s="2" t="s">
        <v>593</v>
      </c>
      <c r="B301" s="2" t="s">
        <v>594</v>
      </c>
      <c r="C301" s="2" t="s">
        <v>31</v>
      </c>
      <c r="D301" s="3">
        <v>38688</v>
      </c>
      <c r="E301" s="3">
        <v>46222</v>
      </c>
      <c r="F301" s="2" t="s">
        <v>64</v>
      </c>
      <c r="G301" s="2" t="s">
        <v>73</v>
      </c>
      <c r="H301" s="2" t="s">
        <v>33</v>
      </c>
      <c r="I301" s="2" t="s">
        <v>24</v>
      </c>
      <c r="J301" s="4">
        <v>3480000</v>
      </c>
      <c r="K301" s="2">
        <v>4</v>
      </c>
      <c r="L301" s="2">
        <v>2</v>
      </c>
      <c r="M301" s="2">
        <v>16</v>
      </c>
      <c r="N301" s="2" t="s">
        <v>25</v>
      </c>
      <c r="O301" s="2" t="s">
        <v>26</v>
      </c>
      <c r="P301" s="2" t="s">
        <v>36</v>
      </c>
      <c r="Q301" s="3"/>
      <c r="R301" s="2"/>
    </row>
    <row r="302" spans="1:18" x14ac:dyDescent="0.3">
      <c r="A302" s="2" t="s">
        <v>595</v>
      </c>
      <c r="B302" s="2" t="s">
        <v>334</v>
      </c>
      <c r="C302" s="2" t="s">
        <v>31</v>
      </c>
      <c r="D302" s="3">
        <v>33489</v>
      </c>
      <c r="E302" s="3">
        <v>43902</v>
      </c>
      <c r="F302" s="2" t="s">
        <v>51</v>
      </c>
      <c r="G302" s="2" t="s">
        <v>93</v>
      </c>
      <c r="H302" s="2" t="s">
        <v>33</v>
      </c>
      <c r="I302" s="2" t="s">
        <v>34</v>
      </c>
      <c r="J302" s="4">
        <v>3640000</v>
      </c>
      <c r="K302" s="2">
        <v>4</v>
      </c>
      <c r="L302" s="2">
        <v>3</v>
      </c>
      <c r="M302" s="2">
        <v>12</v>
      </c>
      <c r="N302" s="2" t="s">
        <v>41</v>
      </c>
      <c r="O302" s="2" t="s">
        <v>53</v>
      </c>
      <c r="P302" s="2" t="s">
        <v>36</v>
      </c>
      <c r="Q302" s="3"/>
      <c r="R302" s="2"/>
    </row>
    <row r="303" spans="1:18" x14ac:dyDescent="0.3">
      <c r="A303" s="2" t="s">
        <v>596</v>
      </c>
      <c r="B303" s="2" t="s">
        <v>597</v>
      </c>
      <c r="C303" s="2" t="s">
        <v>31</v>
      </c>
      <c r="D303" s="3">
        <v>35118</v>
      </c>
      <c r="E303" s="3">
        <v>44949</v>
      </c>
      <c r="F303" s="2" t="s">
        <v>56</v>
      </c>
      <c r="G303" s="2" t="s">
        <v>142</v>
      </c>
      <c r="H303" s="2" t="s">
        <v>68</v>
      </c>
      <c r="I303" s="2" t="s">
        <v>24</v>
      </c>
      <c r="J303" s="4">
        <v>9860000</v>
      </c>
      <c r="K303" s="2">
        <v>4</v>
      </c>
      <c r="L303" s="2">
        <v>4</v>
      </c>
      <c r="M303" s="2">
        <v>20</v>
      </c>
      <c r="N303" s="2" t="s">
        <v>25</v>
      </c>
      <c r="O303" s="2" t="s">
        <v>35</v>
      </c>
      <c r="P303" s="2" t="s">
        <v>36</v>
      </c>
      <c r="Q303" s="3"/>
      <c r="R303" s="2"/>
    </row>
    <row r="304" spans="1:18" x14ac:dyDescent="0.3">
      <c r="A304" s="2" t="s">
        <v>598</v>
      </c>
      <c r="B304" s="2" t="s">
        <v>43</v>
      </c>
      <c r="C304" s="2" t="s">
        <v>31</v>
      </c>
      <c r="D304" s="3">
        <v>34590</v>
      </c>
      <c r="E304" s="3">
        <v>43898</v>
      </c>
      <c r="F304" s="2" t="s">
        <v>64</v>
      </c>
      <c r="G304" s="2" t="s">
        <v>79</v>
      </c>
      <c r="H304" s="2" t="s">
        <v>33</v>
      </c>
      <c r="I304" s="2" t="s">
        <v>104</v>
      </c>
      <c r="J304" s="4">
        <v>3910000</v>
      </c>
      <c r="K304" s="2">
        <v>3</v>
      </c>
      <c r="L304" s="2">
        <v>3</v>
      </c>
      <c r="M304" s="2">
        <v>3</v>
      </c>
      <c r="N304" s="2" t="s">
        <v>25</v>
      </c>
      <c r="O304" s="2" t="s">
        <v>53</v>
      </c>
      <c r="P304" s="2" t="s">
        <v>27</v>
      </c>
      <c r="Q304" s="3">
        <v>46075</v>
      </c>
      <c r="R304" s="2" t="s">
        <v>28</v>
      </c>
    </row>
    <row r="305" spans="1:18" x14ac:dyDescent="0.3">
      <c r="A305" s="2" t="s">
        <v>599</v>
      </c>
      <c r="B305" s="2" t="s">
        <v>600</v>
      </c>
      <c r="C305" s="2" t="s">
        <v>20</v>
      </c>
      <c r="D305" s="3">
        <v>35443</v>
      </c>
      <c r="E305" s="3">
        <v>43544</v>
      </c>
      <c r="F305" s="2" t="s">
        <v>21</v>
      </c>
      <c r="G305" s="2" t="s">
        <v>103</v>
      </c>
      <c r="H305" s="2" t="s">
        <v>33</v>
      </c>
      <c r="I305" s="2" t="s">
        <v>104</v>
      </c>
      <c r="J305" s="4">
        <v>4360000</v>
      </c>
      <c r="K305" s="2">
        <v>3</v>
      </c>
      <c r="L305" s="2">
        <v>3</v>
      </c>
      <c r="M305" s="2">
        <v>4</v>
      </c>
      <c r="N305" s="2" t="s">
        <v>25</v>
      </c>
      <c r="O305" s="2" t="s">
        <v>26</v>
      </c>
      <c r="P305" s="2" t="s">
        <v>36</v>
      </c>
      <c r="Q305" s="3"/>
      <c r="R305" s="2"/>
    </row>
    <row r="306" spans="1:18" x14ac:dyDescent="0.3">
      <c r="A306" s="2" t="s">
        <v>601</v>
      </c>
      <c r="B306" s="2" t="s">
        <v>84</v>
      </c>
      <c r="C306" s="2" t="s">
        <v>31</v>
      </c>
      <c r="D306" s="3">
        <v>33538</v>
      </c>
      <c r="E306" s="3">
        <v>44760</v>
      </c>
      <c r="F306" s="2" t="s">
        <v>602</v>
      </c>
      <c r="G306" s="2" t="s">
        <v>93</v>
      </c>
      <c r="H306" s="2" t="s">
        <v>33</v>
      </c>
      <c r="I306" s="2" t="s">
        <v>44</v>
      </c>
      <c r="J306" s="4">
        <v>2600000</v>
      </c>
      <c r="K306" s="2">
        <v>4</v>
      </c>
      <c r="L306" s="2">
        <v>4</v>
      </c>
      <c r="M306" s="2">
        <v>13</v>
      </c>
      <c r="N306" s="2" t="s">
        <v>88</v>
      </c>
      <c r="O306" s="2" t="s">
        <v>26</v>
      </c>
      <c r="P306" s="2" t="s">
        <v>36</v>
      </c>
      <c r="Q306" s="3"/>
      <c r="R306" s="2"/>
    </row>
    <row r="307" spans="1:18" x14ac:dyDescent="0.3">
      <c r="A307" s="2" t="s">
        <v>603</v>
      </c>
      <c r="B307" s="2" t="s">
        <v>345</v>
      </c>
      <c r="C307" s="2" t="s">
        <v>31</v>
      </c>
      <c r="D307" s="3">
        <v>34996</v>
      </c>
      <c r="E307" s="3">
        <v>44470</v>
      </c>
      <c r="F307" s="2" t="s">
        <v>47</v>
      </c>
      <c r="G307" s="2" t="s">
        <v>90</v>
      </c>
      <c r="H307" s="2" t="s">
        <v>68</v>
      </c>
      <c r="I307" s="2" t="s">
        <v>24</v>
      </c>
      <c r="J307" s="4">
        <v>8390000</v>
      </c>
      <c r="K307" s="2">
        <v>3</v>
      </c>
      <c r="L307" s="2">
        <v>5</v>
      </c>
      <c r="M307" s="2">
        <v>14</v>
      </c>
      <c r="N307" s="2" t="s">
        <v>41</v>
      </c>
      <c r="O307" s="2" t="s">
        <v>35</v>
      </c>
      <c r="P307" s="2" t="s">
        <v>27</v>
      </c>
      <c r="Q307" s="3">
        <v>45751</v>
      </c>
      <c r="R307" s="2" t="s">
        <v>61</v>
      </c>
    </row>
    <row r="308" spans="1:18" x14ac:dyDescent="0.3">
      <c r="A308" s="2" t="s">
        <v>604</v>
      </c>
      <c r="B308" s="2" t="s">
        <v>159</v>
      </c>
      <c r="C308" s="2" t="s">
        <v>31</v>
      </c>
      <c r="D308" s="3">
        <v>30734</v>
      </c>
      <c r="E308" s="3">
        <v>44288</v>
      </c>
      <c r="F308" s="2" t="s">
        <v>64</v>
      </c>
      <c r="G308" s="2" t="s">
        <v>73</v>
      </c>
      <c r="H308" s="2" t="s">
        <v>33</v>
      </c>
      <c r="I308" s="2" t="s">
        <v>206</v>
      </c>
      <c r="J308" s="4">
        <v>4750000</v>
      </c>
      <c r="K308" s="2">
        <v>5</v>
      </c>
      <c r="L308" s="2">
        <v>3</v>
      </c>
      <c r="M308" s="2">
        <v>32</v>
      </c>
      <c r="N308" s="2" t="s">
        <v>88</v>
      </c>
      <c r="O308" s="2" t="s">
        <v>26</v>
      </c>
      <c r="P308" s="2" t="s">
        <v>36</v>
      </c>
      <c r="Q308" s="3"/>
      <c r="R308" s="2"/>
    </row>
    <row r="309" spans="1:18" x14ac:dyDescent="0.3">
      <c r="A309" s="2" t="s">
        <v>605</v>
      </c>
      <c r="B309" s="2" t="s">
        <v>606</v>
      </c>
      <c r="C309" s="2" t="s">
        <v>31</v>
      </c>
      <c r="D309" s="3">
        <v>32944</v>
      </c>
      <c r="E309" s="3">
        <v>43734</v>
      </c>
      <c r="F309" s="2" t="s">
        <v>21</v>
      </c>
      <c r="G309" s="2" t="s">
        <v>32</v>
      </c>
      <c r="H309" s="2" t="s">
        <v>68</v>
      </c>
      <c r="I309" s="2" t="s">
        <v>24</v>
      </c>
      <c r="J309" s="4">
        <v>9060000</v>
      </c>
      <c r="K309" s="2">
        <v>3</v>
      </c>
      <c r="L309" s="2">
        <v>3</v>
      </c>
      <c r="M309" s="2">
        <v>27</v>
      </c>
      <c r="N309" s="2" t="s">
        <v>41</v>
      </c>
      <c r="O309" s="2" t="s">
        <v>26</v>
      </c>
      <c r="P309" s="2" t="s">
        <v>36</v>
      </c>
      <c r="Q309" s="3"/>
      <c r="R309" s="2"/>
    </row>
    <row r="310" spans="1:18" x14ac:dyDescent="0.3">
      <c r="A310" s="2" t="s">
        <v>607</v>
      </c>
      <c r="B310" s="2" t="s">
        <v>188</v>
      </c>
      <c r="C310" s="2" t="s">
        <v>20</v>
      </c>
      <c r="D310" s="3">
        <v>36328</v>
      </c>
      <c r="E310" s="3">
        <v>45390</v>
      </c>
      <c r="F310" s="2" t="s">
        <v>21</v>
      </c>
      <c r="G310" s="2" t="s">
        <v>32</v>
      </c>
      <c r="H310" s="2" t="s">
        <v>23</v>
      </c>
      <c r="I310" s="2" t="s">
        <v>24</v>
      </c>
      <c r="J310" s="4">
        <v>17150000</v>
      </c>
      <c r="K310" s="2">
        <v>3</v>
      </c>
      <c r="L310" s="2">
        <v>3</v>
      </c>
      <c r="M310" s="2">
        <v>4</v>
      </c>
      <c r="N310" s="2" t="s">
        <v>25</v>
      </c>
      <c r="O310" s="2" t="s">
        <v>26</v>
      </c>
      <c r="P310" s="2" t="s">
        <v>36</v>
      </c>
      <c r="Q310" s="3"/>
      <c r="R310" s="2"/>
    </row>
    <row r="311" spans="1:18" x14ac:dyDescent="0.3">
      <c r="A311" s="2" t="s">
        <v>608</v>
      </c>
      <c r="B311" s="2" t="s">
        <v>609</v>
      </c>
      <c r="C311" s="2" t="s">
        <v>31</v>
      </c>
      <c r="D311" s="3">
        <v>35584</v>
      </c>
      <c r="E311" s="3">
        <v>45898</v>
      </c>
      <c r="F311" s="2" t="s">
        <v>114</v>
      </c>
      <c r="G311" s="2" t="s">
        <v>196</v>
      </c>
      <c r="H311" s="2" t="s">
        <v>68</v>
      </c>
      <c r="I311" s="2" t="s">
        <v>24</v>
      </c>
      <c r="J311" s="4">
        <v>8050000</v>
      </c>
      <c r="K311" s="2">
        <v>3</v>
      </c>
      <c r="L311" s="2">
        <v>4</v>
      </c>
      <c r="M311" s="2">
        <v>22</v>
      </c>
      <c r="N311" s="2" t="s">
        <v>25</v>
      </c>
      <c r="O311" s="2" t="s">
        <v>35</v>
      </c>
      <c r="P311" s="2" t="s">
        <v>36</v>
      </c>
      <c r="Q311" s="3"/>
      <c r="R311" s="2"/>
    </row>
    <row r="312" spans="1:18" x14ac:dyDescent="0.3">
      <c r="A312" s="2" t="s">
        <v>610</v>
      </c>
      <c r="B312" s="2" t="s">
        <v>330</v>
      </c>
      <c r="C312" s="2" t="s">
        <v>20</v>
      </c>
      <c r="D312" s="3">
        <v>37588</v>
      </c>
      <c r="E312" s="3">
        <v>45765</v>
      </c>
      <c r="F312" s="2" t="s">
        <v>51</v>
      </c>
      <c r="G312" s="2" t="s">
        <v>93</v>
      </c>
      <c r="H312" s="2" t="s">
        <v>33</v>
      </c>
      <c r="I312" s="2" t="s">
        <v>24</v>
      </c>
      <c r="J312" s="4">
        <v>3550000</v>
      </c>
      <c r="K312" s="2">
        <v>4</v>
      </c>
      <c r="L312" s="2">
        <v>2</v>
      </c>
      <c r="M312" s="2">
        <v>18</v>
      </c>
      <c r="N312" s="2" t="s">
        <v>41</v>
      </c>
      <c r="O312" s="2" t="s">
        <v>26</v>
      </c>
      <c r="P312" s="2" t="s">
        <v>27</v>
      </c>
      <c r="Q312" s="3">
        <v>46074</v>
      </c>
      <c r="R312" s="2" t="s">
        <v>28</v>
      </c>
    </row>
    <row r="313" spans="1:18" x14ac:dyDescent="0.3">
      <c r="A313" s="2" t="s">
        <v>611</v>
      </c>
      <c r="B313" s="2" t="s">
        <v>161</v>
      </c>
      <c r="C313" s="2" t="s">
        <v>20</v>
      </c>
      <c r="D313" s="3">
        <v>34414</v>
      </c>
      <c r="E313" s="3">
        <v>42797</v>
      </c>
      <c r="F313" s="2" t="s">
        <v>64</v>
      </c>
      <c r="G313" s="2" t="s">
        <v>73</v>
      </c>
      <c r="H313" s="2" t="s">
        <v>33</v>
      </c>
      <c r="I313" s="2" t="s">
        <v>24</v>
      </c>
      <c r="J313" s="4">
        <v>4350000</v>
      </c>
      <c r="K313" s="2">
        <v>3</v>
      </c>
      <c r="L313" s="2">
        <v>1</v>
      </c>
      <c r="M313" s="2">
        <v>19</v>
      </c>
      <c r="N313" s="2" t="s">
        <v>88</v>
      </c>
      <c r="O313" s="2" t="s">
        <v>26</v>
      </c>
      <c r="P313" s="2" t="s">
        <v>36</v>
      </c>
      <c r="Q313" s="3"/>
      <c r="R313" s="2"/>
    </row>
    <row r="314" spans="1:18" x14ac:dyDescent="0.3">
      <c r="A314" s="2" t="s">
        <v>612</v>
      </c>
      <c r="B314" s="2" t="s">
        <v>613</v>
      </c>
      <c r="C314" s="2" t="s">
        <v>20</v>
      </c>
      <c r="D314" s="3">
        <v>32764</v>
      </c>
      <c r="E314" s="3">
        <v>44433</v>
      </c>
      <c r="F314" s="2" t="s">
        <v>51</v>
      </c>
      <c r="G314" s="2" t="s">
        <v>52</v>
      </c>
      <c r="H314" s="2" t="s">
        <v>23</v>
      </c>
      <c r="I314" s="2" t="s">
        <v>104</v>
      </c>
      <c r="J314" s="4">
        <v>8890000</v>
      </c>
      <c r="K314" s="2"/>
      <c r="L314" s="2">
        <v>4</v>
      </c>
      <c r="M314" s="2">
        <v>18</v>
      </c>
      <c r="N314" s="2" t="s">
        <v>25</v>
      </c>
      <c r="O314" s="2" t="s">
        <v>26</v>
      </c>
      <c r="P314" s="2" t="s">
        <v>36</v>
      </c>
      <c r="Q314" s="3"/>
      <c r="R314" s="2"/>
    </row>
    <row r="315" spans="1:18" x14ac:dyDescent="0.3">
      <c r="A315" s="2" t="s">
        <v>614</v>
      </c>
      <c r="B315" s="2" t="s">
        <v>615</v>
      </c>
      <c r="C315" s="2" t="s">
        <v>31</v>
      </c>
      <c r="D315" s="3">
        <v>37356</v>
      </c>
      <c r="E315" s="3">
        <v>46175</v>
      </c>
      <c r="F315" s="2" t="s">
        <v>64</v>
      </c>
      <c r="G315" s="2" t="s">
        <v>79</v>
      </c>
      <c r="H315" s="2" t="s">
        <v>23</v>
      </c>
      <c r="I315" s="2" t="s">
        <v>34</v>
      </c>
      <c r="J315" s="4">
        <v>11400000</v>
      </c>
      <c r="K315" s="2">
        <v>4</v>
      </c>
      <c r="L315" s="2">
        <v>4</v>
      </c>
      <c r="M315" s="2">
        <v>10</v>
      </c>
      <c r="N315" s="2" t="s">
        <v>41</v>
      </c>
      <c r="O315" s="2" t="s">
        <v>53</v>
      </c>
      <c r="P315" s="2" t="s">
        <v>36</v>
      </c>
      <c r="Q315" s="3"/>
      <c r="R315" s="2"/>
    </row>
    <row r="316" spans="1:18" x14ac:dyDescent="0.3">
      <c r="A316" s="2" t="s">
        <v>616</v>
      </c>
      <c r="B316" s="2" t="s">
        <v>617</v>
      </c>
      <c r="C316" s="2" t="s">
        <v>31</v>
      </c>
      <c r="D316" s="3">
        <v>34162</v>
      </c>
      <c r="E316" s="3">
        <v>46230</v>
      </c>
      <c r="F316" s="2" t="s">
        <v>64</v>
      </c>
      <c r="G316" s="2" t="s">
        <v>73</v>
      </c>
      <c r="H316" s="2" t="s">
        <v>33</v>
      </c>
      <c r="I316" s="2" t="s">
        <v>44</v>
      </c>
      <c r="J316" s="4">
        <v>3480000</v>
      </c>
      <c r="K316" s="2">
        <v>4</v>
      </c>
      <c r="L316" s="2">
        <v>2</v>
      </c>
      <c r="M316" s="2">
        <v>31</v>
      </c>
      <c r="N316" s="2" t="s">
        <v>41</v>
      </c>
      <c r="O316" s="2" t="s">
        <v>26</v>
      </c>
      <c r="P316" s="2" t="s">
        <v>27</v>
      </c>
      <c r="Q316" s="3">
        <v>46294</v>
      </c>
      <c r="R316" s="2" t="s">
        <v>111</v>
      </c>
    </row>
    <row r="317" spans="1:18" x14ac:dyDescent="0.3">
      <c r="A317" s="2" t="s">
        <v>618</v>
      </c>
      <c r="B317" s="2" t="s">
        <v>619</v>
      </c>
      <c r="C317" s="2" t="s">
        <v>20</v>
      </c>
      <c r="D317" s="3">
        <v>31887</v>
      </c>
      <c r="E317" s="3">
        <v>44975</v>
      </c>
      <c r="F317" s="2" t="s">
        <v>114</v>
      </c>
      <c r="G317" s="2" t="s">
        <v>196</v>
      </c>
      <c r="H317" s="2" t="s">
        <v>23</v>
      </c>
      <c r="I317" s="2" t="s">
        <v>96</v>
      </c>
      <c r="J317" s="4">
        <v>11090000</v>
      </c>
      <c r="K317" s="2">
        <v>4</v>
      </c>
      <c r="L317" s="2">
        <v>2</v>
      </c>
      <c r="M317" s="2">
        <v>19</v>
      </c>
      <c r="N317" s="2" t="s">
        <v>25</v>
      </c>
      <c r="O317" s="2" t="s">
        <v>53</v>
      </c>
      <c r="P317" s="2" t="s">
        <v>36</v>
      </c>
      <c r="Q317" s="3"/>
      <c r="R317" s="2"/>
    </row>
    <row r="318" spans="1:18" x14ac:dyDescent="0.3">
      <c r="A318" s="2" t="s">
        <v>620</v>
      </c>
      <c r="B318" s="2" t="s">
        <v>67</v>
      </c>
      <c r="C318" s="2" t="s">
        <v>20</v>
      </c>
      <c r="D318" s="3">
        <v>34003</v>
      </c>
      <c r="E318" s="3">
        <v>44841</v>
      </c>
      <c r="F318" s="2" t="s">
        <v>64</v>
      </c>
      <c r="G318" s="2" t="s">
        <v>73</v>
      </c>
      <c r="H318" s="2" t="s">
        <v>68</v>
      </c>
      <c r="I318" s="2" t="s">
        <v>24</v>
      </c>
      <c r="J318" s="4">
        <v>6510000</v>
      </c>
      <c r="K318" s="2">
        <v>4</v>
      </c>
      <c r="L318" s="2">
        <v>3</v>
      </c>
      <c r="M318" s="2">
        <v>14</v>
      </c>
      <c r="N318" s="2" t="s">
        <v>41</v>
      </c>
      <c r="O318" s="2" t="s">
        <v>26</v>
      </c>
      <c r="P318" s="2" t="s">
        <v>36</v>
      </c>
      <c r="Q318" s="3"/>
      <c r="R318" s="2"/>
    </row>
    <row r="319" spans="1:18" x14ac:dyDescent="0.3">
      <c r="A319" s="2" t="s">
        <v>621</v>
      </c>
      <c r="B319" s="2" t="s">
        <v>622</v>
      </c>
      <c r="C319" s="2" t="s">
        <v>31</v>
      </c>
      <c r="D319" s="3">
        <v>38280</v>
      </c>
      <c r="E319" s="3">
        <v>45735</v>
      </c>
      <c r="F319" s="2" t="s">
        <v>56</v>
      </c>
      <c r="G319" s="2" t="s">
        <v>60</v>
      </c>
      <c r="H319" s="2" t="s">
        <v>33</v>
      </c>
      <c r="I319" s="2" t="s">
        <v>24</v>
      </c>
      <c r="J319" s="4">
        <v>5400000</v>
      </c>
      <c r="K319" s="2">
        <v>3</v>
      </c>
      <c r="L319" s="2">
        <v>2</v>
      </c>
      <c r="M319" s="2">
        <v>24</v>
      </c>
      <c r="N319" s="2" t="s">
        <v>25</v>
      </c>
      <c r="O319" s="2" t="s">
        <v>26</v>
      </c>
      <c r="P319" s="2" t="s">
        <v>36</v>
      </c>
      <c r="Q319" s="3"/>
      <c r="R319" s="2"/>
    </row>
    <row r="320" spans="1:18" x14ac:dyDescent="0.3">
      <c r="A320" s="2" t="s">
        <v>623</v>
      </c>
      <c r="B320" s="2" t="s">
        <v>536</v>
      </c>
      <c r="C320" s="2" t="s">
        <v>31</v>
      </c>
      <c r="D320" s="3">
        <v>38876</v>
      </c>
      <c r="E320" s="3">
        <v>46209</v>
      </c>
      <c r="F320" s="2" t="s">
        <v>21</v>
      </c>
      <c r="G320" s="2" t="s">
        <v>22</v>
      </c>
      <c r="H320" s="2" t="s">
        <v>23</v>
      </c>
      <c r="I320" s="2" t="s">
        <v>24</v>
      </c>
      <c r="J320" s="4">
        <v>18460000</v>
      </c>
      <c r="K320" s="2">
        <v>3</v>
      </c>
      <c r="L320" s="2">
        <v>3</v>
      </c>
      <c r="M320" s="2">
        <v>24</v>
      </c>
      <c r="N320" s="2" t="s">
        <v>41</v>
      </c>
      <c r="O320" s="2" t="s">
        <v>53</v>
      </c>
      <c r="P320" s="2" t="s">
        <v>36</v>
      </c>
      <c r="Q320" s="3"/>
      <c r="R320" s="2"/>
    </row>
    <row r="321" spans="1:18" x14ac:dyDescent="0.3">
      <c r="A321" s="2" t="s">
        <v>624</v>
      </c>
      <c r="B321" s="2" t="s">
        <v>625</v>
      </c>
      <c r="C321" s="2" t="s">
        <v>31</v>
      </c>
      <c r="D321" s="3">
        <v>33190</v>
      </c>
      <c r="E321" s="3">
        <v>45733</v>
      </c>
      <c r="F321" s="2" t="s">
        <v>114</v>
      </c>
      <c r="G321" s="2" t="s">
        <v>150</v>
      </c>
      <c r="H321" s="2" t="s">
        <v>68</v>
      </c>
      <c r="I321" s="2" t="s">
        <v>24</v>
      </c>
      <c r="J321" s="4"/>
      <c r="K321" s="2">
        <v>2</v>
      </c>
      <c r="L321" s="2">
        <v>2</v>
      </c>
      <c r="M321" s="2">
        <v>38</v>
      </c>
      <c r="N321" s="2" t="s">
        <v>41</v>
      </c>
      <c r="O321" s="2" t="s">
        <v>26</v>
      </c>
      <c r="P321" s="2" t="s">
        <v>36</v>
      </c>
      <c r="Q321" s="3"/>
      <c r="R321" s="2"/>
    </row>
    <row r="322" spans="1:18" x14ac:dyDescent="0.3">
      <c r="A322" s="2" t="s">
        <v>626</v>
      </c>
      <c r="B322" s="2" t="s">
        <v>627</v>
      </c>
      <c r="C322" s="2" t="s">
        <v>31</v>
      </c>
      <c r="D322" s="3">
        <v>35666</v>
      </c>
      <c r="E322" s="3">
        <v>44571</v>
      </c>
      <c r="F322" s="2" t="s">
        <v>114</v>
      </c>
      <c r="G322" s="2" t="s">
        <v>115</v>
      </c>
      <c r="H322" s="2" t="s">
        <v>33</v>
      </c>
      <c r="I322" s="2" t="s">
        <v>82</v>
      </c>
      <c r="J322" s="4">
        <v>3060000</v>
      </c>
      <c r="K322" s="2">
        <v>5</v>
      </c>
      <c r="L322" s="2">
        <v>4</v>
      </c>
      <c r="M322" s="2">
        <v>19</v>
      </c>
      <c r="N322" s="2" t="s">
        <v>25</v>
      </c>
      <c r="O322" s="2"/>
      <c r="P322" s="2" t="s">
        <v>36</v>
      </c>
      <c r="Q322" s="3"/>
      <c r="R322" s="2"/>
    </row>
    <row r="323" spans="1:18" x14ac:dyDescent="0.3">
      <c r="A323" s="2" t="s">
        <v>628</v>
      </c>
      <c r="B323" s="2" t="s">
        <v>629</v>
      </c>
      <c r="C323" s="2" t="s">
        <v>31</v>
      </c>
      <c r="D323" s="3">
        <v>38738</v>
      </c>
      <c r="E323" s="3">
        <v>46067</v>
      </c>
      <c r="F323" s="2" t="s">
        <v>51</v>
      </c>
      <c r="G323" s="2" t="s">
        <v>93</v>
      </c>
      <c r="H323" s="2" t="s">
        <v>68</v>
      </c>
      <c r="I323" s="2" t="s">
        <v>34</v>
      </c>
      <c r="J323" s="4">
        <v>7010000</v>
      </c>
      <c r="K323" s="2">
        <v>5</v>
      </c>
      <c r="L323" s="2">
        <v>4</v>
      </c>
      <c r="M323" s="2">
        <v>24</v>
      </c>
      <c r="N323" s="2" t="s">
        <v>25</v>
      </c>
      <c r="O323" s="2" t="s">
        <v>35</v>
      </c>
      <c r="P323" s="2" t="s">
        <v>27</v>
      </c>
      <c r="Q323" s="3">
        <v>46260</v>
      </c>
      <c r="R323" s="2" t="s">
        <v>28</v>
      </c>
    </row>
    <row r="324" spans="1:18" x14ac:dyDescent="0.3">
      <c r="A324" s="2" t="s">
        <v>630</v>
      </c>
      <c r="B324" s="2" t="s">
        <v>631</v>
      </c>
      <c r="C324" s="2" t="s">
        <v>31</v>
      </c>
      <c r="D324" s="3">
        <v>34141</v>
      </c>
      <c r="E324" s="3">
        <v>44361</v>
      </c>
      <c r="F324" s="2" t="s">
        <v>47</v>
      </c>
      <c r="G324" s="2" t="s">
        <v>90</v>
      </c>
      <c r="H324" s="2" t="s">
        <v>33</v>
      </c>
      <c r="I324" s="2" t="s">
        <v>104</v>
      </c>
      <c r="J324" s="4">
        <v>5060000</v>
      </c>
      <c r="K324" s="2">
        <v>1</v>
      </c>
      <c r="L324" s="2">
        <v>4</v>
      </c>
      <c r="M324" s="2">
        <v>18</v>
      </c>
      <c r="N324" s="2" t="s">
        <v>41</v>
      </c>
      <c r="O324" s="2" t="s">
        <v>26</v>
      </c>
      <c r="P324" s="2" t="s">
        <v>36</v>
      </c>
      <c r="Q324" s="3"/>
      <c r="R324" s="2"/>
    </row>
    <row r="325" spans="1:18" x14ac:dyDescent="0.3">
      <c r="A325" s="2" t="s">
        <v>632</v>
      </c>
      <c r="B325" s="2" t="s">
        <v>38</v>
      </c>
      <c r="C325" s="2" t="s">
        <v>31</v>
      </c>
      <c r="D325" s="3">
        <v>38961</v>
      </c>
      <c r="E325" s="3">
        <v>46261</v>
      </c>
      <c r="F325" s="2" t="s">
        <v>51</v>
      </c>
      <c r="G325" s="2" t="s">
        <v>52</v>
      </c>
      <c r="H325" s="2" t="s">
        <v>33</v>
      </c>
      <c r="I325" s="2" t="s">
        <v>24</v>
      </c>
      <c r="J325" s="4">
        <v>3880000</v>
      </c>
      <c r="K325" s="2">
        <v>4</v>
      </c>
      <c r="L325" s="2">
        <v>4</v>
      </c>
      <c r="M325" s="2">
        <v>2</v>
      </c>
      <c r="N325" s="2" t="s">
        <v>41</v>
      </c>
      <c r="O325" s="2" t="s">
        <v>26</v>
      </c>
      <c r="P325" s="2" t="s">
        <v>36</v>
      </c>
      <c r="Q325" s="3"/>
      <c r="R325" s="2"/>
    </row>
    <row r="326" spans="1:18" x14ac:dyDescent="0.3">
      <c r="A326" s="2" t="s">
        <v>633</v>
      </c>
      <c r="B326" s="2" t="s">
        <v>634</v>
      </c>
      <c r="C326" s="2" t="s">
        <v>31</v>
      </c>
      <c r="D326" s="3">
        <v>35316</v>
      </c>
      <c r="E326" s="3">
        <v>44103</v>
      </c>
      <c r="F326" s="2" t="s">
        <v>64</v>
      </c>
      <c r="G326" s="2" t="s">
        <v>65</v>
      </c>
      <c r="H326" s="2" t="s">
        <v>33</v>
      </c>
      <c r="I326" s="2" t="s">
        <v>104</v>
      </c>
      <c r="J326" s="4">
        <v>3430000</v>
      </c>
      <c r="K326" s="2">
        <v>5</v>
      </c>
      <c r="L326" s="2">
        <v>3</v>
      </c>
      <c r="M326" s="2">
        <v>44</v>
      </c>
      <c r="N326" s="2" t="s">
        <v>41</v>
      </c>
      <c r="O326" s="2" t="s">
        <v>26</v>
      </c>
      <c r="P326" s="2" t="s">
        <v>36</v>
      </c>
      <c r="Q326" s="3"/>
      <c r="R326" s="2"/>
    </row>
    <row r="327" spans="1:18" x14ac:dyDescent="0.3">
      <c r="A327" s="2" t="s">
        <v>635</v>
      </c>
      <c r="B327" s="2" t="s">
        <v>636</v>
      </c>
      <c r="C327" s="2" t="s">
        <v>20</v>
      </c>
      <c r="D327" s="3">
        <v>32825</v>
      </c>
      <c r="E327" s="3">
        <v>43550</v>
      </c>
      <c r="F327" s="2" t="s">
        <v>64</v>
      </c>
      <c r="G327" s="2" t="s">
        <v>73</v>
      </c>
      <c r="H327" s="2" t="s">
        <v>68</v>
      </c>
      <c r="I327" s="2" t="s">
        <v>44</v>
      </c>
      <c r="J327" s="4">
        <v>8900000</v>
      </c>
      <c r="K327" s="2">
        <v>3</v>
      </c>
      <c r="L327" s="2">
        <v>5</v>
      </c>
      <c r="M327" s="2">
        <v>31</v>
      </c>
      <c r="N327" s="2" t="s">
        <v>25</v>
      </c>
      <c r="O327" s="2" t="s">
        <v>35</v>
      </c>
      <c r="P327" s="2" t="s">
        <v>36</v>
      </c>
      <c r="Q327" s="3"/>
      <c r="R327" s="2"/>
    </row>
    <row r="328" spans="1:18" x14ac:dyDescent="0.3">
      <c r="A328" s="2" t="s">
        <v>637</v>
      </c>
      <c r="B328" s="2" t="s">
        <v>515</v>
      </c>
      <c r="C328" s="2" t="s">
        <v>20</v>
      </c>
      <c r="D328" s="3">
        <v>32800</v>
      </c>
      <c r="E328" s="3">
        <v>42104</v>
      </c>
      <c r="F328" s="2" t="s">
        <v>51</v>
      </c>
      <c r="G328" s="2" t="s">
        <v>52</v>
      </c>
      <c r="H328" s="2" t="s">
        <v>68</v>
      </c>
      <c r="I328" s="2" t="s">
        <v>96</v>
      </c>
      <c r="J328" s="4">
        <v>6640000</v>
      </c>
      <c r="K328" s="2">
        <v>3</v>
      </c>
      <c r="L328" s="2">
        <v>4</v>
      </c>
      <c r="M328" s="2">
        <v>25</v>
      </c>
      <c r="N328" s="2" t="s">
        <v>25</v>
      </c>
      <c r="O328" s="2" t="s">
        <v>26</v>
      </c>
      <c r="P328" s="2" t="s">
        <v>36</v>
      </c>
      <c r="Q328" s="3"/>
      <c r="R328" s="2"/>
    </row>
    <row r="329" spans="1:18" x14ac:dyDescent="0.3">
      <c r="A329" s="2" t="s">
        <v>638</v>
      </c>
      <c r="B329" s="2" t="s">
        <v>254</v>
      </c>
      <c r="C329" s="2" t="s">
        <v>31</v>
      </c>
      <c r="D329" s="3">
        <v>31365</v>
      </c>
      <c r="E329" s="3">
        <v>45483</v>
      </c>
      <c r="F329" s="2" t="s">
        <v>51</v>
      </c>
      <c r="G329" s="2" t="s">
        <v>52</v>
      </c>
      <c r="H329" s="2" t="s">
        <v>23</v>
      </c>
      <c r="I329" s="2" t="s">
        <v>24</v>
      </c>
      <c r="J329" s="4">
        <v>10100000</v>
      </c>
      <c r="K329" s="2">
        <v>4</v>
      </c>
      <c r="L329" s="2">
        <v>2</v>
      </c>
      <c r="M329" s="2">
        <v>2</v>
      </c>
      <c r="N329" s="2" t="s">
        <v>41</v>
      </c>
      <c r="O329" s="2" t="s">
        <v>26</v>
      </c>
      <c r="P329" s="2" t="s">
        <v>27</v>
      </c>
      <c r="Q329" s="3">
        <v>45884</v>
      </c>
      <c r="R329" s="2" t="s">
        <v>61</v>
      </c>
    </row>
    <row r="330" spans="1:18" x14ac:dyDescent="0.3">
      <c r="A330" s="2" t="s">
        <v>639</v>
      </c>
      <c r="B330" s="2" t="s">
        <v>640</v>
      </c>
      <c r="C330" s="2" t="s">
        <v>31</v>
      </c>
      <c r="D330" s="3">
        <v>36026</v>
      </c>
      <c r="E330" s="3">
        <v>45232</v>
      </c>
      <c r="F330" s="2" t="s">
        <v>641</v>
      </c>
      <c r="G330" s="2" t="s">
        <v>60</v>
      </c>
      <c r="H330" s="2" t="s">
        <v>68</v>
      </c>
      <c r="I330" s="2" t="s">
        <v>104</v>
      </c>
      <c r="J330" s="4">
        <v>6430000</v>
      </c>
      <c r="K330" s="2">
        <v>5</v>
      </c>
      <c r="L330" s="2">
        <v>5</v>
      </c>
      <c r="M330" s="2">
        <v>8</v>
      </c>
      <c r="N330" s="2" t="s">
        <v>41</v>
      </c>
      <c r="O330" s="2" t="s">
        <v>35</v>
      </c>
      <c r="P330" s="2" t="s">
        <v>36</v>
      </c>
      <c r="Q330" s="3"/>
      <c r="R330" s="2"/>
    </row>
    <row r="331" spans="1:18" x14ac:dyDescent="0.3">
      <c r="A331" s="2" t="s">
        <v>642</v>
      </c>
      <c r="B331" s="2" t="s">
        <v>106</v>
      </c>
      <c r="C331" s="2" t="s">
        <v>20</v>
      </c>
      <c r="D331" s="3">
        <v>33958</v>
      </c>
      <c r="E331" s="3">
        <v>44261</v>
      </c>
      <c r="F331" s="2" t="s">
        <v>64</v>
      </c>
      <c r="G331" s="2" t="s">
        <v>79</v>
      </c>
      <c r="H331" s="2" t="s">
        <v>33</v>
      </c>
      <c r="I331" s="2" t="s">
        <v>44</v>
      </c>
      <c r="J331" s="4">
        <v>3210000</v>
      </c>
      <c r="K331" s="2">
        <v>4</v>
      </c>
      <c r="L331" s="2">
        <v>5</v>
      </c>
      <c r="M331" s="2">
        <v>5</v>
      </c>
      <c r="N331" s="2" t="s">
        <v>25</v>
      </c>
      <c r="O331" s="2" t="s">
        <v>35</v>
      </c>
      <c r="P331" s="2" t="s">
        <v>27</v>
      </c>
      <c r="Q331" s="3">
        <v>46221</v>
      </c>
      <c r="R331" s="2" t="s">
        <v>145</v>
      </c>
    </row>
    <row r="332" spans="1:18" x14ac:dyDescent="0.3">
      <c r="A332" s="2" t="s">
        <v>643</v>
      </c>
      <c r="B332" s="2" t="s">
        <v>556</v>
      </c>
      <c r="C332" s="2" t="s">
        <v>31</v>
      </c>
      <c r="D332" s="3">
        <v>33643</v>
      </c>
      <c r="E332" s="3">
        <v>46051</v>
      </c>
      <c r="F332" s="2" t="s">
        <v>56</v>
      </c>
      <c r="G332" s="2" t="s">
        <v>60</v>
      </c>
      <c r="H332" s="2" t="s">
        <v>33</v>
      </c>
      <c r="I332" s="2" t="s">
        <v>44</v>
      </c>
      <c r="J332" s="4">
        <v>3790000</v>
      </c>
      <c r="K332" s="2">
        <v>3</v>
      </c>
      <c r="L332" s="2">
        <v>5</v>
      </c>
      <c r="M332" s="2">
        <v>19</v>
      </c>
      <c r="N332" s="2" t="s">
        <v>41</v>
      </c>
      <c r="O332" s="2"/>
      <c r="P332" s="2" t="s">
        <v>36</v>
      </c>
      <c r="Q332" s="3"/>
      <c r="R332" s="2"/>
    </row>
    <row r="333" spans="1:18" x14ac:dyDescent="0.3">
      <c r="A333" s="2" t="s">
        <v>643</v>
      </c>
      <c r="B333" s="2" t="s">
        <v>556</v>
      </c>
      <c r="C333" s="2" t="s">
        <v>31</v>
      </c>
      <c r="D333" s="3">
        <v>33643</v>
      </c>
      <c r="E333" s="3">
        <v>46051</v>
      </c>
      <c r="F333" s="2" t="s">
        <v>56</v>
      </c>
      <c r="G333" s="2" t="s">
        <v>60</v>
      </c>
      <c r="H333" s="2" t="s">
        <v>33</v>
      </c>
      <c r="I333" s="2" t="s">
        <v>44</v>
      </c>
      <c r="J333" s="4">
        <v>3790000</v>
      </c>
      <c r="K333" s="2">
        <v>3</v>
      </c>
      <c r="L333" s="2">
        <v>5</v>
      </c>
      <c r="M333" s="2">
        <v>19</v>
      </c>
      <c r="N333" s="2" t="s">
        <v>41</v>
      </c>
      <c r="O333" s="2"/>
      <c r="P333" s="2" t="s">
        <v>36</v>
      </c>
      <c r="Q333" s="3"/>
      <c r="R333" s="2"/>
    </row>
    <row r="334" spans="1:18" x14ac:dyDescent="0.3">
      <c r="A334" s="2" t="s">
        <v>644</v>
      </c>
      <c r="B334" s="2" t="s">
        <v>645</v>
      </c>
      <c r="C334" s="2" t="s">
        <v>31</v>
      </c>
      <c r="D334" s="3">
        <v>34796</v>
      </c>
      <c r="E334" s="3">
        <v>44544</v>
      </c>
      <c r="F334" s="2" t="s">
        <v>21</v>
      </c>
      <c r="G334" s="2" t="s">
        <v>103</v>
      </c>
      <c r="H334" s="2" t="s">
        <v>68</v>
      </c>
      <c r="I334" s="2" t="s">
        <v>34</v>
      </c>
      <c r="J334" s="4">
        <v>12260000</v>
      </c>
      <c r="K334" s="2">
        <v>3</v>
      </c>
      <c r="L334" s="2">
        <v>3</v>
      </c>
      <c r="M334" s="2">
        <v>12</v>
      </c>
      <c r="N334" s="2" t="s">
        <v>41</v>
      </c>
      <c r="O334" s="2" t="s">
        <v>26</v>
      </c>
      <c r="P334" s="2" t="s">
        <v>36</v>
      </c>
      <c r="Q334" s="3"/>
      <c r="R334" s="2"/>
    </row>
    <row r="335" spans="1:18" x14ac:dyDescent="0.3">
      <c r="A335" s="2" t="s">
        <v>646</v>
      </c>
      <c r="B335" s="2" t="s">
        <v>647</v>
      </c>
      <c r="C335" s="2" t="s">
        <v>20</v>
      </c>
      <c r="D335" s="3">
        <v>38478</v>
      </c>
      <c r="E335" s="3">
        <v>45857</v>
      </c>
      <c r="F335" s="2" t="s">
        <v>51</v>
      </c>
      <c r="G335" s="2" t="s">
        <v>52</v>
      </c>
      <c r="H335" s="2" t="s">
        <v>33</v>
      </c>
      <c r="I335" s="2" t="s">
        <v>96</v>
      </c>
      <c r="J335" s="4">
        <v>2750000</v>
      </c>
      <c r="K335" s="2">
        <v>5</v>
      </c>
      <c r="L335" s="2">
        <v>5</v>
      </c>
      <c r="M335" s="2">
        <v>16</v>
      </c>
      <c r="N335" s="2" t="s">
        <v>41</v>
      </c>
      <c r="O335" s="2" t="s">
        <v>53</v>
      </c>
      <c r="P335" s="2" t="s">
        <v>27</v>
      </c>
      <c r="Q335" s="3">
        <v>46267</v>
      </c>
      <c r="R335" s="2" t="s">
        <v>28</v>
      </c>
    </row>
    <row r="336" spans="1:18" x14ac:dyDescent="0.3">
      <c r="A336" s="2" t="s">
        <v>648</v>
      </c>
      <c r="B336" s="2" t="s">
        <v>649</v>
      </c>
      <c r="C336" s="2" t="s">
        <v>31</v>
      </c>
      <c r="D336" s="3">
        <v>35901</v>
      </c>
      <c r="E336" s="3">
        <v>45535</v>
      </c>
      <c r="F336" s="2" t="s">
        <v>51</v>
      </c>
      <c r="G336" s="2" t="s">
        <v>52</v>
      </c>
      <c r="H336" s="2" t="s">
        <v>68</v>
      </c>
      <c r="I336" s="2" t="s">
        <v>34</v>
      </c>
      <c r="J336" s="4">
        <v>7010000</v>
      </c>
      <c r="K336" s="2">
        <v>2</v>
      </c>
      <c r="L336" s="2">
        <v>3</v>
      </c>
      <c r="M336" s="2">
        <v>12</v>
      </c>
      <c r="N336" s="2" t="s">
        <v>25</v>
      </c>
      <c r="O336" s="2" t="s">
        <v>35</v>
      </c>
      <c r="P336" s="2" t="s">
        <v>27</v>
      </c>
      <c r="Q336" s="3">
        <v>46110</v>
      </c>
      <c r="R336" s="2" t="s">
        <v>111</v>
      </c>
    </row>
    <row r="337" spans="1:18" x14ac:dyDescent="0.3">
      <c r="A337" s="2" t="s">
        <v>650</v>
      </c>
      <c r="B337" s="2" t="s">
        <v>651</v>
      </c>
      <c r="C337" s="2" t="s">
        <v>31</v>
      </c>
      <c r="D337" s="3">
        <v>35195</v>
      </c>
      <c r="E337" s="3">
        <v>45619</v>
      </c>
      <c r="F337" s="2" t="s">
        <v>51</v>
      </c>
      <c r="G337" s="2" t="s">
        <v>93</v>
      </c>
      <c r="H337" s="2" t="s">
        <v>33</v>
      </c>
      <c r="I337" s="2" t="s">
        <v>104</v>
      </c>
      <c r="J337" s="4">
        <v>2510000</v>
      </c>
      <c r="K337" s="2">
        <v>5</v>
      </c>
      <c r="L337" s="2">
        <v>1</v>
      </c>
      <c r="M337" s="2">
        <v>9</v>
      </c>
      <c r="N337" s="2" t="s">
        <v>25</v>
      </c>
      <c r="O337" s="2" t="s">
        <v>26</v>
      </c>
      <c r="P337" s="2" t="s">
        <v>36</v>
      </c>
      <c r="Q337" s="3"/>
      <c r="R337" s="2"/>
    </row>
    <row r="338" spans="1:18" x14ac:dyDescent="0.3">
      <c r="A338" s="2" t="s">
        <v>652</v>
      </c>
      <c r="B338" s="2" t="s">
        <v>43</v>
      </c>
      <c r="C338" s="2" t="s">
        <v>31</v>
      </c>
      <c r="D338" s="3">
        <v>37116</v>
      </c>
      <c r="E338" s="3">
        <v>45119</v>
      </c>
      <c r="F338" s="2" t="s">
        <v>64</v>
      </c>
      <c r="G338" s="2" t="s">
        <v>73</v>
      </c>
      <c r="H338" s="2" t="s">
        <v>33</v>
      </c>
      <c r="I338" s="2" t="s">
        <v>24</v>
      </c>
      <c r="J338" s="4">
        <v>3960000</v>
      </c>
      <c r="K338" s="2"/>
      <c r="L338" s="2">
        <v>3</v>
      </c>
      <c r="M338" s="2">
        <v>22</v>
      </c>
      <c r="N338" s="2" t="s">
        <v>25</v>
      </c>
      <c r="O338" s="2" t="s">
        <v>35</v>
      </c>
      <c r="P338" s="2" t="s">
        <v>36</v>
      </c>
      <c r="Q338" s="3"/>
      <c r="R338" s="2"/>
    </row>
    <row r="339" spans="1:18" x14ac:dyDescent="0.3">
      <c r="A339" s="2" t="s">
        <v>653</v>
      </c>
      <c r="B339" s="2" t="s">
        <v>565</v>
      </c>
      <c r="C339" s="2" t="s">
        <v>20</v>
      </c>
      <c r="D339" s="3">
        <v>33079</v>
      </c>
      <c r="E339" s="3">
        <v>44879</v>
      </c>
      <c r="F339" s="2" t="s">
        <v>39</v>
      </c>
      <c r="G339" s="2" t="s">
        <v>40</v>
      </c>
      <c r="H339" s="2" t="s">
        <v>33</v>
      </c>
      <c r="I339" s="2" t="s">
        <v>24</v>
      </c>
      <c r="J339" s="4">
        <v>3660000</v>
      </c>
      <c r="K339" s="2">
        <v>5</v>
      </c>
      <c r="L339" s="2">
        <v>5</v>
      </c>
      <c r="M339" s="2">
        <v>9</v>
      </c>
      <c r="N339" s="2" t="s">
        <v>41</v>
      </c>
      <c r="O339" s="2" t="s">
        <v>35</v>
      </c>
      <c r="P339" s="2" t="s">
        <v>36</v>
      </c>
      <c r="Q339" s="3"/>
      <c r="R339" s="2"/>
    </row>
    <row r="340" spans="1:18" x14ac:dyDescent="0.3">
      <c r="A340" s="2" t="s">
        <v>654</v>
      </c>
      <c r="B340" s="2" t="s">
        <v>655</v>
      </c>
      <c r="C340" s="2" t="s">
        <v>20</v>
      </c>
      <c r="D340" s="3">
        <v>33108</v>
      </c>
      <c r="E340" s="3">
        <v>43132</v>
      </c>
      <c r="F340" s="2" t="s">
        <v>114</v>
      </c>
      <c r="G340" s="2" t="s">
        <v>115</v>
      </c>
      <c r="H340" s="2" t="s">
        <v>23</v>
      </c>
      <c r="I340" s="2" t="s">
        <v>24</v>
      </c>
      <c r="J340" s="4">
        <v>10630000</v>
      </c>
      <c r="K340" s="2">
        <v>4</v>
      </c>
      <c r="L340" s="2">
        <v>1</v>
      </c>
      <c r="M340" s="2">
        <v>6</v>
      </c>
      <c r="N340" s="2" t="s">
        <v>41</v>
      </c>
      <c r="O340" s="2" t="s">
        <v>35</v>
      </c>
      <c r="P340" s="2" t="s">
        <v>36</v>
      </c>
      <c r="Q340" s="3"/>
      <c r="R340" s="2"/>
    </row>
    <row r="341" spans="1:18" x14ac:dyDescent="0.3">
      <c r="A341" s="2" t="s">
        <v>656</v>
      </c>
      <c r="B341" s="2" t="s">
        <v>354</v>
      </c>
      <c r="C341" s="2" t="s">
        <v>31</v>
      </c>
      <c r="D341" s="3">
        <v>33119</v>
      </c>
      <c r="E341" s="3">
        <v>45096</v>
      </c>
      <c r="F341" s="2" t="s">
        <v>64</v>
      </c>
      <c r="G341" s="2" t="s">
        <v>65</v>
      </c>
      <c r="H341" s="2" t="s">
        <v>68</v>
      </c>
      <c r="I341" s="2" t="s">
        <v>24</v>
      </c>
      <c r="J341" s="4">
        <v>6590000</v>
      </c>
      <c r="K341" s="2">
        <v>5</v>
      </c>
      <c r="L341" s="2">
        <v>4</v>
      </c>
      <c r="M341" s="2">
        <v>16</v>
      </c>
      <c r="N341" s="2" t="s">
        <v>41</v>
      </c>
      <c r="O341" s="2" t="s">
        <v>35</v>
      </c>
      <c r="P341" s="2" t="s">
        <v>36</v>
      </c>
      <c r="Q341" s="3"/>
      <c r="R341" s="2"/>
    </row>
    <row r="342" spans="1:18" x14ac:dyDescent="0.3">
      <c r="A342" s="2" t="s">
        <v>657</v>
      </c>
      <c r="B342" s="2" t="s">
        <v>658</v>
      </c>
      <c r="C342" s="2" t="s">
        <v>31</v>
      </c>
      <c r="D342" s="3">
        <v>30982</v>
      </c>
      <c r="E342" s="3">
        <v>44029</v>
      </c>
      <c r="F342" s="2" t="s">
        <v>114</v>
      </c>
      <c r="G342" s="2" t="s">
        <v>150</v>
      </c>
      <c r="H342" s="2" t="s">
        <v>68</v>
      </c>
      <c r="I342" s="2" t="s">
        <v>104</v>
      </c>
      <c r="J342" s="4">
        <v>6760000</v>
      </c>
      <c r="K342" s="2">
        <v>1</v>
      </c>
      <c r="L342" s="2">
        <v>3</v>
      </c>
      <c r="M342" s="2">
        <v>23</v>
      </c>
      <c r="N342" s="2" t="s">
        <v>41</v>
      </c>
      <c r="O342" s="2" t="s">
        <v>35</v>
      </c>
      <c r="P342" s="2" t="s">
        <v>36</v>
      </c>
      <c r="Q342" s="3"/>
      <c r="R342" s="2"/>
    </row>
    <row r="343" spans="1:18" x14ac:dyDescent="0.3">
      <c r="A343" s="2" t="s">
        <v>659</v>
      </c>
      <c r="B343" s="2" t="s">
        <v>231</v>
      </c>
      <c r="C343" s="2" t="s">
        <v>20</v>
      </c>
      <c r="D343" s="3">
        <v>36048</v>
      </c>
      <c r="E343" s="3">
        <v>46111</v>
      </c>
      <c r="F343" s="2" t="s">
        <v>114</v>
      </c>
      <c r="G343" s="2" t="s">
        <v>150</v>
      </c>
      <c r="H343" s="2" t="s">
        <v>33</v>
      </c>
      <c r="I343" s="2" t="s">
        <v>24</v>
      </c>
      <c r="J343" s="4">
        <v>3620000</v>
      </c>
      <c r="K343" s="2">
        <v>4</v>
      </c>
      <c r="L343" s="2">
        <v>4</v>
      </c>
      <c r="M343" s="2">
        <v>21</v>
      </c>
      <c r="N343" s="2" t="s">
        <v>88</v>
      </c>
      <c r="O343" s="2" t="s">
        <v>26</v>
      </c>
      <c r="P343" s="2" t="s">
        <v>36</v>
      </c>
      <c r="Q343" s="3"/>
      <c r="R343" s="2"/>
    </row>
    <row r="344" spans="1:18" x14ac:dyDescent="0.3">
      <c r="A344" s="2" t="s">
        <v>660</v>
      </c>
      <c r="B344" s="2" t="s">
        <v>661</v>
      </c>
      <c r="C344" s="2" t="s">
        <v>31</v>
      </c>
      <c r="D344" s="3">
        <v>37135</v>
      </c>
      <c r="E344" s="3">
        <v>45248</v>
      </c>
      <c r="F344" s="2" t="s">
        <v>64</v>
      </c>
      <c r="G344" s="2" t="s">
        <v>79</v>
      </c>
      <c r="H344" s="2" t="s">
        <v>33</v>
      </c>
      <c r="I344" s="2" t="s">
        <v>24</v>
      </c>
      <c r="J344" s="4">
        <v>4230000</v>
      </c>
      <c r="K344" s="2">
        <v>3</v>
      </c>
      <c r="L344" s="2">
        <v>3</v>
      </c>
      <c r="M344" s="2">
        <v>10</v>
      </c>
      <c r="N344" s="2" t="s">
        <v>41</v>
      </c>
      <c r="O344" s="2" t="s">
        <v>26</v>
      </c>
      <c r="P344" s="2" t="s">
        <v>36</v>
      </c>
      <c r="Q344" s="3"/>
      <c r="R344" s="2"/>
    </row>
    <row r="345" spans="1:18" x14ac:dyDescent="0.3">
      <c r="A345" s="2" t="s">
        <v>662</v>
      </c>
      <c r="B345" s="2" t="s">
        <v>301</v>
      </c>
      <c r="C345" s="2" t="s">
        <v>20</v>
      </c>
      <c r="D345" s="3">
        <v>31980</v>
      </c>
      <c r="E345" s="3">
        <v>45018</v>
      </c>
      <c r="F345" s="2" t="s">
        <v>21</v>
      </c>
      <c r="G345" s="2" t="s">
        <v>103</v>
      </c>
      <c r="H345" s="2" t="s">
        <v>68</v>
      </c>
      <c r="I345" s="2" t="s">
        <v>24</v>
      </c>
      <c r="J345" s="4">
        <v>12480000</v>
      </c>
      <c r="K345" s="2">
        <v>3</v>
      </c>
      <c r="L345" s="2">
        <v>4</v>
      </c>
      <c r="M345" s="2">
        <v>35</v>
      </c>
      <c r="N345" s="2" t="s">
        <v>41</v>
      </c>
      <c r="O345" s="2" t="s">
        <v>35</v>
      </c>
      <c r="P345" s="2" t="s">
        <v>36</v>
      </c>
      <c r="Q345" s="3"/>
      <c r="R345" s="2"/>
    </row>
    <row r="346" spans="1:18" x14ac:dyDescent="0.3">
      <c r="A346" s="2" t="s">
        <v>663</v>
      </c>
      <c r="B346" s="2" t="s">
        <v>664</v>
      </c>
      <c r="C346" s="2" t="s">
        <v>20</v>
      </c>
      <c r="D346" s="3">
        <v>33566</v>
      </c>
      <c r="E346" s="3">
        <v>45823</v>
      </c>
      <c r="F346" s="2" t="s">
        <v>64</v>
      </c>
      <c r="G346" s="2" t="s">
        <v>79</v>
      </c>
      <c r="H346" s="2" t="s">
        <v>23</v>
      </c>
      <c r="I346" s="2" t="s">
        <v>206</v>
      </c>
      <c r="J346" s="4">
        <v>15280000</v>
      </c>
      <c r="K346" s="2">
        <v>3</v>
      </c>
      <c r="L346" s="2">
        <v>4</v>
      </c>
      <c r="M346" s="2">
        <v>19</v>
      </c>
      <c r="N346" s="2" t="s">
        <v>41</v>
      </c>
      <c r="O346" s="2" t="s">
        <v>53</v>
      </c>
      <c r="P346" s="2" t="s">
        <v>36</v>
      </c>
      <c r="Q346" s="3"/>
      <c r="R346" s="2"/>
    </row>
    <row r="347" spans="1:18" x14ac:dyDescent="0.3">
      <c r="A347" s="2" t="s">
        <v>665</v>
      </c>
      <c r="B347" s="2" t="s">
        <v>666</v>
      </c>
      <c r="C347" s="2" t="s">
        <v>31</v>
      </c>
      <c r="D347" s="3">
        <v>29836</v>
      </c>
      <c r="E347" s="3">
        <v>43334</v>
      </c>
      <c r="F347" s="2" t="s">
        <v>21</v>
      </c>
      <c r="G347" s="2" t="s">
        <v>22</v>
      </c>
      <c r="H347" s="2" t="s">
        <v>68</v>
      </c>
      <c r="I347" s="2" t="s">
        <v>24</v>
      </c>
      <c r="J347" s="4">
        <v>10400000</v>
      </c>
      <c r="K347" s="2">
        <v>5</v>
      </c>
      <c r="L347" s="2">
        <v>4</v>
      </c>
      <c r="M347" s="2">
        <v>23</v>
      </c>
      <c r="N347" s="2" t="s">
        <v>88</v>
      </c>
      <c r="O347" s="2" t="s">
        <v>35</v>
      </c>
      <c r="P347" s="2" t="s">
        <v>36</v>
      </c>
      <c r="Q347" s="3"/>
      <c r="R347" s="2"/>
    </row>
    <row r="348" spans="1:18" x14ac:dyDescent="0.3">
      <c r="A348" s="2" t="s">
        <v>667</v>
      </c>
      <c r="B348" s="2" t="s">
        <v>420</v>
      </c>
      <c r="C348" s="2" t="s">
        <v>31</v>
      </c>
      <c r="D348" s="3">
        <v>34651</v>
      </c>
      <c r="E348" s="3">
        <v>43761</v>
      </c>
      <c r="F348" s="2" t="s">
        <v>51</v>
      </c>
      <c r="G348" s="2" t="s">
        <v>93</v>
      </c>
      <c r="H348" s="2" t="s">
        <v>23</v>
      </c>
      <c r="I348" s="2" t="s">
        <v>24</v>
      </c>
      <c r="J348" s="4">
        <v>9210000</v>
      </c>
      <c r="K348" s="2">
        <v>1</v>
      </c>
      <c r="L348" s="2">
        <v>2</v>
      </c>
      <c r="M348" s="2">
        <v>19</v>
      </c>
      <c r="N348" s="2" t="s">
        <v>25</v>
      </c>
      <c r="O348" s="2" t="s">
        <v>26</v>
      </c>
      <c r="P348" s="2" t="s">
        <v>36</v>
      </c>
      <c r="Q348" s="3"/>
      <c r="R348" s="2"/>
    </row>
    <row r="349" spans="1:18" x14ac:dyDescent="0.3">
      <c r="A349" s="2" t="s">
        <v>668</v>
      </c>
      <c r="B349" s="2" t="s">
        <v>63</v>
      </c>
      <c r="C349" s="2" t="s">
        <v>31</v>
      </c>
      <c r="D349" s="3">
        <v>28911</v>
      </c>
      <c r="E349" s="3">
        <v>45098</v>
      </c>
      <c r="F349" s="2" t="s">
        <v>51</v>
      </c>
      <c r="G349" s="2" t="s">
        <v>93</v>
      </c>
      <c r="H349" s="2" t="s">
        <v>68</v>
      </c>
      <c r="I349" s="2" t="s">
        <v>24</v>
      </c>
      <c r="J349" s="4">
        <v>6880000</v>
      </c>
      <c r="K349" s="2">
        <v>3</v>
      </c>
      <c r="L349" s="2">
        <v>2</v>
      </c>
      <c r="M349" s="2">
        <v>16</v>
      </c>
      <c r="N349" s="2" t="s">
        <v>41</v>
      </c>
      <c r="O349" s="2" t="s">
        <v>26</v>
      </c>
      <c r="P349" s="2" t="s">
        <v>36</v>
      </c>
      <c r="Q349" s="3"/>
      <c r="R349" s="2"/>
    </row>
    <row r="350" spans="1:18" x14ac:dyDescent="0.3">
      <c r="A350" s="2" t="s">
        <v>669</v>
      </c>
      <c r="B350" s="2" t="s">
        <v>119</v>
      </c>
      <c r="C350" s="2" t="s">
        <v>31</v>
      </c>
      <c r="D350" s="3">
        <v>29911</v>
      </c>
      <c r="E350" s="3">
        <v>45765</v>
      </c>
      <c r="F350" s="2" t="s">
        <v>47</v>
      </c>
      <c r="G350" s="2" t="s">
        <v>127</v>
      </c>
      <c r="H350" s="2" t="s">
        <v>23</v>
      </c>
      <c r="I350" s="2" t="s">
        <v>24</v>
      </c>
      <c r="J350" s="4">
        <v>14070000</v>
      </c>
      <c r="K350" s="2">
        <v>3</v>
      </c>
      <c r="L350" s="2">
        <v>5</v>
      </c>
      <c r="M350" s="2">
        <v>10</v>
      </c>
      <c r="N350" s="2" t="s">
        <v>41</v>
      </c>
      <c r="O350" s="2" t="s">
        <v>26</v>
      </c>
      <c r="P350" s="2" t="s">
        <v>36</v>
      </c>
      <c r="Q350" s="3"/>
      <c r="R350" s="2"/>
    </row>
    <row r="351" spans="1:18" x14ac:dyDescent="0.3">
      <c r="A351" s="2" t="s">
        <v>670</v>
      </c>
      <c r="B351" s="2" t="s">
        <v>465</v>
      </c>
      <c r="C351" s="2" t="s">
        <v>20</v>
      </c>
      <c r="D351" s="3">
        <v>30178</v>
      </c>
      <c r="E351" s="3">
        <v>43136</v>
      </c>
      <c r="F351" s="2" t="s">
        <v>21</v>
      </c>
      <c r="G351" s="2" t="s">
        <v>32</v>
      </c>
      <c r="H351" s="2" t="s">
        <v>33</v>
      </c>
      <c r="I351" s="2" t="s">
        <v>24</v>
      </c>
      <c r="J351" s="4">
        <v>5940000</v>
      </c>
      <c r="K351" s="2">
        <v>4</v>
      </c>
      <c r="L351" s="2">
        <v>2</v>
      </c>
      <c r="M351" s="2">
        <v>5</v>
      </c>
      <c r="N351" s="2" t="s">
        <v>25</v>
      </c>
      <c r="O351" s="2" t="s">
        <v>35</v>
      </c>
      <c r="P351" s="2" t="s">
        <v>36</v>
      </c>
      <c r="Q351" s="3"/>
      <c r="R351" s="2"/>
    </row>
    <row r="352" spans="1:18" x14ac:dyDescent="0.3">
      <c r="A352" s="2" t="s">
        <v>671</v>
      </c>
      <c r="B352" s="2" t="s">
        <v>672</v>
      </c>
      <c r="C352" s="2" t="s">
        <v>20</v>
      </c>
      <c r="D352" s="3">
        <v>33587</v>
      </c>
      <c r="E352" s="3">
        <v>43494</v>
      </c>
      <c r="F352" s="2" t="s">
        <v>56</v>
      </c>
      <c r="G352" s="2" t="s">
        <v>142</v>
      </c>
      <c r="H352" s="2" t="s">
        <v>68</v>
      </c>
      <c r="I352" s="2" t="s">
        <v>34</v>
      </c>
      <c r="J352" s="4">
        <v>9790000</v>
      </c>
      <c r="K352" s="2">
        <v>3</v>
      </c>
      <c r="L352" s="2">
        <v>1</v>
      </c>
      <c r="M352" s="2">
        <v>20</v>
      </c>
      <c r="N352" s="2" t="s">
        <v>41</v>
      </c>
      <c r="O352" s="2" t="s">
        <v>35</v>
      </c>
      <c r="P352" s="2" t="s">
        <v>27</v>
      </c>
      <c r="Q352" s="3">
        <v>46150</v>
      </c>
      <c r="R352" s="2" t="s">
        <v>401</v>
      </c>
    </row>
    <row r="353" spans="1:18" x14ac:dyDescent="0.3">
      <c r="A353" s="2" t="s">
        <v>673</v>
      </c>
      <c r="B353" s="2" t="s">
        <v>674</v>
      </c>
      <c r="C353" s="2" t="s">
        <v>31</v>
      </c>
      <c r="D353" s="3">
        <v>31938</v>
      </c>
      <c r="E353" s="3">
        <v>45281</v>
      </c>
      <c r="F353" s="2" t="s">
        <v>114</v>
      </c>
      <c r="G353" s="2" t="s">
        <v>150</v>
      </c>
      <c r="H353" s="2" t="s">
        <v>33</v>
      </c>
      <c r="I353" s="2" t="s">
        <v>24</v>
      </c>
      <c r="J353" s="4">
        <v>3610000</v>
      </c>
      <c r="K353" s="2">
        <v>3</v>
      </c>
      <c r="L353" s="2">
        <v>4</v>
      </c>
      <c r="M353" s="2">
        <v>21</v>
      </c>
      <c r="N353" s="2" t="s">
        <v>41</v>
      </c>
      <c r="O353" s="2" t="s">
        <v>35</v>
      </c>
      <c r="P353" s="2" t="s">
        <v>36</v>
      </c>
      <c r="Q353" s="3"/>
      <c r="R353" s="2"/>
    </row>
    <row r="354" spans="1:18" x14ac:dyDescent="0.3">
      <c r="A354" s="2" t="s">
        <v>675</v>
      </c>
      <c r="B354" s="2" t="s">
        <v>676</v>
      </c>
      <c r="C354" s="2" t="s">
        <v>31</v>
      </c>
      <c r="D354" s="3">
        <v>32321</v>
      </c>
      <c r="E354" s="3">
        <v>42312</v>
      </c>
      <c r="F354" s="2" t="s">
        <v>64</v>
      </c>
      <c r="G354" s="2" t="s">
        <v>65</v>
      </c>
      <c r="H354" s="2" t="s">
        <v>68</v>
      </c>
      <c r="I354" s="2" t="s">
        <v>24</v>
      </c>
      <c r="J354" s="4">
        <v>6840000</v>
      </c>
      <c r="K354" s="2">
        <v>3</v>
      </c>
      <c r="L354" s="2">
        <v>4</v>
      </c>
      <c r="M354" s="2">
        <v>1</v>
      </c>
      <c r="N354" s="2" t="s">
        <v>41</v>
      </c>
      <c r="O354" s="2" t="s">
        <v>35</v>
      </c>
      <c r="P354" s="2" t="s">
        <v>36</v>
      </c>
      <c r="Q354" s="3"/>
      <c r="R354" s="2"/>
    </row>
    <row r="355" spans="1:18" x14ac:dyDescent="0.3">
      <c r="A355" s="2" t="s">
        <v>677</v>
      </c>
      <c r="B355" s="2" t="s">
        <v>518</v>
      </c>
      <c r="C355" s="2" t="s">
        <v>31</v>
      </c>
      <c r="D355" s="3">
        <v>36895</v>
      </c>
      <c r="E355" s="3">
        <v>46248</v>
      </c>
      <c r="F355" s="2" t="s">
        <v>114</v>
      </c>
      <c r="G355" s="2" t="s">
        <v>150</v>
      </c>
      <c r="H355" s="2" t="s">
        <v>23</v>
      </c>
      <c r="I355" s="2" t="s">
        <v>24</v>
      </c>
      <c r="J355" s="4">
        <v>13100000</v>
      </c>
      <c r="K355" s="2">
        <v>2</v>
      </c>
      <c r="L355" s="2">
        <v>5</v>
      </c>
      <c r="M355" s="2">
        <v>26</v>
      </c>
      <c r="N355" s="2" t="s">
        <v>25</v>
      </c>
      <c r="O355" s="2" t="s">
        <v>26</v>
      </c>
      <c r="P355" s="2" t="s">
        <v>36</v>
      </c>
      <c r="Q355" s="3"/>
      <c r="R355" s="2"/>
    </row>
    <row r="356" spans="1:18" x14ac:dyDescent="0.3">
      <c r="A356" s="2" t="s">
        <v>678</v>
      </c>
      <c r="B356" s="2" t="s">
        <v>63</v>
      </c>
      <c r="C356" s="2" t="s">
        <v>31</v>
      </c>
      <c r="D356" s="3">
        <v>35759</v>
      </c>
      <c r="E356" s="3">
        <v>45281</v>
      </c>
      <c r="F356" s="2" t="s">
        <v>39</v>
      </c>
      <c r="G356" s="2" t="s">
        <v>170</v>
      </c>
      <c r="H356" s="2" t="s">
        <v>33</v>
      </c>
      <c r="I356" s="2" t="s">
        <v>24</v>
      </c>
      <c r="J356" s="4">
        <v>4610000</v>
      </c>
      <c r="K356" s="2">
        <v>4</v>
      </c>
      <c r="L356" s="2">
        <v>5</v>
      </c>
      <c r="M356" s="2">
        <v>12</v>
      </c>
      <c r="N356" s="2" t="s">
        <v>25</v>
      </c>
      <c r="O356" s="2" t="s">
        <v>26</v>
      </c>
      <c r="P356" s="2" t="s">
        <v>36</v>
      </c>
      <c r="Q356" s="3"/>
      <c r="R356" s="2"/>
    </row>
    <row r="357" spans="1:18" x14ac:dyDescent="0.3">
      <c r="A357" s="2" t="s">
        <v>679</v>
      </c>
      <c r="B357" s="2" t="s">
        <v>680</v>
      </c>
      <c r="C357" s="2" t="s">
        <v>31</v>
      </c>
      <c r="D357" s="3">
        <v>36504</v>
      </c>
      <c r="E357" s="3">
        <v>45807</v>
      </c>
      <c r="F357" s="2" t="s">
        <v>51</v>
      </c>
      <c r="G357" s="2" t="s">
        <v>93</v>
      </c>
      <c r="H357" s="2" t="s">
        <v>33</v>
      </c>
      <c r="I357" s="2" t="s">
        <v>24</v>
      </c>
      <c r="J357" s="4">
        <v>3520000</v>
      </c>
      <c r="K357" s="2"/>
      <c r="L357" s="2">
        <v>2</v>
      </c>
      <c r="M357" s="2">
        <v>12</v>
      </c>
      <c r="N357" s="2" t="s">
        <v>41</v>
      </c>
      <c r="O357" s="2" t="s">
        <v>26</v>
      </c>
      <c r="P357" s="2" t="s">
        <v>27</v>
      </c>
      <c r="Q357" s="3">
        <v>46242</v>
      </c>
      <c r="R357" s="2" t="s">
        <v>155</v>
      </c>
    </row>
    <row r="358" spans="1:18" x14ac:dyDescent="0.3">
      <c r="A358" s="2" t="s">
        <v>681</v>
      </c>
      <c r="B358" s="2" t="s">
        <v>682</v>
      </c>
      <c r="C358" s="2" t="s">
        <v>20</v>
      </c>
      <c r="D358" s="3">
        <v>31451</v>
      </c>
      <c r="E358" s="3">
        <v>43389</v>
      </c>
      <c r="F358" s="2" t="s">
        <v>21</v>
      </c>
      <c r="G358" s="2" t="s">
        <v>103</v>
      </c>
      <c r="H358" s="2" t="s">
        <v>23</v>
      </c>
      <c r="I358" s="2" t="s">
        <v>34</v>
      </c>
      <c r="J358" s="4">
        <v>17770000</v>
      </c>
      <c r="K358" s="2">
        <v>4</v>
      </c>
      <c r="L358" s="2">
        <v>5</v>
      </c>
      <c r="M358" s="2">
        <v>26</v>
      </c>
      <c r="N358" s="2" t="s">
        <v>41</v>
      </c>
      <c r="O358" s="2" t="s">
        <v>26</v>
      </c>
      <c r="P358" s="2" t="s">
        <v>36</v>
      </c>
      <c r="Q358" s="3"/>
      <c r="R358" s="2"/>
    </row>
    <row r="359" spans="1:18" x14ac:dyDescent="0.3">
      <c r="A359" s="2" t="s">
        <v>681</v>
      </c>
      <c r="B359" s="2" t="s">
        <v>682</v>
      </c>
      <c r="C359" s="2" t="s">
        <v>20</v>
      </c>
      <c r="D359" s="3">
        <v>31451</v>
      </c>
      <c r="E359" s="3">
        <v>43389</v>
      </c>
      <c r="F359" s="2" t="s">
        <v>21</v>
      </c>
      <c r="G359" s="2" t="s">
        <v>103</v>
      </c>
      <c r="H359" s="2" t="s">
        <v>23</v>
      </c>
      <c r="I359" s="2" t="s">
        <v>34</v>
      </c>
      <c r="J359" s="4">
        <v>17770000</v>
      </c>
      <c r="K359" s="2">
        <v>4</v>
      </c>
      <c r="L359" s="2">
        <v>5</v>
      </c>
      <c r="M359" s="2">
        <v>26</v>
      </c>
      <c r="N359" s="2" t="s">
        <v>41</v>
      </c>
      <c r="O359" s="2" t="s">
        <v>26</v>
      </c>
      <c r="P359" s="2" t="s">
        <v>36</v>
      </c>
      <c r="Q359" s="3"/>
      <c r="R359" s="2"/>
    </row>
    <row r="360" spans="1:18" x14ac:dyDescent="0.3">
      <c r="A360" s="2" t="s">
        <v>683</v>
      </c>
      <c r="B360" s="2" t="s">
        <v>684</v>
      </c>
      <c r="C360" s="2" t="s">
        <v>31</v>
      </c>
      <c r="D360" s="3">
        <v>34234</v>
      </c>
      <c r="E360" s="3">
        <v>42877</v>
      </c>
      <c r="F360" s="2" t="s">
        <v>51</v>
      </c>
      <c r="G360" s="2" t="s">
        <v>93</v>
      </c>
      <c r="H360" s="2" t="s">
        <v>33</v>
      </c>
      <c r="I360" s="2" t="s">
        <v>24</v>
      </c>
      <c r="J360" s="4">
        <v>3010000</v>
      </c>
      <c r="K360" s="2">
        <v>5</v>
      </c>
      <c r="L360" s="2">
        <v>3</v>
      </c>
      <c r="M360" s="2">
        <v>11</v>
      </c>
      <c r="N360" s="2" t="s">
        <v>25</v>
      </c>
      <c r="O360" s="2" t="s">
        <v>26</v>
      </c>
      <c r="P360" s="2" t="s">
        <v>27</v>
      </c>
      <c r="Q360" s="3">
        <v>46128</v>
      </c>
      <c r="R360" s="2" t="s">
        <v>61</v>
      </c>
    </row>
    <row r="361" spans="1:18" x14ac:dyDescent="0.3">
      <c r="A361" s="2" t="s">
        <v>685</v>
      </c>
      <c r="B361" s="2" t="s">
        <v>169</v>
      </c>
      <c r="C361" s="2" t="s">
        <v>31</v>
      </c>
      <c r="D361" s="3">
        <v>30042</v>
      </c>
      <c r="E361" s="3">
        <v>45636</v>
      </c>
      <c r="F361" s="2" t="s">
        <v>64</v>
      </c>
      <c r="G361" s="2" t="s">
        <v>65</v>
      </c>
      <c r="H361" s="2" t="s">
        <v>33</v>
      </c>
      <c r="I361" s="2" t="s">
        <v>24</v>
      </c>
      <c r="J361" s="4">
        <v>4550000</v>
      </c>
      <c r="K361" s="2">
        <v>4</v>
      </c>
      <c r="L361" s="2">
        <v>4</v>
      </c>
      <c r="M361" s="2">
        <v>10</v>
      </c>
      <c r="N361" s="2" t="s">
        <v>88</v>
      </c>
      <c r="O361" s="2" t="s">
        <v>26</v>
      </c>
      <c r="P361" s="2" t="s">
        <v>36</v>
      </c>
      <c r="Q361" s="3"/>
      <c r="R361" s="2"/>
    </row>
    <row r="362" spans="1:18" x14ac:dyDescent="0.3">
      <c r="A362" s="2" t="s">
        <v>686</v>
      </c>
      <c r="B362" s="2" t="s">
        <v>313</v>
      </c>
      <c r="C362" s="2" t="s">
        <v>20</v>
      </c>
      <c r="D362" s="3">
        <v>32289</v>
      </c>
      <c r="E362" s="3">
        <v>45186</v>
      </c>
      <c r="F362" s="2" t="s">
        <v>47</v>
      </c>
      <c r="G362" s="2" t="s">
        <v>48</v>
      </c>
      <c r="H362" s="2" t="s">
        <v>33</v>
      </c>
      <c r="I362" s="2" t="s">
        <v>24</v>
      </c>
      <c r="J362" s="4">
        <v>3930000</v>
      </c>
      <c r="K362" s="2">
        <v>2</v>
      </c>
      <c r="L362" s="2">
        <v>4</v>
      </c>
      <c r="M362" s="2">
        <v>1</v>
      </c>
      <c r="N362" s="2" t="s">
        <v>41</v>
      </c>
      <c r="O362" s="2" t="s">
        <v>26</v>
      </c>
      <c r="P362" s="2" t="s">
        <v>36</v>
      </c>
      <c r="Q362" s="3"/>
      <c r="R362" s="2"/>
    </row>
    <row r="363" spans="1:18" x14ac:dyDescent="0.3">
      <c r="A363" s="2" t="s">
        <v>687</v>
      </c>
      <c r="B363" s="2" t="s">
        <v>433</v>
      </c>
      <c r="C363" s="2" t="s">
        <v>31</v>
      </c>
      <c r="D363" s="3">
        <v>32827</v>
      </c>
      <c r="E363" s="3">
        <v>43028</v>
      </c>
      <c r="F363" s="2" t="s">
        <v>51</v>
      </c>
      <c r="G363" s="2" t="s">
        <v>93</v>
      </c>
      <c r="H363" s="2" t="s">
        <v>68</v>
      </c>
      <c r="I363" s="2" t="s">
        <v>24</v>
      </c>
      <c r="J363" s="4">
        <v>5530000</v>
      </c>
      <c r="K363" s="2">
        <v>3</v>
      </c>
      <c r="L363" s="2">
        <v>2</v>
      </c>
      <c r="M363" s="2">
        <v>16</v>
      </c>
      <c r="N363" s="2" t="s">
        <v>41</v>
      </c>
      <c r="O363" s="2" t="s">
        <v>35</v>
      </c>
      <c r="P363" s="2" t="s">
        <v>36</v>
      </c>
      <c r="Q363" s="3"/>
      <c r="R363" s="2"/>
    </row>
    <row r="364" spans="1:18" x14ac:dyDescent="0.3">
      <c r="A364" s="2" t="s">
        <v>688</v>
      </c>
      <c r="B364" s="2" t="s">
        <v>689</v>
      </c>
      <c r="C364" s="2" t="s">
        <v>31</v>
      </c>
      <c r="D364" s="3">
        <v>34857</v>
      </c>
      <c r="E364" s="3">
        <v>45707</v>
      </c>
      <c r="F364" s="2" t="s">
        <v>47</v>
      </c>
      <c r="G364" s="2" t="s">
        <v>127</v>
      </c>
      <c r="H364" s="2" t="s">
        <v>68</v>
      </c>
      <c r="I364" s="2" t="s">
        <v>24</v>
      </c>
      <c r="J364" s="4">
        <v>7730000</v>
      </c>
      <c r="K364" s="2">
        <v>4</v>
      </c>
      <c r="L364" s="2">
        <v>2</v>
      </c>
      <c r="M364" s="2">
        <v>12</v>
      </c>
      <c r="N364" s="2" t="s">
        <v>41</v>
      </c>
      <c r="O364" s="2" t="s">
        <v>26</v>
      </c>
      <c r="P364" s="2" t="s">
        <v>36</v>
      </c>
      <c r="Q364" s="3"/>
      <c r="R364" s="2"/>
    </row>
    <row r="365" spans="1:18" x14ac:dyDescent="0.3">
      <c r="A365" s="2" t="s">
        <v>690</v>
      </c>
      <c r="B365" s="2" t="s">
        <v>126</v>
      </c>
      <c r="C365" s="2" t="s">
        <v>31</v>
      </c>
      <c r="D365" s="3">
        <v>36125</v>
      </c>
      <c r="E365" s="3">
        <v>44092</v>
      </c>
      <c r="F365" s="2" t="s">
        <v>56</v>
      </c>
      <c r="G365" s="2" t="s">
        <v>60</v>
      </c>
      <c r="H365" s="2" t="s">
        <v>68</v>
      </c>
      <c r="I365" s="2" t="s">
        <v>24</v>
      </c>
      <c r="J365" s="4">
        <v>6510000</v>
      </c>
      <c r="K365" s="2">
        <v>2</v>
      </c>
      <c r="L365" s="2">
        <v>3</v>
      </c>
      <c r="M365" s="2">
        <v>14</v>
      </c>
      <c r="N365" s="2" t="s">
        <v>41</v>
      </c>
      <c r="O365" s="2" t="s">
        <v>35</v>
      </c>
      <c r="P365" s="2" t="s">
        <v>36</v>
      </c>
      <c r="Q365" s="3"/>
      <c r="R365" s="2"/>
    </row>
    <row r="366" spans="1:18" x14ac:dyDescent="0.3">
      <c r="A366" s="2" t="s">
        <v>691</v>
      </c>
      <c r="B366" s="2" t="s">
        <v>420</v>
      </c>
      <c r="C366" s="2" t="s">
        <v>31</v>
      </c>
      <c r="D366" s="3">
        <v>31255</v>
      </c>
      <c r="E366" s="3">
        <v>43219</v>
      </c>
      <c r="F366" s="2" t="s">
        <v>51</v>
      </c>
      <c r="G366" s="2" t="s">
        <v>52</v>
      </c>
      <c r="H366" s="2" t="s">
        <v>33</v>
      </c>
      <c r="I366" s="2" t="s">
        <v>24</v>
      </c>
      <c r="J366" s="4">
        <v>3420000</v>
      </c>
      <c r="K366" s="2">
        <v>4</v>
      </c>
      <c r="L366" s="2">
        <v>5</v>
      </c>
      <c r="M366" s="2">
        <v>21</v>
      </c>
      <c r="N366" s="2" t="s">
        <v>41</v>
      </c>
      <c r="O366" s="2" t="s">
        <v>26</v>
      </c>
      <c r="P366" s="2" t="s">
        <v>36</v>
      </c>
      <c r="Q366" s="3"/>
      <c r="R366" s="2"/>
    </row>
    <row r="367" spans="1:18" x14ac:dyDescent="0.3">
      <c r="A367" s="2" t="s">
        <v>692</v>
      </c>
      <c r="B367" s="2" t="s">
        <v>693</v>
      </c>
      <c r="C367" s="2" t="s">
        <v>20</v>
      </c>
      <c r="D367" s="3">
        <v>31336</v>
      </c>
      <c r="E367" s="3">
        <v>46059</v>
      </c>
      <c r="F367" s="2" t="s">
        <v>114</v>
      </c>
      <c r="G367" s="2" t="s">
        <v>196</v>
      </c>
      <c r="H367" s="2" t="s">
        <v>33</v>
      </c>
      <c r="I367" s="2" t="s">
        <v>24</v>
      </c>
      <c r="J367" s="4">
        <v>3850000</v>
      </c>
      <c r="K367" s="2">
        <v>5</v>
      </c>
      <c r="L367" s="2">
        <v>3</v>
      </c>
      <c r="M367" s="2">
        <v>0</v>
      </c>
      <c r="N367" s="2" t="s">
        <v>41</v>
      </c>
      <c r="O367" s="2" t="s">
        <v>53</v>
      </c>
      <c r="P367" s="2" t="s">
        <v>36</v>
      </c>
      <c r="Q367" s="3"/>
      <c r="R367" s="2"/>
    </row>
    <row r="368" spans="1:18" x14ac:dyDescent="0.3">
      <c r="A368" s="2" t="s">
        <v>694</v>
      </c>
      <c r="B368" s="2" t="s">
        <v>695</v>
      </c>
      <c r="C368" s="2" t="s">
        <v>31</v>
      </c>
      <c r="D368" s="3">
        <v>26274</v>
      </c>
      <c r="E368" s="3">
        <v>43002</v>
      </c>
      <c r="F368" s="2" t="s">
        <v>114</v>
      </c>
      <c r="G368" s="2" t="s">
        <v>196</v>
      </c>
      <c r="H368" s="2" t="s">
        <v>68</v>
      </c>
      <c r="I368" s="2" t="s">
        <v>104</v>
      </c>
      <c r="J368" s="4">
        <v>8030000</v>
      </c>
      <c r="K368" s="2">
        <v>3</v>
      </c>
      <c r="L368" s="2">
        <v>3</v>
      </c>
      <c r="M368" s="2">
        <v>22</v>
      </c>
      <c r="N368" s="2" t="s">
        <v>41</v>
      </c>
      <c r="O368" s="2" t="s">
        <v>26</v>
      </c>
      <c r="P368" s="2" t="s">
        <v>36</v>
      </c>
      <c r="Q368" s="3"/>
      <c r="R368" s="2"/>
    </row>
    <row r="369" spans="1:18" x14ac:dyDescent="0.3">
      <c r="A369" s="2" t="s">
        <v>696</v>
      </c>
      <c r="B369" s="2" t="s">
        <v>697</v>
      </c>
      <c r="C369" s="2" t="s">
        <v>20</v>
      </c>
      <c r="D369" s="3">
        <v>33485</v>
      </c>
      <c r="E369" s="3">
        <v>46099</v>
      </c>
      <c r="F369" s="2" t="s">
        <v>39</v>
      </c>
      <c r="G369" s="2" t="s">
        <v>40</v>
      </c>
      <c r="H369" s="2" t="s">
        <v>68</v>
      </c>
      <c r="I369" s="2" t="s">
        <v>34</v>
      </c>
      <c r="J369" s="4">
        <v>7420000</v>
      </c>
      <c r="K369" s="2">
        <v>4</v>
      </c>
      <c r="L369" s="2">
        <v>4</v>
      </c>
      <c r="M369" s="2">
        <v>14</v>
      </c>
      <c r="N369" s="2" t="s">
        <v>41</v>
      </c>
      <c r="O369" s="2" t="s">
        <v>53</v>
      </c>
      <c r="P369" s="2" t="s">
        <v>36</v>
      </c>
      <c r="Q369" s="3"/>
      <c r="R369" s="2"/>
    </row>
    <row r="370" spans="1:18" x14ac:dyDescent="0.3">
      <c r="A370" s="2" t="s">
        <v>698</v>
      </c>
      <c r="B370" s="2" t="s">
        <v>320</v>
      </c>
      <c r="C370" s="2" t="s">
        <v>20</v>
      </c>
      <c r="D370" s="3">
        <v>35644</v>
      </c>
      <c r="E370" s="3">
        <v>45877</v>
      </c>
      <c r="F370" s="2" t="s">
        <v>51</v>
      </c>
      <c r="G370" s="2" t="s">
        <v>93</v>
      </c>
      <c r="H370" s="2" t="s">
        <v>68</v>
      </c>
      <c r="I370" s="2" t="s">
        <v>24</v>
      </c>
      <c r="J370" s="4">
        <v>4560000</v>
      </c>
      <c r="K370" s="2">
        <v>3</v>
      </c>
      <c r="L370" s="2">
        <v>1</v>
      </c>
      <c r="M370" s="2">
        <v>25</v>
      </c>
      <c r="N370" s="2" t="s">
        <v>41</v>
      </c>
      <c r="O370" s="2" t="s">
        <v>26</v>
      </c>
      <c r="P370" s="2" t="s">
        <v>36</v>
      </c>
      <c r="Q370" s="3"/>
      <c r="R370" s="2"/>
    </row>
    <row r="371" spans="1:18" x14ac:dyDescent="0.3">
      <c r="A371" s="2" t="s">
        <v>699</v>
      </c>
      <c r="B371" s="2" t="s">
        <v>700</v>
      </c>
      <c r="C371" s="2" t="s">
        <v>31</v>
      </c>
      <c r="D371" s="3">
        <v>31019</v>
      </c>
      <c r="E371" s="3">
        <v>44081</v>
      </c>
      <c r="F371" s="2" t="s">
        <v>21</v>
      </c>
      <c r="G371" s="2" t="s">
        <v>32</v>
      </c>
      <c r="H371" s="2" t="s">
        <v>23</v>
      </c>
      <c r="I371" s="2" t="s">
        <v>44</v>
      </c>
      <c r="J371" s="4">
        <v>14560000</v>
      </c>
      <c r="K371" s="2">
        <v>4</v>
      </c>
      <c r="L371" s="2">
        <v>4</v>
      </c>
      <c r="M371" s="2">
        <v>17</v>
      </c>
      <c r="N371" s="2" t="s">
        <v>41</v>
      </c>
      <c r="O371" s="2" t="s">
        <v>26</v>
      </c>
      <c r="P371" s="2" t="s">
        <v>27</v>
      </c>
      <c r="Q371" s="3">
        <v>46156</v>
      </c>
      <c r="R371" s="2" t="s">
        <v>28</v>
      </c>
    </row>
    <row r="372" spans="1:18" x14ac:dyDescent="0.3">
      <c r="A372" s="2" t="s">
        <v>701</v>
      </c>
      <c r="B372" s="2" t="s">
        <v>154</v>
      </c>
      <c r="C372" s="2" t="s">
        <v>20</v>
      </c>
      <c r="D372" s="3">
        <v>32361</v>
      </c>
      <c r="E372" s="3">
        <v>46006</v>
      </c>
      <c r="F372" s="2" t="s">
        <v>64</v>
      </c>
      <c r="G372" s="2" t="s">
        <v>65</v>
      </c>
      <c r="H372" s="2" t="s">
        <v>23</v>
      </c>
      <c r="I372" s="2" t="s">
        <v>104</v>
      </c>
      <c r="J372" s="4">
        <v>14550000</v>
      </c>
      <c r="K372" s="2">
        <v>2</v>
      </c>
      <c r="L372" s="2">
        <v>4</v>
      </c>
      <c r="M372" s="2">
        <v>17</v>
      </c>
      <c r="N372" s="2" t="s">
        <v>25</v>
      </c>
      <c r="O372" s="2"/>
      <c r="P372" s="2" t="s">
        <v>27</v>
      </c>
      <c r="Q372" s="3">
        <v>46143</v>
      </c>
      <c r="R372" s="2" t="s">
        <v>235</v>
      </c>
    </row>
    <row r="373" spans="1:18" x14ac:dyDescent="0.3">
      <c r="A373" s="2" t="s">
        <v>702</v>
      </c>
      <c r="B373" s="2" t="s">
        <v>400</v>
      </c>
      <c r="C373" s="2" t="s">
        <v>31</v>
      </c>
      <c r="D373" s="3">
        <v>33604</v>
      </c>
      <c r="E373" s="3">
        <v>45499</v>
      </c>
      <c r="F373" s="2" t="s">
        <v>21</v>
      </c>
      <c r="G373" s="2" t="s">
        <v>103</v>
      </c>
      <c r="H373" s="2" t="s">
        <v>68</v>
      </c>
      <c r="I373" s="2" t="s">
        <v>24</v>
      </c>
      <c r="J373" s="4">
        <v>9180000</v>
      </c>
      <c r="K373" s="2">
        <v>3</v>
      </c>
      <c r="L373" s="2">
        <v>4</v>
      </c>
      <c r="M373" s="2">
        <v>31</v>
      </c>
      <c r="N373" s="2" t="s">
        <v>41</v>
      </c>
      <c r="O373" s="2" t="s">
        <v>26</v>
      </c>
      <c r="P373" s="2" t="s">
        <v>36</v>
      </c>
      <c r="Q373" s="3"/>
      <c r="R373" s="2"/>
    </row>
    <row r="374" spans="1:18" x14ac:dyDescent="0.3">
      <c r="A374" s="2" t="s">
        <v>703</v>
      </c>
      <c r="B374" s="2" t="s">
        <v>398</v>
      </c>
      <c r="C374" s="2" t="s">
        <v>20</v>
      </c>
      <c r="D374" s="3">
        <v>31796</v>
      </c>
      <c r="E374" s="3">
        <v>45422</v>
      </c>
      <c r="F374" s="2" t="s">
        <v>51</v>
      </c>
      <c r="G374" s="2" t="s">
        <v>93</v>
      </c>
      <c r="H374" s="2" t="s">
        <v>68</v>
      </c>
      <c r="I374" s="2" t="s">
        <v>82</v>
      </c>
      <c r="J374" s="4">
        <v>6170000</v>
      </c>
      <c r="K374" s="2">
        <v>4</v>
      </c>
      <c r="L374" s="2">
        <v>3</v>
      </c>
      <c r="M374" s="2">
        <v>17</v>
      </c>
      <c r="N374" s="2" t="s">
        <v>25</v>
      </c>
      <c r="O374" s="2" t="s">
        <v>26</v>
      </c>
      <c r="P374" s="2" t="s">
        <v>36</v>
      </c>
      <c r="Q374" s="3"/>
      <c r="R374" s="2"/>
    </row>
    <row r="375" spans="1:18" x14ac:dyDescent="0.3">
      <c r="A375" s="2" t="s">
        <v>704</v>
      </c>
      <c r="B375" s="2" t="s">
        <v>283</v>
      </c>
      <c r="C375" s="2" t="s">
        <v>31</v>
      </c>
      <c r="D375" s="3">
        <v>32531</v>
      </c>
      <c r="E375" s="3">
        <v>43297</v>
      </c>
      <c r="F375" s="2" t="s">
        <v>47</v>
      </c>
      <c r="G375" s="2" t="s">
        <v>48</v>
      </c>
      <c r="H375" s="2" t="s">
        <v>68</v>
      </c>
      <c r="I375" s="2" t="s">
        <v>24</v>
      </c>
      <c r="J375" s="4">
        <v>8560000</v>
      </c>
      <c r="K375" s="2">
        <v>4</v>
      </c>
      <c r="L375" s="2">
        <v>4</v>
      </c>
      <c r="M375" s="2">
        <v>6</v>
      </c>
      <c r="N375" s="2" t="s">
        <v>25</v>
      </c>
      <c r="O375" s="2" t="s">
        <v>35</v>
      </c>
      <c r="P375" s="2" t="s">
        <v>36</v>
      </c>
      <c r="Q375" s="3"/>
      <c r="R375" s="2"/>
    </row>
    <row r="376" spans="1:18" x14ac:dyDescent="0.3">
      <c r="A376" s="2" t="s">
        <v>705</v>
      </c>
      <c r="B376" s="2" t="s">
        <v>244</v>
      </c>
      <c r="C376" s="2" t="s">
        <v>31</v>
      </c>
      <c r="D376" s="3">
        <v>34874</v>
      </c>
      <c r="E376" s="3">
        <v>45565</v>
      </c>
      <c r="F376" s="2" t="s">
        <v>64</v>
      </c>
      <c r="G376" s="2" t="s">
        <v>73</v>
      </c>
      <c r="H376" s="2" t="s">
        <v>33</v>
      </c>
      <c r="I376" s="2" t="s">
        <v>24</v>
      </c>
      <c r="J376" s="4">
        <v>3230000</v>
      </c>
      <c r="K376" s="2">
        <v>4</v>
      </c>
      <c r="L376" s="2">
        <v>2</v>
      </c>
      <c r="M376" s="2">
        <v>16</v>
      </c>
      <c r="N376" s="2" t="s">
        <v>41</v>
      </c>
      <c r="O376" s="2" t="s">
        <v>26</v>
      </c>
      <c r="P376" s="2" t="s">
        <v>36</v>
      </c>
      <c r="Q376" s="3"/>
      <c r="R376" s="2"/>
    </row>
    <row r="377" spans="1:18" x14ac:dyDescent="0.3">
      <c r="A377" s="2" t="s">
        <v>706</v>
      </c>
      <c r="B377" s="2" t="s">
        <v>304</v>
      </c>
      <c r="C377" s="2" t="s">
        <v>20</v>
      </c>
      <c r="D377" s="3">
        <v>34588</v>
      </c>
      <c r="E377" s="3">
        <v>44195</v>
      </c>
      <c r="F377" s="2" t="s">
        <v>47</v>
      </c>
      <c r="G377" s="2" t="s">
        <v>48</v>
      </c>
      <c r="H377" s="2" t="s">
        <v>33</v>
      </c>
      <c r="I377" s="2" t="s">
        <v>34</v>
      </c>
      <c r="J377" s="4">
        <v>3820000</v>
      </c>
      <c r="K377" s="2">
        <v>3</v>
      </c>
      <c r="L377" s="2">
        <v>3</v>
      </c>
      <c r="M377" s="2">
        <v>0</v>
      </c>
      <c r="N377" s="2" t="s">
        <v>88</v>
      </c>
      <c r="O377" s="2" t="s">
        <v>53</v>
      </c>
      <c r="P377" s="2" t="s">
        <v>27</v>
      </c>
      <c r="Q377" s="3">
        <v>45974</v>
      </c>
      <c r="R377" s="2" t="s">
        <v>28</v>
      </c>
    </row>
    <row r="378" spans="1:18" x14ac:dyDescent="0.3">
      <c r="A378" s="2" t="s">
        <v>707</v>
      </c>
      <c r="B378" s="2" t="s">
        <v>708</v>
      </c>
      <c r="C378" s="2" t="s">
        <v>31</v>
      </c>
      <c r="D378" s="3">
        <v>32556</v>
      </c>
      <c r="E378" s="3">
        <v>46069</v>
      </c>
      <c r="F378" s="2" t="s">
        <v>64</v>
      </c>
      <c r="G378" s="2" t="s">
        <v>65</v>
      </c>
      <c r="H378" s="2" t="s">
        <v>33</v>
      </c>
      <c r="I378" s="2" t="s">
        <v>44</v>
      </c>
      <c r="J378" s="4">
        <v>4000000</v>
      </c>
      <c r="K378" s="2">
        <v>3</v>
      </c>
      <c r="L378" s="2">
        <v>3</v>
      </c>
      <c r="M378" s="2">
        <v>18</v>
      </c>
      <c r="N378" s="2" t="s">
        <v>41</v>
      </c>
      <c r="O378" s="2" t="s">
        <v>26</v>
      </c>
      <c r="P378" s="2" t="s">
        <v>36</v>
      </c>
      <c r="Q378" s="3"/>
      <c r="R378" s="2"/>
    </row>
    <row r="379" spans="1:18" x14ac:dyDescent="0.3">
      <c r="A379" s="2" t="s">
        <v>709</v>
      </c>
      <c r="B379" s="2" t="s">
        <v>710</v>
      </c>
      <c r="C379" s="2" t="s">
        <v>20</v>
      </c>
      <c r="D379" s="3">
        <v>32648</v>
      </c>
      <c r="E379" s="3">
        <v>45969</v>
      </c>
      <c r="F379" s="2" t="s">
        <v>114</v>
      </c>
      <c r="G379" s="2" t="s">
        <v>115</v>
      </c>
      <c r="H379" s="2" t="s">
        <v>23</v>
      </c>
      <c r="I379" s="2" t="s">
        <v>44</v>
      </c>
      <c r="J379" s="4">
        <v>9180000</v>
      </c>
      <c r="K379" s="2">
        <v>4</v>
      </c>
      <c r="L379" s="2">
        <v>2</v>
      </c>
      <c r="M379" s="2">
        <v>16</v>
      </c>
      <c r="N379" s="2" t="s">
        <v>25</v>
      </c>
      <c r="O379" s="2" t="s">
        <v>26</v>
      </c>
      <c r="P379" s="2" t="s">
        <v>36</v>
      </c>
      <c r="Q379" s="3"/>
      <c r="R379" s="2"/>
    </row>
    <row r="380" spans="1:18" x14ac:dyDescent="0.3">
      <c r="A380" s="2" t="s">
        <v>711</v>
      </c>
      <c r="B380" s="2" t="s">
        <v>443</v>
      </c>
      <c r="C380" s="2" t="s">
        <v>31</v>
      </c>
      <c r="D380" s="3">
        <v>36379</v>
      </c>
      <c r="E380" s="3">
        <v>44868</v>
      </c>
      <c r="F380" s="2" t="s">
        <v>64</v>
      </c>
      <c r="G380" s="2" t="s">
        <v>65</v>
      </c>
      <c r="H380" s="2" t="s">
        <v>33</v>
      </c>
      <c r="I380" s="2" t="s">
        <v>34</v>
      </c>
      <c r="J380" s="4">
        <v>3240000</v>
      </c>
      <c r="K380" s="2">
        <v>2</v>
      </c>
      <c r="L380" s="2">
        <v>3</v>
      </c>
      <c r="M380" s="2">
        <v>6</v>
      </c>
      <c r="N380" s="2" t="s">
        <v>88</v>
      </c>
      <c r="O380" s="2" t="s">
        <v>35</v>
      </c>
      <c r="P380" s="2" t="s">
        <v>36</v>
      </c>
      <c r="Q380" s="3"/>
      <c r="R380" s="2"/>
    </row>
    <row r="381" spans="1:18" x14ac:dyDescent="0.3">
      <c r="A381" s="2" t="s">
        <v>712</v>
      </c>
      <c r="B381" s="2" t="s">
        <v>713</v>
      </c>
      <c r="C381" s="2" t="s">
        <v>20</v>
      </c>
      <c r="D381" s="3">
        <v>33453</v>
      </c>
      <c r="E381" s="3">
        <v>43661</v>
      </c>
      <c r="F381" s="2" t="s">
        <v>51</v>
      </c>
      <c r="G381" s="2" t="s">
        <v>52</v>
      </c>
      <c r="H381" s="2" t="s">
        <v>68</v>
      </c>
      <c r="I381" s="2" t="s">
        <v>96</v>
      </c>
      <c r="J381" s="4">
        <v>6570000</v>
      </c>
      <c r="K381" s="2">
        <v>1</v>
      </c>
      <c r="L381" s="2">
        <v>3</v>
      </c>
      <c r="M381" s="2">
        <v>35</v>
      </c>
      <c r="N381" s="2" t="s">
        <v>41</v>
      </c>
      <c r="O381" s="2" t="s">
        <v>35</v>
      </c>
      <c r="P381" s="2" t="s">
        <v>36</v>
      </c>
      <c r="Q381" s="3"/>
      <c r="R381" s="2"/>
    </row>
    <row r="382" spans="1:18" x14ac:dyDescent="0.3">
      <c r="A382" s="2" t="s">
        <v>714</v>
      </c>
      <c r="B382" s="2" t="s">
        <v>215</v>
      </c>
      <c r="C382" s="2" t="s">
        <v>20</v>
      </c>
      <c r="D382" s="3">
        <v>33760</v>
      </c>
      <c r="E382" s="3">
        <v>44144</v>
      </c>
      <c r="F382" s="2" t="s">
        <v>64</v>
      </c>
      <c r="G382" s="2" t="s">
        <v>79</v>
      </c>
      <c r="H382" s="2" t="s">
        <v>68</v>
      </c>
      <c r="I382" s="2" t="s">
        <v>44</v>
      </c>
      <c r="J382" s="4">
        <v>7900000</v>
      </c>
      <c r="K382" s="2">
        <v>3</v>
      </c>
      <c r="L382" s="2">
        <v>4</v>
      </c>
      <c r="M382" s="2">
        <v>28</v>
      </c>
      <c r="N382" s="2" t="s">
        <v>41</v>
      </c>
      <c r="O382" s="2" t="s">
        <v>26</v>
      </c>
      <c r="P382" s="2" t="s">
        <v>36</v>
      </c>
      <c r="Q382" s="3"/>
      <c r="R382" s="2"/>
    </row>
    <row r="383" spans="1:18" x14ac:dyDescent="0.3">
      <c r="A383" s="2" t="s">
        <v>715</v>
      </c>
      <c r="B383" s="2" t="s">
        <v>113</v>
      </c>
      <c r="C383" s="2" t="s">
        <v>20</v>
      </c>
      <c r="D383" s="3">
        <v>35071</v>
      </c>
      <c r="E383" s="3">
        <v>44424</v>
      </c>
      <c r="F383" s="2" t="s">
        <v>56</v>
      </c>
      <c r="G383" s="2" t="s">
        <v>142</v>
      </c>
      <c r="H383" s="2" t="s">
        <v>33</v>
      </c>
      <c r="I383" s="2" t="s">
        <v>34</v>
      </c>
      <c r="J383" s="4">
        <v>4580000</v>
      </c>
      <c r="K383" s="2">
        <v>3</v>
      </c>
      <c r="L383" s="2">
        <v>4</v>
      </c>
      <c r="M383" s="2">
        <v>23</v>
      </c>
      <c r="N383" s="2" t="s">
        <v>41</v>
      </c>
      <c r="O383" s="2" t="s">
        <v>26</v>
      </c>
      <c r="P383" s="2" t="s">
        <v>36</v>
      </c>
      <c r="Q383" s="3"/>
      <c r="R383" s="2"/>
    </row>
    <row r="384" spans="1:18" x14ac:dyDescent="0.3">
      <c r="A384" s="2" t="s">
        <v>716</v>
      </c>
      <c r="B384" s="2" t="s">
        <v>651</v>
      </c>
      <c r="C384" s="2" t="s">
        <v>369</v>
      </c>
      <c r="D384" s="3">
        <v>37186</v>
      </c>
      <c r="E384" s="3">
        <v>45528</v>
      </c>
      <c r="F384" s="2" t="s">
        <v>51</v>
      </c>
      <c r="G384" s="2" t="s">
        <v>52</v>
      </c>
      <c r="H384" s="2" t="s">
        <v>23</v>
      </c>
      <c r="I384" s="2" t="s">
        <v>24</v>
      </c>
      <c r="J384" s="4">
        <v>10710000</v>
      </c>
      <c r="K384" s="2">
        <v>3</v>
      </c>
      <c r="L384" s="2">
        <v>3</v>
      </c>
      <c r="M384" s="2">
        <v>17</v>
      </c>
      <c r="N384" s="2" t="s">
        <v>88</v>
      </c>
      <c r="O384" s="2" t="s">
        <v>35</v>
      </c>
      <c r="P384" s="2" t="s">
        <v>36</v>
      </c>
      <c r="Q384" s="3"/>
      <c r="R384" s="2"/>
    </row>
    <row r="385" spans="1:18" x14ac:dyDescent="0.3">
      <c r="A385" s="2" t="s">
        <v>717</v>
      </c>
      <c r="B385" s="2" t="s">
        <v>718</v>
      </c>
      <c r="C385" s="2" t="s">
        <v>20</v>
      </c>
      <c r="D385" s="3">
        <v>38731</v>
      </c>
      <c r="E385" s="3">
        <v>46263</v>
      </c>
      <c r="F385" s="2" t="s">
        <v>21</v>
      </c>
      <c r="G385" s="2" t="s">
        <v>22</v>
      </c>
      <c r="H385" s="2" t="s">
        <v>68</v>
      </c>
      <c r="I385" s="2" t="s">
        <v>24</v>
      </c>
      <c r="J385" s="4">
        <v>10140000</v>
      </c>
      <c r="K385" s="2">
        <v>4</v>
      </c>
      <c r="L385" s="2">
        <v>4</v>
      </c>
      <c r="M385" s="2">
        <v>24</v>
      </c>
      <c r="N385" s="2" t="s">
        <v>88</v>
      </c>
      <c r="O385" s="2" t="s">
        <v>26</v>
      </c>
      <c r="P385" s="2" t="s">
        <v>36</v>
      </c>
      <c r="Q385" s="3"/>
      <c r="R385" s="2"/>
    </row>
    <row r="386" spans="1:18" x14ac:dyDescent="0.3">
      <c r="A386" s="2" t="s">
        <v>719</v>
      </c>
      <c r="B386" s="2" t="s">
        <v>674</v>
      </c>
      <c r="C386" s="2" t="s">
        <v>31</v>
      </c>
      <c r="D386" s="3">
        <v>38793</v>
      </c>
      <c r="E386" s="3">
        <v>46132</v>
      </c>
      <c r="F386" s="2" t="s">
        <v>51</v>
      </c>
      <c r="G386" s="2" t="s">
        <v>52</v>
      </c>
      <c r="H386" s="2" t="s">
        <v>33</v>
      </c>
      <c r="I386" s="2" t="s">
        <v>34</v>
      </c>
      <c r="J386" s="4">
        <v>2580000</v>
      </c>
      <c r="K386" s="2">
        <v>5</v>
      </c>
      <c r="L386" s="2">
        <v>3</v>
      </c>
      <c r="M386" s="2">
        <v>11</v>
      </c>
      <c r="N386" s="2" t="s">
        <v>88</v>
      </c>
      <c r="O386" s="2" t="s">
        <v>53</v>
      </c>
      <c r="P386" s="2" t="s">
        <v>36</v>
      </c>
      <c r="Q386" s="3"/>
      <c r="R386" s="2"/>
    </row>
    <row r="387" spans="1:18" x14ac:dyDescent="0.3">
      <c r="A387" s="2" t="s">
        <v>720</v>
      </c>
      <c r="B387" s="2" t="s">
        <v>651</v>
      </c>
      <c r="C387" s="2" t="s">
        <v>31</v>
      </c>
      <c r="D387" s="3">
        <v>32602</v>
      </c>
      <c r="E387" s="3">
        <v>46059</v>
      </c>
      <c r="F387" s="2" t="s">
        <v>64</v>
      </c>
      <c r="G387" s="2" t="s">
        <v>73</v>
      </c>
      <c r="H387" s="2" t="s">
        <v>33</v>
      </c>
      <c r="I387" s="2" t="s">
        <v>82</v>
      </c>
      <c r="J387" s="4">
        <v>3970000</v>
      </c>
      <c r="K387" s="2">
        <v>5</v>
      </c>
      <c r="L387" s="2">
        <v>4</v>
      </c>
      <c r="M387" s="2">
        <v>18</v>
      </c>
      <c r="N387" s="2" t="s">
        <v>25</v>
      </c>
      <c r="O387" s="2" t="s">
        <v>35</v>
      </c>
      <c r="P387" s="2" t="s">
        <v>36</v>
      </c>
      <c r="Q387" s="3"/>
      <c r="R387" s="2"/>
    </row>
    <row r="388" spans="1:18" x14ac:dyDescent="0.3">
      <c r="A388" s="2" t="s">
        <v>721</v>
      </c>
      <c r="B388" s="2" t="s">
        <v>492</v>
      </c>
      <c r="C388" s="2" t="s">
        <v>20</v>
      </c>
      <c r="D388" s="3">
        <v>32989</v>
      </c>
      <c r="E388" s="3">
        <v>44611</v>
      </c>
      <c r="F388" s="2" t="s">
        <v>47</v>
      </c>
      <c r="G388" s="2" t="s">
        <v>90</v>
      </c>
      <c r="H388" s="2" t="s">
        <v>68</v>
      </c>
      <c r="I388" s="2" t="s">
        <v>34</v>
      </c>
      <c r="J388" s="4">
        <v>6210000</v>
      </c>
      <c r="K388" s="2">
        <v>4</v>
      </c>
      <c r="L388" s="2">
        <v>3</v>
      </c>
      <c r="M388" s="2">
        <v>19</v>
      </c>
      <c r="N388" s="2" t="s">
        <v>41</v>
      </c>
      <c r="O388" s="2" t="s">
        <v>35</v>
      </c>
      <c r="P388" s="2" t="s">
        <v>36</v>
      </c>
      <c r="Q388" s="3"/>
      <c r="R388" s="2"/>
    </row>
    <row r="389" spans="1:18" x14ac:dyDescent="0.3">
      <c r="A389" s="2" t="s">
        <v>722</v>
      </c>
      <c r="B389" s="2" t="s">
        <v>723</v>
      </c>
      <c r="C389" s="2" t="s">
        <v>31</v>
      </c>
      <c r="D389" s="3">
        <v>30882</v>
      </c>
      <c r="E389" s="3">
        <v>44541</v>
      </c>
      <c r="F389" s="2" t="s">
        <v>64</v>
      </c>
      <c r="G389" s="2" t="s">
        <v>65</v>
      </c>
      <c r="H389" s="2" t="s">
        <v>68</v>
      </c>
      <c r="I389" s="2" t="s">
        <v>24</v>
      </c>
      <c r="J389" s="4">
        <v>7010000</v>
      </c>
      <c r="K389" s="2">
        <v>4</v>
      </c>
      <c r="L389" s="2">
        <v>3</v>
      </c>
      <c r="M389" s="2">
        <v>18</v>
      </c>
      <c r="N389" s="2" t="s">
        <v>41</v>
      </c>
      <c r="O389" s="2" t="s">
        <v>26</v>
      </c>
      <c r="P389" s="2" t="s">
        <v>36</v>
      </c>
      <c r="Q389" s="3"/>
      <c r="R389" s="2"/>
    </row>
    <row r="390" spans="1:18" x14ac:dyDescent="0.3">
      <c r="A390" s="2" t="s">
        <v>724</v>
      </c>
      <c r="B390" s="2" t="s">
        <v>725</v>
      </c>
      <c r="C390" s="2" t="s">
        <v>20</v>
      </c>
      <c r="D390" s="3">
        <v>34917</v>
      </c>
      <c r="E390" s="3">
        <v>45091</v>
      </c>
      <c r="F390" s="2" t="s">
        <v>39</v>
      </c>
      <c r="G390" s="2" t="s">
        <v>40</v>
      </c>
      <c r="H390" s="2" t="s">
        <v>33</v>
      </c>
      <c r="I390" s="2" t="s">
        <v>96</v>
      </c>
      <c r="J390" s="4">
        <v>3140000</v>
      </c>
      <c r="K390" s="2">
        <v>2</v>
      </c>
      <c r="L390" s="2">
        <v>4</v>
      </c>
      <c r="M390" s="2">
        <v>2</v>
      </c>
      <c r="N390" s="2" t="s">
        <v>88</v>
      </c>
      <c r="O390" s="2" t="s">
        <v>53</v>
      </c>
      <c r="P390" s="2" t="s">
        <v>36</v>
      </c>
      <c r="Q390" s="3"/>
      <c r="R390" s="2"/>
    </row>
    <row r="391" spans="1:18" x14ac:dyDescent="0.3">
      <c r="A391" s="2" t="s">
        <v>726</v>
      </c>
      <c r="B391" s="2" t="s">
        <v>727</v>
      </c>
      <c r="C391" s="2" t="s">
        <v>31</v>
      </c>
      <c r="D391" s="3">
        <v>34561</v>
      </c>
      <c r="E391" s="3">
        <v>45753</v>
      </c>
      <c r="F391" s="2" t="s">
        <v>21</v>
      </c>
      <c r="G391" s="2" t="s">
        <v>22</v>
      </c>
      <c r="H391" s="2" t="s">
        <v>33</v>
      </c>
      <c r="I391" s="2" t="s">
        <v>44</v>
      </c>
      <c r="J391" s="4">
        <v>6410000</v>
      </c>
      <c r="K391" s="2">
        <v>3</v>
      </c>
      <c r="L391" s="2">
        <v>3</v>
      </c>
      <c r="M391" s="2">
        <v>27</v>
      </c>
      <c r="N391" s="2" t="s">
        <v>25</v>
      </c>
      <c r="O391" s="2" t="s">
        <v>53</v>
      </c>
      <c r="P391" s="2" t="s">
        <v>36</v>
      </c>
      <c r="Q391" s="3"/>
      <c r="R391" s="2"/>
    </row>
    <row r="392" spans="1:18" x14ac:dyDescent="0.3">
      <c r="A392" s="2" t="s">
        <v>728</v>
      </c>
      <c r="B392" s="2" t="s">
        <v>729</v>
      </c>
      <c r="C392" s="2" t="s">
        <v>31</v>
      </c>
      <c r="D392" s="3">
        <v>33472</v>
      </c>
      <c r="E392" s="3">
        <v>45104</v>
      </c>
      <c r="F392" s="2" t="s">
        <v>39</v>
      </c>
      <c r="G392" s="2" t="s">
        <v>170</v>
      </c>
      <c r="H392" s="2" t="s">
        <v>33</v>
      </c>
      <c r="I392" s="2" t="s">
        <v>24</v>
      </c>
      <c r="J392" s="4">
        <v>3650000</v>
      </c>
      <c r="K392" s="2">
        <v>3</v>
      </c>
      <c r="L392" s="2">
        <v>5</v>
      </c>
      <c r="M392" s="2">
        <v>27</v>
      </c>
      <c r="N392" s="2" t="s">
        <v>25</v>
      </c>
      <c r="O392" s="2" t="s">
        <v>53</v>
      </c>
      <c r="P392" s="2" t="s">
        <v>27</v>
      </c>
      <c r="Q392" s="3">
        <v>45892</v>
      </c>
      <c r="R392" s="2" t="s">
        <v>145</v>
      </c>
    </row>
    <row r="393" spans="1:18" x14ac:dyDescent="0.3">
      <c r="A393" s="2" t="s">
        <v>730</v>
      </c>
      <c r="B393" s="2" t="s">
        <v>731</v>
      </c>
      <c r="C393" s="2" t="s">
        <v>31</v>
      </c>
      <c r="D393" s="3">
        <v>33955</v>
      </c>
      <c r="E393" s="3">
        <v>44185</v>
      </c>
      <c r="F393" s="2" t="s">
        <v>47</v>
      </c>
      <c r="G393" s="2" t="s">
        <v>48</v>
      </c>
      <c r="H393" s="2" t="s">
        <v>23</v>
      </c>
      <c r="I393" s="2" t="s">
        <v>24</v>
      </c>
      <c r="J393" s="4">
        <v>14320000</v>
      </c>
      <c r="K393" s="2">
        <v>2</v>
      </c>
      <c r="L393" s="2">
        <v>3</v>
      </c>
      <c r="M393" s="2">
        <v>6</v>
      </c>
      <c r="N393" s="2" t="s">
        <v>25</v>
      </c>
      <c r="O393" s="2" t="s">
        <v>35</v>
      </c>
      <c r="P393" s="2" t="s">
        <v>36</v>
      </c>
      <c r="Q393" s="3"/>
      <c r="R393" s="2"/>
    </row>
    <row r="394" spans="1:18" x14ac:dyDescent="0.3">
      <c r="A394" s="2" t="s">
        <v>732</v>
      </c>
      <c r="B394" s="2" t="s">
        <v>294</v>
      </c>
      <c r="C394" s="2" t="s">
        <v>31</v>
      </c>
      <c r="D394" s="3">
        <v>33136</v>
      </c>
      <c r="E394" s="3">
        <v>46036</v>
      </c>
      <c r="F394" s="2" t="s">
        <v>64</v>
      </c>
      <c r="G394" s="2" t="s">
        <v>79</v>
      </c>
      <c r="H394" s="2" t="s">
        <v>33</v>
      </c>
      <c r="I394" s="2" t="s">
        <v>96</v>
      </c>
      <c r="J394" s="4">
        <v>4370000</v>
      </c>
      <c r="K394" s="2">
        <v>3</v>
      </c>
      <c r="L394" s="2">
        <v>4</v>
      </c>
      <c r="M394" s="2">
        <v>35</v>
      </c>
      <c r="N394" s="2" t="s">
        <v>41</v>
      </c>
      <c r="O394" s="2" t="s">
        <v>35</v>
      </c>
      <c r="P394" s="2" t="s">
        <v>36</v>
      </c>
      <c r="Q394" s="3"/>
      <c r="R394" s="2"/>
    </row>
    <row r="395" spans="1:18" x14ac:dyDescent="0.3">
      <c r="A395" s="2" t="s">
        <v>733</v>
      </c>
      <c r="B395" s="2" t="s">
        <v>734</v>
      </c>
      <c r="C395" s="2" t="s">
        <v>31</v>
      </c>
      <c r="D395" s="3">
        <v>31119</v>
      </c>
      <c r="E395" s="3">
        <v>44730</v>
      </c>
      <c r="F395" s="2" t="s">
        <v>51</v>
      </c>
      <c r="G395" s="2" t="s">
        <v>52</v>
      </c>
      <c r="H395" s="2" t="s">
        <v>68</v>
      </c>
      <c r="I395" s="2" t="s">
        <v>24</v>
      </c>
      <c r="J395" s="4">
        <v>5510000</v>
      </c>
      <c r="K395" s="2">
        <v>4</v>
      </c>
      <c r="L395" s="2">
        <v>5</v>
      </c>
      <c r="M395" s="2">
        <v>6</v>
      </c>
      <c r="N395" s="2" t="s">
        <v>25</v>
      </c>
      <c r="O395" s="2" t="s">
        <v>53</v>
      </c>
      <c r="P395" s="2" t="s">
        <v>36</v>
      </c>
      <c r="Q395" s="3"/>
      <c r="R395" s="2"/>
    </row>
    <row r="396" spans="1:18" x14ac:dyDescent="0.3">
      <c r="A396" s="2" t="s">
        <v>735</v>
      </c>
      <c r="B396" s="2" t="s">
        <v>507</v>
      </c>
      <c r="C396" s="2" t="s">
        <v>20</v>
      </c>
      <c r="D396" s="3">
        <v>35859</v>
      </c>
      <c r="E396" s="3">
        <v>45914</v>
      </c>
      <c r="F396" s="2" t="s">
        <v>51</v>
      </c>
      <c r="G396" s="2" t="s">
        <v>52</v>
      </c>
      <c r="H396" s="2" t="s">
        <v>23</v>
      </c>
      <c r="I396" s="2" t="s">
        <v>34</v>
      </c>
      <c r="J396" s="4">
        <v>10460000</v>
      </c>
      <c r="K396" s="2">
        <v>4</v>
      </c>
      <c r="L396" s="2">
        <v>2</v>
      </c>
      <c r="M396" s="2">
        <v>27</v>
      </c>
      <c r="N396" s="2" t="s">
        <v>41</v>
      </c>
      <c r="O396" s="2" t="s">
        <v>35</v>
      </c>
      <c r="P396" s="2" t="s">
        <v>36</v>
      </c>
      <c r="Q396" s="3"/>
      <c r="R396" s="2"/>
    </row>
    <row r="397" spans="1:18" x14ac:dyDescent="0.3">
      <c r="A397" s="2" t="s">
        <v>736</v>
      </c>
      <c r="B397" s="2" t="s">
        <v>376</v>
      </c>
      <c r="C397" s="2" t="s">
        <v>20</v>
      </c>
      <c r="D397" s="3">
        <v>33296</v>
      </c>
      <c r="E397" s="3">
        <v>43852</v>
      </c>
      <c r="F397" s="2" t="s">
        <v>47</v>
      </c>
      <c r="G397" s="2" t="s">
        <v>127</v>
      </c>
      <c r="H397" s="2" t="s">
        <v>33</v>
      </c>
      <c r="I397" s="2" t="s">
        <v>82</v>
      </c>
      <c r="J397" s="4">
        <v>3760000</v>
      </c>
      <c r="K397" s="2">
        <v>3</v>
      </c>
      <c r="L397" s="2">
        <v>3</v>
      </c>
      <c r="M397" s="2">
        <v>10</v>
      </c>
      <c r="N397" s="2" t="s">
        <v>25</v>
      </c>
      <c r="O397" s="2" t="s">
        <v>53</v>
      </c>
      <c r="P397" s="2" t="s">
        <v>36</v>
      </c>
      <c r="Q397" s="3"/>
      <c r="R397" s="2"/>
    </row>
    <row r="398" spans="1:18" x14ac:dyDescent="0.3">
      <c r="A398" s="2" t="s">
        <v>737</v>
      </c>
      <c r="B398" s="2" t="s">
        <v>738</v>
      </c>
      <c r="C398" s="2" t="s">
        <v>31</v>
      </c>
      <c r="D398" s="3">
        <v>33484</v>
      </c>
      <c r="E398" s="3">
        <v>44777</v>
      </c>
      <c r="F398" s="2" t="s">
        <v>51</v>
      </c>
      <c r="G398" s="2" t="s">
        <v>52</v>
      </c>
      <c r="H398" s="2" t="s">
        <v>33</v>
      </c>
      <c r="I398" s="2" t="s">
        <v>24</v>
      </c>
      <c r="J398" s="4">
        <v>3270000</v>
      </c>
      <c r="K398" s="2">
        <v>4</v>
      </c>
      <c r="L398" s="2">
        <v>3</v>
      </c>
      <c r="M398" s="2">
        <v>22</v>
      </c>
      <c r="N398" s="2" t="s">
        <v>41</v>
      </c>
      <c r="O398" s="2" t="s">
        <v>26</v>
      </c>
      <c r="P398" s="2" t="s">
        <v>36</v>
      </c>
      <c r="Q398" s="3"/>
      <c r="R398" s="2"/>
    </row>
    <row r="399" spans="1:18" x14ac:dyDescent="0.3">
      <c r="A399" s="2" t="s">
        <v>739</v>
      </c>
      <c r="B399" s="2" t="s">
        <v>740</v>
      </c>
      <c r="C399" s="2" t="s">
        <v>20</v>
      </c>
      <c r="D399" s="3">
        <v>38328</v>
      </c>
      <c r="E399" s="3">
        <v>45919</v>
      </c>
      <c r="F399" s="2" t="s">
        <v>51</v>
      </c>
      <c r="G399" s="2" t="s">
        <v>52</v>
      </c>
      <c r="H399" s="2" t="s">
        <v>33</v>
      </c>
      <c r="I399" s="2" t="s">
        <v>24</v>
      </c>
      <c r="J399" s="4">
        <v>2540000</v>
      </c>
      <c r="K399" s="2">
        <v>5</v>
      </c>
      <c r="L399" s="2">
        <v>1</v>
      </c>
      <c r="M399" s="2">
        <v>15</v>
      </c>
      <c r="N399" s="2" t="s">
        <v>41</v>
      </c>
      <c r="O399" s="2" t="s">
        <v>26</v>
      </c>
      <c r="P399" s="2" t="s">
        <v>27</v>
      </c>
      <c r="Q399" s="3">
        <v>46202</v>
      </c>
      <c r="R399" s="2" t="s">
        <v>155</v>
      </c>
    </row>
    <row r="400" spans="1:18" x14ac:dyDescent="0.3">
      <c r="A400" s="2" t="s">
        <v>741</v>
      </c>
      <c r="B400" s="2" t="s">
        <v>742</v>
      </c>
      <c r="C400" s="2" t="s">
        <v>20</v>
      </c>
      <c r="D400" s="3">
        <v>33298</v>
      </c>
      <c r="E400" s="3">
        <v>43290</v>
      </c>
      <c r="F400" s="2" t="s">
        <v>47</v>
      </c>
      <c r="G400" s="2" t="s">
        <v>48</v>
      </c>
      <c r="H400" s="2" t="s">
        <v>68</v>
      </c>
      <c r="I400" s="2" t="s">
        <v>24</v>
      </c>
      <c r="J400" s="4">
        <v>9270000</v>
      </c>
      <c r="K400" s="2"/>
      <c r="L400" s="2">
        <v>4</v>
      </c>
      <c r="M400" s="2">
        <v>8</v>
      </c>
      <c r="N400" s="2" t="s">
        <v>41</v>
      </c>
      <c r="O400" s="2" t="s">
        <v>26</v>
      </c>
      <c r="P400" s="2" t="s">
        <v>36</v>
      </c>
      <c r="Q400" s="3"/>
      <c r="R400" s="2"/>
    </row>
    <row r="401" spans="1:18" x14ac:dyDescent="0.3">
      <c r="A401" s="2" t="s">
        <v>743</v>
      </c>
      <c r="B401" s="2" t="s">
        <v>242</v>
      </c>
      <c r="C401" s="2" t="s">
        <v>31</v>
      </c>
      <c r="D401" s="3">
        <v>32638</v>
      </c>
      <c r="E401" s="3">
        <v>43412</v>
      </c>
      <c r="F401" s="2" t="s">
        <v>51</v>
      </c>
      <c r="G401" s="2" t="s">
        <v>93</v>
      </c>
      <c r="H401" s="2" t="s">
        <v>68</v>
      </c>
      <c r="I401" s="2" t="s">
        <v>24</v>
      </c>
      <c r="J401" s="4">
        <v>6900000</v>
      </c>
      <c r="K401" s="2">
        <v>4</v>
      </c>
      <c r="L401" s="2">
        <v>3</v>
      </c>
      <c r="M401" s="2">
        <v>18</v>
      </c>
      <c r="N401" s="2" t="s">
        <v>41</v>
      </c>
      <c r="O401" s="2" t="s">
        <v>26</v>
      </c>
      <c r="P401" s="2" t="s">
        <v>27</v>
      </c>
      <c r="Q401" s="3">
        <v>45826</v>
      </c>
      <c r="R401" s="2" t="s">
        <v>61</v>
      </c>
    </row>
    <row r="402" spans="1:18" x14ac:dyDescent="0.3">
      <c r="A402" s="2" t="s">
        <v>744</v>
      </c>
      <c r="B402" s="2" t="s">
        <v>294</v>
      </c>
      <c r="C402" s="2" t="s">
        <v>31</v>
      </c>
      <c r="D402" s="3">
        <v>34017</v>
      </c>
      <c r="E402" s="3">
        <v>46059</v>
      </c>
      <c r="F402" s="2" t="s">
        <v>47</v>
      </c>
      <c r="G402" s="2" t="s">
        <v>127</v>
      </c>
      <c r="H402" s="2" t="s">
        <v>23</v>
      </c>
      <c r="I402" s="2" t="s">
        <v>24</v>
      </c>
      <c r="J402" s="4">
        <v>15320000</v>
      </c>
      <c r="K402" s="2">
        <v>3</v>
      </c>
      <c r="L402" s="2">
        <v>4</v>
      </c>
      <c r="M402" s="2">
        <v>21</v>
      </c>
      <c r="N402" s="2" t="s">
        <v>25</v>
      </c>
      <c r="O402" s="2" t="s">
        <v>35</v>
      </c>
      <c r="P402" s="2" t="s">
        <v>36</v>
      </c>
      <c r="Q402" s="3"/>
      <c r="R402" s="2"/>
    </row>
    <row r="403" spans="1:18" x14ac:dyDescent="0.3">
      <c r="A403" s="2" t="s">
        <v>745</v>
      </c>
      <c r="B403" s="2" t="s">
        <v>746</v>
      </c>
      <c r="C403" s="2" t="s">
        <v>20</v>
      </c>
      <c r="D403" s="3">
        <v>36928</v>
      </c>
      <c r="E403" s="3">
        <v>46115</v>
      </c>
      <c r="F403" s="2" t="s">
        <v>114</v>
      </c>
      <c r="G403" s="2" t="s">
        <v>150</v>
      </c>
      <c r="H403" s="2" t="s">
        <v>68</v>
      </c>
      <c r="I403" s="2" t="s">
        <v>24</v>
      </c>
      <c r="J403" s="4">
        <v>5950000</v>
      </c>
      <c r="K403" s="2">
        <v>2</v>
      </c>
      <c r="L403" s="2">
        <v>4</v>
      </c>
      <c r="M403" s="2">
        <v>19</v>
      </c>
      <c r="N403" s="2" t="s">
        <v>41</v>
      </c>
      <c r="O403" s="2" t="s">
        <v>26</v>
      </c>
      <c r="P403" s="2" t="s">
        <v>36</v>
      </c>
      <c r="Q403" s="3"/>
      <c r="R403" s="2"/>
    </row>
    <row r="404" spans="1:18" x14ac:dyDescent="0.3">
      <c r="A404" s="2" t="s">
        <v>747</v>
      </c>
      <c r="B404" s="2" t="s">
        <v>748</v>
      </c>
      <c r="C404" s="2" t="s">
        <v>20</v>
      </c>
      <c r="D404" s="3">
        <v>32494</v>
      </c>
      <c r="E404" s="3">
        <v>44286</v>
      </c>
      <c r="F404" s="2" t="s">
        <v>64</v>
      </c>
      <c r="G404" s="2" t="s">
        <v>65</v>
      </c>
      <c r="H404" s="2" t="s">
        <v>23</v>
      </c>
      <c r="I404" s="2" t="s">
        <v>24</v>
      </c>
      <c r="J404" s="4">
        <v>14160000</v>
      </c>
      <c r="K404" s="2">
        <v>3</v>
      </c>
      <c r="L404" s="2">
        <v>5</v>
      </c>
      <c r="M404" s="2">
        <v>22</v>
      </c>
      <c r="N404" s="2" t="s">
        <v>25</v>
      </c>
      <c r="O404" s="2" t="s">
        <v>53</v>
      </c>
      <c r="P404" s="2" t="s">
        <v>36</v>
      </c>
      <c r="Q404" s="3"/>
      <c r="R404" s="2"/>
    </row>
    <row r="405" spans="1:18" x14ac:dyDescent="0.3">
      <c r="A405" s="2" t="s">
        <v>749</v>
      </c>
      <c r="B405" s="2" t="s">
        <v>495</v>
      </c>
      <c r="C405" s="2" t="s">
        <v>20</v>
      </c>
      <c r="D405" s="3">
        <v>35613</v>
      </c>
      <c r="E405" s="3">
        <v>46095</v>
      </c>
      <c r="F405" s="2" t="s">
        <v>64</v>
      </c>
      <c r="G405" s="2" t="s">
        <v>79</v>
      </c>
      <c r="H405" s="2" t="s">
        <v>33</v>
      </c>
      <c r="I405" s="2" t="s">
        <v>24</v>
      </c>
      <c r="J405" s="4">
        <v>3360000</v>
      </c>
      <c r="K405" s="2">
        <v>5</v>
      </c>
      <c r="L405" s="2">
        <v>3</v>
      </c>
      <c r="M405" s="2">
        <v>2</v>
      </c>
      <c r="N405" s="2" t="s">
        <v>88</v>
      </c>
      <c r="O405" s="2" t="s">
        <v>26</v>
      </c>
      <c r="P405" s="2" t="s">
        <v>27</v>
      </c>
      <c r="Q405" s="3">
        <v>46190</v>
      </c>
      <c r="R405" s="2" t="s">
        <v>235</v>
      </c>
    </row>
    <row r="406" spans="1:18" x14ac:dyDescent="0.3">
      <c r="A406" s="2" t="s">
        <v>750</v>
      </c>
      <c r="B406" s="2" t="s">
        <v>751</v>
      </c>
      <c r="C406" s="2" t="s">
        <v>31</v>
      </c>
      <c r="D406" s="3">
        <v>33676</v>
      </c>
      <c r="E406" s="3">
        <v>44907</v>
      </c>
      <c r="F406" s="2" t="s">
        <v>56</v>
      </c>
      <c r="G406" s="2" t="s">
        <v>142</v>
      </c>
      <c r="H406" s="2" t="s">
        <v>33</v>
      </c>
      <c r="I406" s="2" t="s">
        <v>206</v>
      </c>
      <c r="J406" s="4">
        <v>5280000</v>
      </c>
      <c r="K406" s="2">
        <v>4</v>
      </c>
      <c r="L406" s="2">
        <v>3</v>
      </c>
      <c r="M406" s="2">
        <v>27</v>
      </c>
      <c r="N406" s="2" t="s">
        <v>41</v>
      </c>
      <c r="O406" s="2" t="s">
        <v>26</v>
      </c>
      <c r="P406" s="2" t="s">
        <v>36</v>
      </c>
      <c r="Q406" s="3"/>
      <c r="R406" s="2"/>
    </row>
    <row r="407" spans="1:18" x14ac:dyDescent="0.3">
      <c r="A407" s="2" t="s">
        <v>752</v>
      </c>
      <c r="B407" s="2" t="s">
        <v>81</v>
      </c>
      <c r="C407" s="2" t="s">
        <v>20</v>
      </c>
      <c r="D407" s="3">
        <v>34346</v>
      </c>
      <c r="E407" s="3">
        <v>44645</v>
      </c>
      <c r="F407" s="2" t="s">
        <v>21</v>
      </c>
      <c r="G407" s="2" t="s">
        <v>22</v>
      </c>
      <c r="H407" s="2" t="s">
        <v>68</v>
      </c>
      <c r="I407" s="2" t="s">
        <v>34</v>
      </c>
      <c r="J407" s="4">
        <v>10460000</v>
      </c>
      <c r="K407" s="2">
        <v>4</v>
      </c>
      <c r="L407" s="2">
        <v>3</v>
      </c>
      <c r="M407" s="2">
        <v>0</v>
      </c>
      <c r="N407" s="2" t="s">
        <v>88</v>
      </c>
      <c r="O407" s="2" t="s">
        <v>35</v>
      </c>
      <c r="P407" s="2" t="s">
        <v>27</v>
      </c>
      <c r="Q407" s="3">
        <v>46159</v>
      </c>
      <c r="R407" s="2" t="s">
        <v>61</v>
      </c>
    </row>
    <row r="408" spans="1:18" x14ac:dyDescent="0.3">
      <c r="A408" s="2" t="s">
        <v>753</v>
      </c>
      <c r="B408" s="2" t="s">
        <v>754</v>
      </c>
      <c r="C408" s="2" t="s">
        <v>20</v>
      </c>
      <c r="D408" s="3">
        <v>32894</v>
      </c>
      <c r="E408" s="3">
        <v>42999</v>
      </c>
      <c r="F408" s="2" t="s">
        <v>56</v>
      </c>
      <c r="G408" s="2" t="s">
        <v>142</v>
      </c>
      <c r="H408" s="2" t="s">
        <v>68</v>
      </c>
      <c r="I408" s="2" t="s">
        <v>34</v>
      </c>
      <c r="J408" s="4">
        <v>7590000</v>
      </c>
      <c r="K408" s="2">
        <v>3</v>
      </c>
      <c r="L408" s="2">
        <v>4</v>
      </c>
      <c r="M408" s="2">
        <v>3</v>
      </c>
      <c r="N408" s="2" t="s">
        <v>25</v>
      </c>
      <c r="O408" s="2" t="s">
        <v>26</v>
      </c>
      <c r="P408" s="2" t="s">
        <v>36</v>
      </c>
      <c r="Q408" s="3"/>
      <c r="R408" s="2"/>
    </row>
    <row r="409" spans="1:18" x14ac:dyDescent="0.3">
      <c r="A409" s="2" t="s">
        <v>755</v>
      </c>
      <c r="B409" s="2" t="s">
        <v>227</v>
      </c>
      <c r="C409" s="2" t="s">
        <v>20</v>
      </c>
      <c r="D409" s="3">
        <v>37496</v>
      </c>
      <c r="E409" s="3">
        <v>45107</v>
      </c>
      <c r="F409" s="2" t="s">
        <v>51</v>
      </c>
      <c r="G409" s="2" t="s">
        <v>93</v>
      </c>
      <c r="H409" s="2" t="s">
        <v>23</v>
      </c>
      <c r="I409" s="2" t="s">
        <v>24</v>
      </c>
      <c r="J409" s="4">
        <v>8590000</v>
      </c>
      <c r="K409" s="2">
        <v>3</v>
      </c>
      <c r="L409" s="2">
        <v>2</v>
      </c>
      <c r="M409" s="2">
        <v>15</v>
      </c>
      <c r="N409" s="2" t="s">
        <v>88</v>
      </c>
      <c r="O409" s="2" t="s">
        <v>35</v>
      </c>
      <c r="P409" s="2" t="s">
        <v>36</v>
      </c>
      <c r="Q409" s="3"/>
      <c r="R409" s="2"/>
    </row>
    <row r="410" spans="1:18" x14ac:dyDescent="0.3">
      <c r="A410" s="2" t="s">
        <v>756</v>
      </c>
      <c r="B410" s="2" t="s">
        <v>757</v>
      </c>
      <c r="C410" s="2" t="s">
        <v>31</v>
      </c>
      <c r="D410" s="3">
        <v>32143</v>
      </c>
      <c r="E410" s="3">
        <v>45697</v>
      </c>
      <c r="F410" s="2" t="s">
        <v>56</v>
      </c>
      <c r="G410" s="2" t="s">
        <v>60</v>
      </c>
      <c r="H410" s="2" t="s">
        <v>23</v>
      </c>
      <c r="I410" s="2" t="s">
        <v>24</v>
      </c>
      <c r="J410" s="4">
        <v>13570000</v>
      </c>
      <c r="K410" s="2">
        <v>4</v>
      </c>
      <c r="L410" s="2">
        <v>4</v>
      </c>
      <c r="M410" s="2">
        <v>13</v>
      </c>
      <c r="N410" s="2" t="s">
        <v>25</v>
      </c>
      <c r="O410" s="2" t="s">
        <v>26</v>
      </c>
      <c r="P410" s="2" t="s">
        <v>36</v>
      </c>
      <c r="Q410" s="3"/>
      <c r="R410" s="2"/>
    </row>
    <row r="411" spans="1:18" x14ac:dyDescent="0.3">
      <c r="A411" s="2" t="s">
        <v>758</v>
      </c>
      <c r="B411" s="2" t="s">
        <v>330</v>
      </c>
      <c r="C411" s="2" t="s">
        <v>20</v>
      </c>
      <c r="D411" s="3">
        <v>29378</v>
      </c>
      <c r="E411" s="3">
        <v>45878</v>
      </c>
      <c r="F411" s="2" t="s">
        <v>114</v>
      </c>
      <c r="G411" s="2" t="s">
        <v>196</v>
      </c>
      <c r="H411" s="2" t="s">
        <v>23</v>
      </c>
      <c r="I411" s="2" t="s">
        <v>34</v>
      </c>
      <c r="J411" s="4">
        <v>13410000</v>
      </c>
      <c r="K411" s="2">
        <v>3</v>
      </c>
      <c r="L411" s="2">
        <v>2</v>
      </c>
      <c r="M411" s="2">
        <v>29</v>
      </c>
      <c r="N411" s="2" t="s">
        <v>41</v>
      </c>
      <c r="O411" s="2" t="s">
        <v>26</v>
      </c>
      <c r="P411" s="2" t="s">
        <v>36</v>
      </c>
      <c r="Q411" s="3"/>
      <c r="R411" s="2"/>
    </row>
    <row r="412" spans="1:18" x14ac:dyDescent="0.3">
      <c r="A412" s="2" t="s">
        <v>759</v>
      </c>
      <c r="B412" s="2" t="s">
        <v>697</v>
      </c>
      <c r="C412" s="2" t="s">
        <v>20</v>
      </c>
      <c r="D412" s="3">
        <v>35227</v>
      </c>
      <c r="E412" s="3">
        <v>43686</v>
      </c>
      <c r="F412" s="2" t="s">
        <v>51</v>
      </c>
      <c r="G412" s="2" t="s">
        <v>52</v>
      </c>
      <c r="H412" s="2" t="s">
        <v>23</v>
      </c>
      <c r="I412" s="2" t="s">
        <v>24</v>
      </c>
      <c r="J412" s="4">
        <v>11800000</v>
      </c>
      <c r="K412" s="2">
        <v>1</v>
      </c>
      <c r="L412" s="2">
        <v>4</v>
      </c>
      <c r="M412" s="2">
        <v>10</v>
      </c>
      <c r="N412" s="2" t="s">
        <v>41</v>
      </c>
      <c r="O412" s="2" t="s">
        <v>35</v>
      </c>
      <c r="P412" s="2" t="s">
        <v>36</v>
      </c>
      <c r="Q412" s="3"/>
      <c r="R412" s="2"/>
    </row>
    <row r="413" spans="1:18" x14ac:dyDescent="0.3">
      <c r="A413" s="2" t="s">
        <v>760</v>
      </c>
      <c r="B413" s="2" t="s">
        <v>210</v>
      </c>
      <c r="C413" s="2" t="s">
        <v>31</v>
      </c>
      <c r="D413" s="3">
        <v>33735</v>
      </c>
      <c r="E413" s="3">
        <v>44926</v>
      </c>
      <c r="F413" s="2" t="s">
        <v>245</v>
      </c>
      <c r="G413" s="2" t="s">
        <v>90</v>
      </c>
      <c r="H413" s="2" t="s">
        <v>33</v>
      </c>
      <c r="I413" s="2" t="s">
        <v>24</v>
      </c>
      <c r="J413" s="4">
        <v>4610000</v>
      </c>
      <c r="K413" s="2">
        <v>4</v>
      </c>
      <c r="L413" s="2">
        <v>1</v>
      </c>
      <c r="M413" s="2">
        <v>22</v>
      </c>
      <c r="N413" s="2" t="s">
        <v>25</v>
      </c>
      <c r="O413" s="2" t="s">
        <v>26</v>
      </c>
      <c r="P413" s="2" t="s">
        <v>36</v>
      </c>
      <c r="Q413" s="3"/>
      <c r="R413" s="2"/>
    </row>
    <row r="414" spans="1:18" x14ac:dyDescent="0.3">
      <c r="A414" s="2" t="s">
        <v>761</v>
      </c>
      <c r="B414" s="2" t="s">
        <v>762</v>
      </c>
      <c r="C414" s="2" t="s">
        <v>31</v>
      </c>
      <c r="D414" s="3">
        <v>32154</v>
      </c>
      <c r="E414" s="3">
        <v>45468</v>
      </c>
      <c r="F414" s="2" t="s">
        <v>64</v>
      </c>
      <c r="G414" s="2" t="s">
        <v>73</v>
      </c>
      <c r="H414" s="2" t="s">
        <v>33</v>
      </c>
      <c r="I414" s="2" t="s">
        <v>24</v>
      </c>
      <c r="J414" s="4">
        <v>4310000</v>
      </c>
      <c r="K414" s="2">
        <v>2</v>
      </c>
      <c r="L414" s="2">
        <v>5</v>
      </c>
      <c r="M414" s="2">
        <v>14</v>
      </c>
      <c r="N414" s="2" t="s">
        <v>41</v>
      </c>
      <c r="O414" s="2" t="s">
        <v>53</v>
      </c>
      <c r="P414" s="2" t="s">
        <v>36</v>
      </c>
      <c r="Q414" s="3"/>
      <c r="R414" s="2"/>
    </row>
    <row r="415" spans="1:18" x14ac:dyDescent="0.3">
      <c r="A415" s="2" t="s">
        <v>763</v>
      </c>
      <c r="B415" s="2" t="s">
        <v>72</v>
      </c>
      <c r="C415" s="2" t="s">
        <v>229</v>
      </c>
      <c r="D415" s="3">
        <v>34321</v>
      </c>
      <c r="E415" s="3">
        <v>45532</v>
      </c>
      <c r="F415" s="2" t="s">
        <v>51</v>
      </c>
      <c r="G415" s="2" t="s">
        <v>52</v>
      </c>
      <c r="H415" s="2" t="s">
        <v>23</v>
      </c>
      <c r="I415" s="2" t="s">
        <v>24</v>
      </c>
      <c r="J415" s="4">
        <v>11210000</v>
      </c>
      <c r="K415" s="2">
        <v>4</v>
      </c>
      <c r="L415" s="2">
        <v>3</v>
      </c>
      <c r="M415" s="2">
        <v>26</v>
      </c>
      <c r="N415" s="2" t="s">
        <v>25</v>
      </c>
      <c r="O415" s="2" t="s">
        <v>53</v>
      </c>
      <c r="P415" s="2" t="s">
        <v>36</v>
      </c>
      <c r="Q415" s="3"/>
      <c r="R415" s="2"/>
    </row>
    <row r="416" spans="1:18" x14ac:dyDescent="0.3">
      <c r="A416" s="2" t="s">
        <v>764</v>
      </c>
      <c r="B416" s="2" t="s">
        <v>674</v>
      </c>
      <c r="C416" s="2" t="s">
        <v>765</v>
      </c>
      <c r="D416" s="3">
        <v>31850</v>
      </c>
      <c r="E416" s="3">
        <v>43590</v>
      </c>
      <c r="F416" s="2" t="s">
        <v>21</v>
      </c>
      <c r="G416" s="2" t="s">
        <v>32</v>
      </c>
      <c r="H416" s="2" t="s">
        <v>33</v>
      </c>
      <c r="I416" s="2" t="s">
        <v>34</v>
      </c>
      <c r="J416" s="4">
        <v>6110000</v>
      </c>
      <c r="K416" s="2">
        <v>4</v>
      </c>
      <c r="L416" s="2">
        <v>3</v>
      </c>
      <c r="M416" s="2">
        <v>6</v>
      </c>
      <c r="N416" s="2" t="s">
        <v>41</v>
      </c>
      <c r="O416" s="2" t="s">
        <v>26</v>
      </c>
      <c r="P416" s="2" t="s">
        <v>36</v>
      </c>
      <c r="Q416" s="3"/>
      <c r="R416" s="2"/>
    </row>
    <row r="417" spans="1:18" x14ac:dyDescent="0.3">
      <c r="A417" s="2" t="s">
        <v>766</v>
      </c>
      <c r="B417" s="2" t="s">
        <v>463</v>
      </c>
      <c r="C417" s="2" t="s">
        <v>31</v>
      </c>
      <c r="D417" s="3">
        <v>29373</v>
      </c>
      <c r="E417" s="3">
        <v>45102</v>
      </c>
      <c r="F417" s="2" t="s">
        <v>64</v>
      </c>
      <c r="G417" s="2" t="s">
        <v>65</v>
      </c>
      <c r="H417" s="2" t="s">
        <v>33</v>
      </c>
      <c r="I417" s="2" t="s">
        <v>24</v>
      </c>
      <c r="J417" s="4">
        <v>4960000</v>
      </c>
      <c r="K417" s="2">
        <v>3</v>
      </c>
      <c r="L417" s="2">
        <v>1</v>
      </c>
      <c r="M417" s="2">
        <v>18</v>
      </c>
      <c r="N417" s="2" t="s">
        <v>41</v>
      </c>
      <c r="O417" s="2" t="s">
        <v>26</v>
      </c>
      <c r="P417" s="2" t="s">
        <v>27</v>
      </c>
      <c r="Q417" s="3">
        <v>46107</v>
      </c>
      <c r="R417" s="2" t="s">
        <v>61</v>
      </c>
    </row>
    <row r="418" spans="1:18" x14ac:dyDescent="0.3">
      <c r="A418" s="2" t="s">
        <v>767</v>
      </c>
      <c r="B418" s="2" t="s">
        <v>768</v>
      </c>
      <c r="C418" s="2" t="s">
        <v>20</v>
      </c>
      <c r="D418" s="3">
        <v>37420</v>
      </c>
      <c r="E418" s="3">
        <v>45945</v>
      </c>
      <c r="F418" s="2" t="s">
        <v>51</v>
      </c>
      <c r="G418" s="2" t="s">
        <v>93</v>
      </c>
      <c r="H418" s="2" t="s">
        <v>68</v>
      </c>
      <c r="I418" s="2" t="s">
        <v>24</v>
      </c>
      <c r="J418" s="4">
        <v>4670000</v>
      </c>
      <c r="K418" s="2">
        <v>4</v>
      </c>
      <c r="L418" s="2">
        <v>3</v>
      </c>
      <c r="M418" s="2">
        <v>21</v>
      </c>
      <c r="N418" s="2" t="s">
        <v>25</v>
      </c>
      <c r="O418" s="2" t="s">
        <v>35</v>
      </c>
      <c r="P418" s="2" t="s">
        <v>36</v>
      </c>
      <c r="Q418" s="3"/>
      <c r="R418" s="2"/>
    </row>
    <row r="419" spans="1:18" x14ac:dyDescent="0.3">
      <c r="A419" s="2" t="s">
        <v>769</v>
      </c>
      <c r="B419" s="2" t="s">
        <v>770</v>
      </c>
      <c r="C419" s="2" t="s">
        <v>20</v>
      </c>
      <c r="D419" s="3">
        <v>35262</v>
      </c>
      <c r="E419" s="3">
        <v>43465</v>
      </c>
      <c r="F419" s="2" t="s">
        <v>64</v>
      </c>
      <c r="G419" s="2" t="s">
        <v>65</v>
      </c>
      <c r="H419" s="2" t="s">
        <v>33</v>
      </c>
      <c r="I419" s="2" t="s">
        <v>82</v>
      </c>
      <c r="J419" s="4">
        <v>4200000</v>
      </c>
      <c r="K419" s="2">
        <v>5</v>
      </c>
      <c r="L419" s="2">
        <v>2</v>
      </c>
      <c r="M419" s="2">
        <v>20</v>
      </c>
      <c r="N419" s="2" t="s">
        <v>41</v>
      </c>
      <c r="O419" s="2" t="s">
        <v>35</v>
      </c>
      <c r="P419" s="2" t="s">
        <v>36</v>
      </c>
      <c r="Q419" s="3"/>
      <c r="R419" s="2"/>
    </row>
    <row r="420" spans="1:18" x14ac:dyDescent="0.3">
      <c r="A420" s="2" t="s">
        <v>771</v>
      </c>
      <c r="B420" s="2" t="s">
        <v>664</v>
      </c>
      <c r="C420" s="2" t="s">
        <v>20</v>
      </c>
      <c r="D420" s="3">
        <v>37687</v>
      </c>
      <c r="E420" s="3">
        <v>45615</v>
      </c>
      <c r="F420" s="2" t="s">
        <v>64</v>
      </c>
      <c r="G420" s="2" t="s">
        <v>65</v>
      </c>
      <c r="H420" s="2" t="s">
        <v>33</v>
      </c>
      <c r="I420" s="2" t="s">
        <v>34</v>
      </c>
      <c r="J420" s="4">
        <v>3950000</v>
      </c>
      <c r="K420" s="2">
        <v>4</v>
      </c>
      <c r="L420" s="2">
        <v>4</v>
      </c>
      <c r="M420" s="2">
        <v>27</v>
      </c>
      <c r="N420" s="2" t="s">
        <v>41</v>
      </c>
      <c r="O420" s="2" t="s">
        <v>26</v>
      </c>
      <c r="P420" s="2" t="s">
        <v>36</v>
      </c>
      <c r="Q420" s="3"/>
      <c r="R420" s="2"/>
    </row>
    <row r="421" spans="1:18" x14ac:dyDescent="0.3">
      <c r="A421" s="2" t="s">
        <v>772</v>
      </c>
      <c r="B421" s="2" t="s">
        <v>773</v>
      </c>
      <c r="C421" s="2" t="s">
        <v>31</v>
      </c>
      <c r="D421" s="3">
        <v>33038</v>
      </c>
      <c r="E421" s="3">
        <v>45202</v>
      </c>
      <c r="F421" s="2" t="s">
        <v>47</v>
      </c>
      <c r="G421" s="2" t="s">
        <v>90</v>
      </c>
      <c r="H421" s="2" t="s">
        <v>33</v>
      </c>
      <c r="I421" s="2" t="s">
        <v>24</v>
      </c>
      <c r="J421" s="4">
        <v>4290000</v>
      </c>
      <c r="K421" s="2"/>
      <c r="L421" s="2">
        <v>4</v>
      </c>
      <c r="M421" s="2">
        <v>10</v>
      </c>
      <c r="N421" s="2" t="s">
        <v>41</v>
      </c>
      <c r="O421" s="2" t="s">
        <v>53</v>
      </c>
      <c r="P421" s="2" t="s">
        <v>36</v>
      </c>
      <c r="Q421" s="3"/>
      <c r="R421" s="2"/>
    </row>
    <row r="422" spans="1:18" x14ac:dyDescent="0.3">
      <c r="A422" s="2" t="s">
        <v>774</v>
      </c>
      <c r="B422" s="2" t="s">
        <v>775</v>
      </c>
      <c r="C422" s="2" t="s">
        <v>31</v>
      </c>
      <c r="D422" s="3">
        <v>35096</v>
      </c>
      <c r="E422" s="3">
        <v>45869</v>
      </c>
      <c r="F422" s="2" t="s">
        <v>51</v>
      </c>
      <c r="G422" s="2" t="s">
        <v>52</v>
      </c>
      <c r="H422" s="2" t="s">
        <v>23</v>
      </c>
      <c r="I422" s="2" t="s">
        <v>82</v>
      </c>
      <c r="J422" s="4">
        <v>11580000</v>
      </c>
      <c r="K422" s="2">
        <v>3</v>
      </c>
      <c r="L422" s="2">
        <v>4</v>
      </c>
      <c r="M422" s="2">
        <v>25</v>
      </c>
      <c r="N422" s="2" t="s">
        <v>88</v>
      </c>
      <c r="O422" s="2" t="s">
        <v>35</v>
      </c>
      <c r="P422" s="2" t="s">
        <v>36</v>
      </c>
      <c r="Q422" s="3"/>
      <c r="R422" s="2"/>
    </row>
    <row r="423" spans="1:18" x14ac:dyDescent="0.3">
      <c r="A423" s="2" t="s">
        <v>776</v>
      </c>
      <c r="B423" s="2" t="s">
        <v>777</v>
      </c>
      <c r="C423" s="2" t="s">
        <v>31</v>
      </c>
      <c r="D423" s="3">
        <v>32366</v>
      </c>
      <c r="E423" s="3">
        <v>44236</v>
      </c>
      <c r="F423" s="2" t="s">
        <v>39</v>
      </c>
      <c r="G423" s="2" t="s">
        <v>40</v>
      </c>
      <c r="H423" s="2" t="s">
        <v>33</v>
      </c>
      <c r="I423" s="2" t="s">
        <v>24</v>
      </c>
      <c r="J423" s="4">
        <v>3510000</v>
      </c>
      <c r="K423" s="2">
        <v>2</v>
      </c>
      <c r="L423" s="2">
        <v>5</v>
      </c>
      <c r="M423" s="2">
        <v>0</v>
      </c>
      <c r="N423" s="2" t="s">
        <v>88</v>
      </c>
      <c r="O423" s="2" t="s">
        <v>26</v>
      </c>
      <c r="P423" s="2" t="s">
        <v>36</v>
      </c>
      <c r="Q423" s="3"/>
      <c r="R423" s="2"/>
    </row>
    <row r="424" spans="1:18" x14ac:dyDescent="0.3">
      <c r="A424" s="2" t="s">
        <v>778</v>
      </c>
      <c r="B424" s="2" t="s">
        <v>283</v>
      </c>
      <c r="C424" s="2" t="s">
        <v>31</v>
      </c>
      <c r="D424" s="3">
        <v>33643</v>
      </c>
      <c r="E424" s="3">
        <v>44920</v>
      </c>
      <c r="F424" s="2" t="s">
        <v>64</v>
      </c>
      <c r="G424" s="2" t="s">
        <v>73</v>
      </c>
      <c r="H424" s="2" t="s">
        <v>23</v>
      </c>
      <c r="I424" s="2" t="s">
        <v>24</v>
      </c>
      <c r="J424" s="4">
        <v>13770000</v>
      </c>
      <c r="K424" s="2">
        <v>5</v>
      </c>
      <c r="L424" s="2">
        <v>3</v>
      </c>
      <c r="M424" s="2">
        <v>11</v>
      </c>
      <c r="N424" s="2" t="s">
        <v>41</v>
      </c>
      <c r="O424" s="2" t="s">
        <v>53</v>
      </c>
      <c r="P424" s="2" t="s">
        <v>36</v>
      </c>
      <c r="Q424" s="3"/>
      <c r="R424" s="2"/>
    </row>
    <row r="425" spans="1:18" x14ac:dyDescent="0.3">
      <c r="A425" s="2" t="s">
        <v>779</v>
      </c>
      <c r="B425" s="2" t="s">
        <v>403</v>
      </c>
      <c r="C425" s="2" t="s">
        <v>20</v>
      </c>
      <c r="D425" s="3">
        <v>31123</v>
      </c>
      <c r="E425" s="3">
        <v>45591</v>
      </c>
      <c r="F425" s="2" t="s">
        <v>51</v>
      </c>
      <c r="G425" s="2" t="s">
        <v>93</v>
      </c>
      <c r="H425" s="2" t="s">
        <v>33</v>
      </c>
      <c r="I425" s="2" t="s">
        <v>34</v>
      </c>
      <c r="J425" s="4">
        <v>2760000</v>
      </c>
      <c r="K425" s="2">
        <v>3</v>
      </c>
      <c r="L425" s="2">
        <v>3</v>
      </c>
      <c r="M425" s="2">
        <v>9</v>
      </c>
      <c r="N425" s="2" t="s">
        <v>41</v>
      </c>
      <c r="O425" s="2" t="s">
        <v>26</v>
      </c>
      <c r="P425" s="2" t="s">
        <v>36</v>
      </c>
      <c r="Q425" s="3"/>
      <c r="R425" s="2"/>
    </row>
    <row r="426" spans="1:18" x14ac:dyDescent="0.3">
      <c r="A426" s="2" t="s">
        <v>780</v>
      </c>
      <c r="B426" s="2" t="s">
        <v>606</v>
      </c>
      <c r="C426" s="2" t="s">
        <v>31</v>
      </c>
      <c r="D426" s="3">
        <v>32696</v>
      </c>
      <c r="E426" s="3">
        <v>43779</v>
      </c>
      <c r="F426" s="2" t="s">
        <v>114</v>
      </c>
      <c r="G426" s="2" t="s">
        <v>196</v>
      </c>
      <c r="H426" s="2" t="s">
        <v>23</v>
      </c>
      <c r="I426" s="2" t="s">
        <v>24</v>
      </c>
      <c r="J426" s="4">
        <v>9220000</v>
      </c>
      <c r="K426" s="2">
        <v>3</v>
      </c>
      <c r="L426" s="2">
        <v>3</v>
      </c>
      <c r="M426" s="2">
        <v>15</v>
      </c>
      <c r="N426" s="2" t="s">
        <v>41</v>
      </c>
      <c r="O426" s="2" t="s">
        <v>35</v>
      </c>
      <c r="P426" s="2" t="s">
        <v>36</v>
      </c>
      <c r="Q426" s="3"/>
      <c r="R426" s="2"/>
    </row>
    <row r="427" spans="1:18" x14ac:dyDescent="0.3">
      <c r="A427" s="2" t="s">
        <v>781</v>
      </c>
      <c r="B427" s="2" t="s">
        <v>613</v>
      </c>
      <c r="C427" s="2" t="s">
        <v>20</v>
      </c>
      <c r="D427" s="3">
        <v>38772</v>
      </c>
      <c r="E427" s="3">
        <v>46230</v>
      </c>
      <c r="F427" s="2" t="s">
        <v>114</v>
      </c>
      <c r="G427" s="2" t="s">
        <v>115</v>
      </c>
      <c r="H427" s="2" t="s">
        <v>33</v>
      </c>
      <c r="I427" s="2" t="s">
        <v>44</v>
      </c>
      <c r="J427" s="4">
        <v>4190000</v>
      </c>
      <c r="K427" s="2">
        <v>4</v>
      </c>
      <c r="L427" s="2">
        <v>2</v>
      </c>
      <c r="M427" s="2">
        <v>22</v>
      </c>
      <c r="N427" s="2" t="s">
        <v>41</v>
      </c>
      <c r="O427" s="2" t="s">
        <v>26</v>
      </c>
      <c r="P427" s="2" t="s">
        <v>27</v>
      </c>
      <c r="Q427" s="3">
        <v>46292</v>
      </c>
      <c r="R427" s="2" t="s">
        <v>155</v>
      </c>
    </row>
    <row r="428" spans="1:18" x14ac:dyDescent="0.3">
      <c r="A428" s="2" t="s">
        <v>782</v>
      </c>
      <c r="B428" s="2" t="s">
        <v>260</v>
      </c>
      <c r="C428" s="2" t="s">
        <v>31</v>
      </c>
      <c r="D428" s="3">
        <v>31539</v>
      </c>
      <c r="E428" s="3">
        <v>46016</v>
      </c>
      <c r="F428" s="2" t="s">
        <v>56</v>
      </c>
      <c r="G428" s="2" t="s">
        <v>60</v>
      </c>
      <c r="H428" s="2" t="s">
        <v>33</v>
      </c>
      <c r="I428" s="2" t="s">
        <v>82</v>
      </c>
      <c r="J428" s="4">
        <v>4760000</v>
      </c>
      <c r="K428" s="2">
        <v>4</v>
      </c>
      <c r="L428" s="2">
        <v>4</v>
      </c>
      <c r="M428" s="2">
        <v>9</v>
      </c>
      <c r="N428" s="2" t="s">
        <v>25</v>
      </c>
      <c r="O428" s="2" t="s">
        <v>26</v>
      </c>
      <c r="P428" s="2" t="s">
        <v>36</v>
      </c>
      <c r="Q428" s="3"/>
      <c r="R428" s="2"/>
    </row>
    <row r="429" spans="1:18" x14ac:dyDescent="0.3">
      <c r="A429" s="2" t="s">
        <v>783</v>
      </c>
      <c r="B429" s="2" t="s">
        <v>784</v>
      </c>
      <c r="C429" s="2" t="s">
        <v>31</v>
      </c>
      <c r="D429" s="3">
        <v>30260</v>
      </c>
      <c r="E429" s="3">
        <v>42205</v>
      </c>
      <c r="F429" s="2" t="s">
        <v>51</v>
      </c>
      <c r="G429" s="2" t="s">
        <v>93</v>
      </c>
      <c r="H429" s="2" t="s">
        <v>68</v>
      </c>
      <c r="I429" s="2" t="s">
        <v>44</v>
      </c>
      <c r="J429" s="4">
        <v>5120000</v>
      </c>
      <c r="K429" s="2">
        <v>3</v>
      </c>
      <c r="L429" s="2">
        <v>2</v>
      </c>
      <c r="M429" s="2">
        <v>11</v>
      </c>
      <c r="N429" s="2" t="s">
        <v>25</v>
      </c>
      <c r="O429" s="2"/>
      <c r="P429" s="2" t="s">
        <v>36</v>
      </c>
      <c r="Q429" s="3"/>
      <c r="R429" s="2"/>
    </row>
    <row r="430" spans="1:18" x14ac:dyDescent="0.3">
      <c r="A430" s="2" t="s">
        <v>785</v>
      </c>
      <c r="B430" s="2" t="s">
        <v>786</v>
      </c>
      <c r="C430" s="2" t="s">
        <v>20</v>
      </c>
      <c r="D430" s="3">
        <v>34478</v>
      </c>
      <c r="E430" s="3">
        <v>42942</v>
      </c>
      <c r="F430" s="2" t="s">
        <v>39</v>
      </c>
      <c r="G430" s="2" t="s">
        <v>170</v>
      </c>
      <c r="H430" s="2" t="s">
        <v>68</v>
      </c>
      <c r="I430" s="2" t="s">
        <v>96</v>
      </c>
      <c r="J430" s="4">
        <v>6790000</v>
      </c>
      <c r="K430" s="2">
        <v>4</v>
      </c>
      <c r="L430" s="2">
        <v>4</v>
      </c>
      <c r="M430" s="2">
        <v>13</v>
      </c>
      <c r="N430" s="2" t="s">
        <v>41</v>
      </c>
      <c r="O430" s="2" t="s">
        <v>26</v>
      </c>
      <c r="P430" s="2" t="s">
        <v>36</v>
      </c>
      <c r="Q430" s="3"/>
      <c r="R430" s="2"/>
    </row>
    <row r="431" spans="1:18" x14ac:dyDescent="0.3">
      <c r="A431" s="2" t="s">
        <v>787</v>
      </c>
      <c r="B431" s="2" t="s">
        <v>210</v>
      </c>
      <c r="C431" s="2" t="s">
        <v>31</v>
      </c>
      <c r="D431" s="3">
        <v>32984</v>
      </c>
      <c r="E431" s="3">
        <v>45318</v>
      </c>
      <c r="F431" s="2" t="s">
        <v>39</v>
      </c>
      <c r="G431" s="2" t="s">
        <v>40</v>
      </c>
      <c r="H431" s="2" t="s">
        <v>68</v>
      </c>
      <c r="I431" s="2" t="s">
        <v>24</v>
      </c>
      <c r="J431" s="4">
        <v>5880000</v>
      </c>
      <c r="K431" s="2">
        <v>4</v>
      </c>
      <c r="L431" s="2">
        <v>4</v>
      </c>
      <c r="M431" s="2">
        <v>23</v>
      </c>
      <c r="N431" s="2" t="s">
        <v>41</v>
      </c>
      <c r="O431" s="2" t="s">
        <v>26</v>
      </c>
      <c r="P431" s="2" t="s">
        <v>36</v>
      </c>
      <c r="Q431" s="3"/>
      <c r="R431" s="2"/>
    </row>
    <row r="432" spans="1:18" x14ac:dyDescent="0.3">
      <c r="A432" s="2" t="s">
        <v>788</v>
      </c>
      <c r="B432" s="2" t="s">
        <v>789</v>
      </c>
      <c r="C432" s="2" t="s">
        <v>31</v>
      </c>
      <c r="D432" s="3">
        <v>31237</v>
      </c>
      <c r="E432" s="3">
        <v>43174</v>
      </c>
      <c r="F432" s="2" t="s">
        <v>51</v>
      </c>
      <c r="G432" s="2" t="s">
        <v>52</v>
      </c>
      <c r="H432" s="2" t="s">
        <v>68</v>
      </c>
      <c r="I432" s="2" t="s">
        <v>24</v>
      </c>
      <c r="J432" s="4">
        <v>5570000</v>
      </c>
      <c r="K432" s="2">
        <v>3</v>
      </c>
      <c r="L432" s="2">
        <v>3</v>
      </c>
      <c r="M432" s="2">
        <v>6</v>
      </c>
      <c r="N432" s="2" t="s">
        <v>25</v>
      </c>
      <c r="O432" s="2" t="s">
        <v>26</v>
      </c>
      <c r="P432" s="2" t="s">
        <v>27</v>
      </c>
      <c r="Q432" s="3">
        <v>45797</v>
      </c>
      <c r="R432" s="2" t="s">
        <v>111</v>
      </c>
    </row>
    <row r="433" spans="1:18" x14ac:dyDescent="0.3">
      <c r="A433" s="2" t="s">
        <v>790</v>
      </c>
      <c r="B433" s="2" t="s">
        <v>38</v>
      </c>
      <c r="C433" s="2" t="s">
        <v>31</v>
      </c>
      <c r="D433" s="3">
        <v>35891</v>
      </c>
      <c r="E433" s="3">
        <v>45660</v>
      </c>
      <c r="F433" s="2" t="s">
        <v>64</v>
      </c>
      <c r="G433" s="2" t="s">
        <v>73</v>
      </c>
      <c r="H433" s="2" t="s">
        <v>68</v>
      </c>
      <c r="I433" s="2" t="s">
        <v>24</v>
      </c>
      <c r="J433" s="4">
        <v>6620000</v>
      </c>
      <c r="K433" s="2">
        <v>4</v>
      </c>
      <c r="L433" s="2">
        <v>5</v>
      </c>
      <c r="M433" s="2">
        <v>11</v>
      </c>
      <c r="N433" s="2" t="s">
        <v>25</v>
      </c>
      <c r="O433" s="2" t="s">
        <v>35</v>
      </c>
      <c r="P433" s="2" t="s">
        <v>36</v>
      </c>
      <c r="Q433" s="3"/>
      <c r="R433" s="2"/>
    </row>
    <row r="434" spans="1:18" x14ac:dyDescent="0.3">
      <c r="A434" s="2" t="s">
        <v>791</v>
      </c>
      <c r="B434" s="2" t="s">
        <v>345</v>
      </c>
      <c r="C434" s="2" t="s">
        <v>31</v>
      </c>
      <c r="D434" s="3">
        <v>38550</v>
      </c>
      <c r="E434" s="3">
        <v>46087</v>
      </c>
      <c r="F434" s="2" t="s">
        <v>51</v>
      </c>
      <c r="G434" s="2" t="s">
        <v>52</v>
      </c>
      <c r="H434" s="2" t="s">
        <v>23</v>
      </c>
      <c r="I434" s="2" t="s">
        <v>82</v>
      </c>
      <c r="J434" s="4">
        <v>10030000</v>
      </c>
      <c r="K434" s="2">
        <v>4</v>
      </c>
      <c r="L434" s="2">
        <v>4</v>
      </c>
      <c r="M434" s="2">
        <v>31</v>
      </c>
      <c r="N434" s="2" t="s">
        <v>25</v>
      </c>
      <c r="O434" s="2" t="s">
        <v>26</v>
      </c>
      <c r="P434" s="2" t="s">
        <v>36</v>
      </c>
      <c r="Q434" s="3"/>
      <c r="R434" s="2"/>
    </row>
    <row r="435" spans="1:18" x14ac:dyDescent="0.3">
      <c r="A435" s="2" t="s">
        <v>792</v>
      </c>
      <c r="B435" s="2" t="s">
        <v>149</v>
      </c>
      <c r="C435" s="2" t="s">
        <v>31</v>
      </c>
      <c r="D435" s="3">
        <v>33800</v>
      </c>
      <c r="E435" s="3">
        <v>43727</v>
      </c>
      <c r="F435" s="2" t="s">
        <v>51</v>
      </c>
      <c r="G435" s="2" t="s">
        <v>52</v>
      </c>
      <c r="H435" s="2" t="s">
        <v>68</v>
      </c>
      <c r="I435" s="2" t="s">
        <v>206</v>
      </c>
      <c r="J435" s="4">
        <v>6390000</v>
      </c>
      <c r="K435" s="2">
        <v>3</v>
      </c>
      <c r="L435" s="2">
        <v>3</v>
      </c>
      <c r="M435" s="2">
        <v>21</v>
      </c>
      <c r="N435" s="2" t="s">
        <v>25</v>
      </c>
      <c r="O435" s="2" t="s">
        <v>26</v>
      </c>
      <c r="P435" s="2" t="s">
        <v>36</v>
      </c>
      <c r="Q435" s="3"/>
      <c r="R435" s="2"/>
    </row>
    <row r="436" spans="1:18" x14ac:dyDescent="0.3">
      <c r="A436" s="2" t="s">
        <v>793</v>
      </c>
      <c r="B436" s="2" t="s">
        <v>794</v>
      </c>
      <c r="C436" s="2" t="s">
        <v>20</v>
      </c>
      <c r="D436" s="3">
        <v>31427</v>
      </c>
      <c r="E436" s="3">
        <v>44713</v>
      </c>
      <c r="F436" s="2" t="s">
        <v>56</v>
      </c>
      <c r="G436" s="2" t="s">
        <v>57</v>
      </c>
      <c r="H436" s="2" t="s">
        <v>33</v>
      </c>
      <c r="I436" s="2" t="s">
        <v>206</v>
      </c>
      <c r="J436" s="4">
        <v>4470000</v>
      </c>
      <c r="K436" s="2">
        <v>3</v>
      </c>
      <c r="L436" s="2">
        <v>2</v>
      </c>
      <c r="M436" s="2">
        <v>0</v>
      </c>
      <c r="N436" s="2" t="s">
        <v>41</v>
      </c>
      <c r="O436" s="2" t="s">
        <v>26</v>
      </c>
      <c r="P436" s="2" t="s">
        <v>27</v>
      </c>
      <c r="Q436" s="3">
        <v>45833</v>
      </c>
      <c r="R436" s="2" t="s">
        <v>155</v>
      </c>
    </row>
    <row r="437" spans="1:18" x14ac:dyDescent="0.3">
      <c r="A437" s="2" t="s">
        <v>795</v>
      </c>
      <c r="B437" s="2" t="s">
        <v>225</v>
      </c>
      <c r="C437" s="2" t="s">
        <v>20</v>
      </c>
      <c r="D437" s="3">
        <v>35085</v>
      </c>
      <c r="E437" s="3">
        <v>44457</v>
      </c>
      <c r="F437" s="2" t="s">
        <v>56</v>
      </c>
      <c r="G437" s="2" t="s">
        <v>60</v>
      </c>
      <c r="H437" s="2" t="s">
        <v>33</v>
      </c>
      <c r="I437" s="2" t="s">
        <v>96</v>
      </c>
      <c r="J437" s="4">
        <v>4000000</v>
      </c>
      <c r="K437" s="2">
        <v>4</v>
      </c>
      <c r="L437" s="2">
        <v>3</v>
      </c>
      <c r="M437" s="2">
        <v>15</v>
      </c>
      <c r="N437" s="2" t="s">
        <v>25</v>
      </c>
      <c r="O437" s="2" t="s">
        <v>35</v>
      </c>
      <c r="P437" s="2" t="s">
        <v>27</v>
      </c>
      <c r="Q437" s="3">
        <v>45793</v>
      </c>
      <c r="R437" s="2" t="s">
        <v>235</v>
      </c>
    </row>
    <row r="438" spans="1:18" x14ac:dyDescent="0.3">
      <c r="A438" s="2" t="s">
        <v>796</v>
      </c>
      <c r="B438" s="2" t="s">
        <v>797</v>
      </c>
      <c r="C438" s="2" t="s">
        <v>20</v>
      </c>
      <c r="D438" s="3">
        <v>31702</v>
      </c>
      <c r="E438" s="3">
        <v>42584</v>
      </c>
      <c r="F438" s="2" t="s">
        <v>51</v>
      </c>
      <c r="G438" s="2" t="s">
        <v>93</v>
      </c>
      <c r="H438" s="2" t="s">
        <v>33</v>
      </c>
      <c r="I438" s="2" t="s">
        <v>24</v>
      </c>
      <c r="J438" s="4">
        <v>3930000</v>
      </c>
      <c r="K438" s="2">
        <v>3</v>
      </c>
      <c r="L438" s="2">
        <v>4</v>
      </c>
      <c r="M438" s="2">
        <v>10</v>
      </c>
      <c r="N438" s="2" t="s">
        <v>88</v>
      </c>
      <c r="O438" s="2" t="s">
        <v>26</v>
      </c>
      <c r="P438" s="2" t="s">
        <v>36</v>
      </c>
      <c r="Q438" s="3"/>
      <c r="R438" s="2"/>
    </row>
    <row r="439" spans="1:18" x14ac:dyDescent="0.3">
      <c r="A439" s="2" t="s">
        <v>798</v>
      </c>
      <c r="B439" s="2" t="s">
        <v>225</v>
      </c>
      <c r="C439" s="2" t="s">
        <v>20</v>
      </c>
      <c r="D439" s="3">
        <v>33336</v>
      </c>
      <c r="E439" s="3">
        <v>46215</v>
      </c>
      <c r="F439" s="2" t="s">
        <v>56</v>
      </c>
      <c r="G439" s="2" t="s">
        <v>142</v>
      </c>
      <c r="H439" s="2" t="s">
        <v>68</v>
      </c>
      <c r="I439" s="2" t="s">
        <v>44</v>
      </c>
      <c r="J439" s="4">
        <v>6490000</v>
      </c>
      <c r="K439" s="2">
        <v>3</v>
      </c>
      <c r="L439" s="2">
        <v>4</v>
      </c>
      <c r="M439" s="2">
        <v>23</v>
      </c>
      <c r="N439" s="2" t="s">
        <v>41</v>
      </c>
      <c r="O439" s="2" t="s">
        <v>26</v>
      </c>
      <c r="P439" s="2" t="s">
        <v>36</v>
      </c>
      <c r="Q439" s="3"/>
      <c r="R439" s="2"/>
    </row>
    <row r="440" spans="1:18" x14ac:dyDescent="0.3">
      <c r="A440" s="2" t="s">
        <v>799</v>
      </c>
      <c r="B440" s="2" t="s">
        <v>345</v>
      </c>
      <c r="C440" s="2" t="s">
        <v>31</v>
      </c>
      <c r="D440" s="3">
        <v>32249</v>
      </c>
      <c r="E440" s="3">
        <v>45874</v>
      </c>
      <c r="F440" s="2" t="s">
        <v>64</v>
      </c>
      <c r="G440" s="2" t="s">
        <v>65</v>
      </c>
      <c r="H440" s="2" t="s">
        <v>33</v>
      </c>
      <c r="I440" s="2" t="s">
        <v>24</v>
      </c>
      <c r="J440" s="4">
        <v>4820000</v>
      </c>
      <c r="K440" s="2">
        <v>2</v>
      </c>
      <c r="L440" s="2">
        <v>4</v>
      </c>
      <c r="M440" s="2">
        <v>9</v>
      </c>
      <c r="N440" s="2" t="s">
        <v>25</v>
      </c>
      <c r="O440" s="2" t="s">
        <v>26</v>
      </c>
      <c r="P440" s="2" t="s">
        <v>36</v>
      </c>
      <c r="Q440" s="3"/>
      <c r="R440" s="2"/>
    </row>
    <row r="441" spans="1:18" x14ac:dyDescent="0.3">
      <c r="A441" s="2" t="s">
        <v>800</v>
      </c>
      <c r="B441" s="2" t="s">
        <v>801</v>
      </c>
      <c r="C441" s="2" t="s">
        <v>20</v>
      </c>
      <c r="D441" s="3">
        <v>37614</v>
      </c>
      <c r="E441" s="3">
        <v>45265</v>
      </c>
      <c r="F441" s="2" t="s">
        <v>64</v>
      </c>
      <c r="G441" s="2" t="s">
        <v>79</v>
      </c>
      <c r="H441" s="2" t="s">
        <v>33</v>
      </c>
      <c r="I441" s="2" t="s">
        <v>96</v>
      </c>
      <c r="J441" s="4">
        <v>3580000</v>
      </c>
      <c r="K441" s="2">
        <v>4</v>
      </c>
      <c r="L441" s="2">
        <v>3</v>
      </c>
      <c r="M441" s="2">
        <v>31</v>
      </c>
      <c r="N441" s="2" t="s">
        <v>41</v>
      </c>
      <c r="O441" s="2" t="s">
        <v>53</v>
      </c>
      <c r="P441" s="2" t="s">
        <v>27</v>
      </c>
      <c r="Q441" s="3">
        <v>45798</v>
      </c>
      <c r="R441" s="2" t="s">
        <v>111</v>
      </c>
    </row>
    <row r="442" spans="1:18" x14ac:dyDescent="0.3">
      <c r="A442" s="2" t="s">
        <v>802</v>
      </c>
      <c r="B442" s="2" t="s">
        <v>803</v>
      </c>
      <c r="C442" s="2" t="s">
        <v>31</v>
      </c>
      <c r="D442" s="3">
        <v>31667</v>
      </c>
      <c r="E442" s="3">
        <v>46226</v>
      </c>
      <c r="F442" s="2" t="s">
        <v>47</v>
      </c>
      <c r="G442" s="2" t="s">
        <v>90</v>
      </c>
      <c r="H442" s="2" t="s">
        <v>23</v>
      </c>
      <c r="I442" s="2" t="s">
        <v>96</v>
      </c>
      <c r="J442" s="4">
        <v>10930000</v>
      </c>
      <c r="K442" s="2">
        <v>3</v>
      </c>
      <c r="L442" s="2">
        <v>3</v>
      </c>
      <c r="M442" s="2">
        <v>24</v>
      </c>
      <c r="N442" s="2" t="s">
        <v>41</v>
      </c>
      <c r="O442" s="2" t="s">
        <v>35</v>
      </c>
      <c r="P442" s="2" t="s">
        <v>36</v>
      </c>
      <c r="Q442" s="3"/>
      <c r="R442" s="2"/>
    </row>
    <row r="443" spans="1:18" x14ac:dyDescent="0.3">
      <c r="A443" s="2" t="s">
        <v>804</v>
      </c>
      <c r="B443" s="2" t="s">
        <v>734</v>
      </c>
      <c r="C443" s="2" t="s">
        <v>31</v>
      </c>
      <c r="D443" s="3">
        <v>32033</v>
      </c>
      <c r="E443" s="3">
        <v>46147</v>
      </c>
      <c r="F443" s="2" t="s">
        <v>51</v>
      </c>
      <c r="G443" s="2" t="s">
        <v>93</v>
      </c>
      <c r="H443" s="2" t="s">
        <v>33</v>
      </c>
      <c r="I443" s="2" t="s">
        <v>96</v>
      </c>
      <c r="J443" s="4">
        <v>3040000</v>
      </c>
      <c r="K443" s="2">
        <v>4</v>
      </c>
      <c r="L443" s="2">
        <v>3</v>
      </c>
      <c r="M443" s="2">
        <v>19</v>
      </c>
      <c r="N443" s="2" t="s">
        <v>25</v>
      </c>
      <c r="O443" s="2" t="s">
        <v>35</v>
      </c>
      <c r="P443" s="2" t="s">
        <v>36</v>
      </c>
      <c r="Q443" s="3"/>
      <c r="R443" s="2"/>
    </row>
    <row r="444" spans="1:18" x14ac:dyDescent="0.3">
      <c r="A444" s="2" t="s">
        <v>805</v>
      </c>
      <c r="B444" s="2" t="s">
        <v>806</v>
      </c>
      <c r="C444" s="2" t="s">
        <v>31</v>
      </c>
      <c r="D444" s="3">
        <v>33294</v>
      </c>
      <c r="E444" s="3">
        <v>45493</v>
      </c>
      <c r="F444" s="2" t="s">
        <v>21</v>
      </c>
      <c r="G444" s="2" t="s">
        <v>32</v>
      </c>
      <c r="H444" s="2" t="s">
        <v>33</v>
      </c>
      <c r="I444" s="2" t="s">
        <v>24</v>
      </c>
      <c r="J444" s="4">
        <v>4300000</v>
      </c>
      <c r="K444" s="2">
        <v>3</v>
      </c>
      <c r="L444" s="2">
        <v>3</v>
      </c>
      <c r="M444" s="2">
        <v>13</v>
      </c>
      <c r="N444" s="2" t="s">
        <v>41</v>
      </c>
      <c r="O444" s="2" t="s">
        <v>26</v>
      </c>
      <c r="P444" s="2" t="s">
        <v>36</v>
      </c>
      <c r="Q444" s="3"/>
      <c r="R444" s="2"/>
    </row>
    <row r="445" spans="1:18" x14ac:dyDescent="0.3">
      <c r="A445" s="2" t="s">
        <v>807</v>
      </c>
      <c r="B445" s="2" t="s">
        <v>808</v>
      </c>
      <c r="C445" s="2" t="s">
        <v>229</v>
      </c>
      <c r="D445" s="3">
        <v>33246</v>
      </c>
      <c r="E445" s="3">
        <v>42684</v>
      </c>
      <c r="F445" s="2" t="s">
        <v>47</v>
      </c>
      <c r="G445" s="2" t="s">
        <v>48</v>
      </c>
      <c r="H445" s="2" t="s">
        <v>68</v>
      </c>
      <c r="I445" s="2" t="s">
        <v>206</v>
      </c>
      <c r="J445" s="4">
        <v>7000000</v>
      </c>
      <c r="K445" s="2">
        <v>3</v>
      </c>
      <c r="L445" s="2">
        <v>4</v>
      </c>
      <c r="M445" s="2">
        <v>15</v>
      </c>
      <c r="N445" s="2" t="s">
        <v>25</v>
      </c>
      <c r="O445" s="2" t="s">
        <v>35</v>
      </c>
      <c r="P445" s="2" t="s">
        <v>36</v>
      </c>
      <c r="Q445" s="3"/>
      <c r="R445" s="2"/>
    </row>
    <row r="446" spans="1:18" x14ac:dyDescent="0.3">
      <c r="A446" s="2" t="s">
        <v>809</v>
      </c>
      <c r="B446" s="2" t="s">
        <v>810</v>
      </c>
      <c r="C446" s="2" t="s">
        <v>20</v>
      </c>
      <c r="D446" s="3">
        <v>34247</v>
      </c>
      <c r="E446" s="3">
        <v>42270</v>
      </c>
      <c r="F446" s="2" t="s">
        <v>114</v>
      </c>
      <c r="G446" s="2" t="s">
        <v>196</v>
      </c>
      <c r="H446" s="2" t="s">
        <v>33</v>
      </c>
      <c r="I446" s="2" t="s">
        <v>24</v>
      </c>
      <c r="J446" s="4">
        <v>4450000</v>
      </c>
      <c r="K446" s="2">
        <v>3</v>
      </c>
      <c r="L446" s="2">
        <v>3</v>
      </c>
      <c r="M446" s="2">
        <v>18</v>
      </c>
      <c r="N446" s="2" t="s">
        <v>41</v>
      </c>
      <c r="O446" s="2" t="s">
        <v>53</v>
      </c>
      <c r="P446" s="2" t="s">
        <v>36</v>
      </c>
      <c r="Q446" s="3"/>
      <c r="R446" s="2"/>
    </row>
    <row r="447" spans="1:18" x14ac:dyDescent="0.3">
      <c r="A447" s="2" t="s">
        <v>811</v>
      </c>
      <c r="B447" s="2" t="s">
        <v>812</v>
      </c>
      <c r="C447" s="2" t="s">
        <v>31</v>
      </c>
      <c r="D447" s="3">
        <v>33498</v>
      </c>
      <c r="E447" s="3">
        <v>45304</v>
      </c>
      <c r="F447" s="2" t="s">
        <v>64</v>
      </c>
      <c r="G447" s="2" t="s">
        <v>73</v>
      </c>
      <c r="H447" s="2" t="s">
        <v>33</v>
      </c>
      <c r="I447" s="2" t="s">
        <v>24</v>
      </c>
      <c r="J447" s="4">
        <v>3160000</v>
      </c>
      <c r="K447" s="2">
        <v>2</v>
      </c>
      <c r="L447" s="2">
        <v>3</v>
      </c>
      <c r="M447" s="2">
        <v>27</v>
      </c>
      <c r="N447" s="2" t="s">
        <v>41</v>
      </c>
      <c r="O447" s="2" t="s">
        <v>26</v>
      </c>
      <c r="P447" s="2" t="s">
        <v>27</v>
      </c>
      <c r="Q447" s="3">
        <v>45691</v>
      </c>
      <c r="R447" s="2" t="s">
        <v>145</v>
      </c>
    </row>
    <row r="448" spans="1:18" x14ac:dyDescent="0.3">
      <c r="A448" s="2" t="s">
        <v>813</v>
      </c>
      <c r="B448" s="2" t="s">
        <v>265</v>
      </c>
      <c r="C448" s="2" t="s">
        <v>31</v>
      </c>
      <c r="D448" s="3">
        <v>37550</v>
      </c>
      <c r="E448" s="3">
        <v>45566</v>
      </c>
      <c r="F448" s="2" t="s">
        <v>21</v>
      </c>
      <c r="G448" s="2" t="s">
        <v>22</v>
      </c>
      <c r="H448" s="2" t="s">
        <v>68</v>
      </c>
      <c r="I448" s="2" t="s">
        <v>34</v>
      </c>
      <c r="J448" s="4">
        <v>10020000</v>
      </c>
      <c r="K448" s="2">
        <v>4</v>
      </c>
      <c r="L448" s="2">
        <v>1</v>
      </c>
      <c r="M448" s="2">
        <v>17</v>
      </c>
      <c r="N448" s="2" t="s">
        <v>41</v>
      </c>
      <c r="O448" s="2" t="s">
        <v>26</v>
      </c>
      <c r="P448" s="2" t="s">
        <v>36</v>
      </c>
      <c r="Q448" s="3"/>
      <c r="R448" s="2"/>
    </row>
    <row r="449" spans="1:18" x14ac:dyDescent="0.3">
      <c r="A449" s="2" t="s">
        <v>814</v>
      </c>
      <c r="B449" s="2" t="s">
        <v>495</v>
      </c>
      <c r="C449" s="2" t="s">
        <v>20</v>
      </c>
      <c r="D449" s="3">
        <v>34943</v>
      </c>
      <c r="E449" s="3">
        <v>45795</v>
      </c>
      <c r="F449" s="2" t="s">
        <v>56</v>
      </c>
      <c r="G449" s="2" t="s">
        <v>142</v>
      </c>
      <c r="H449" s="2" t="s">
        <v>33</v>
      </c>
      <c r="I449" s="2" t="s">
        <v>24</v>
      </c>
      <c r="J449" s="4">
        <v>3830000</v>
      </c>
      <c r="K449" s="2">
        <v>3</v>
      </c>
      <c r="L449" s="2">
        <v>2</v>
      </c>
      <c r="M449" s="2">
        <v>19</v>
      </c>
      <c r="N449" s="2" t="s">
        <v>41</v>
      </c>
      <c r="O449" s="2" t="s">
        <v>26</v>
      </c>
      <c r="P449" s="2" t="s">
        <v>36</v>
      </c>
      <c r="Q449" s="3"/>
      <c r="R449" s="2"/>
    </row>
    <row r="450" spans="1:18" x14ac:dyDescent="0.3">
      <c r="A450" s="2" t="s">
        <v>814</v>
      </c>
      <c r="B450" s="2" t="s">
        <v>495</v>
      </c>
      <c r="C450" s="2" t="s">
        <v>20</v>
      </c>
      <c r="D450" s="3">
        <v>34943</v>
      </c>
      <c r="E450" s="3">
        <v>45795</v>
      </c>
      <c r="F450" s="2" t="s">
        <v>56</v>
      </c>
      <c r="G450" s="2" t="s">
        <v>142</v>
      </c>
      <c r="H450" s="2" t="s">
        <v>33</v>
      </c>
      <c r="I450" s="2" t="s">
        <v>24</v>
      </c>
      <c r="J450" s="4">
        <v>3830000</v>
      </c>
      <c r="K450" s="2">
        <v>3</v>
      </c>
      <c r="L450" s="2">
        <v>2</v>
      </c>
      <c r="M450" s="2">
        <v>19</v>
      </c>
      <c r="N450" s="2" t="s">
        <v>41</v>
      </c>
      <c r="O450" s="2" t="s">
        <v>26</v>
      </c>
      <c r="P450" s="2" t="s">
        <v>36</v>
      </c>
      <c r="Q450" s="3"/>
      <c r="R450" s="2"/>
    </row>
    <row r="451" spans="1:18" x14ac:dyDescent="0.3">
      <c r="A451" s="2" t="s">
        <v>815</v>
      </c>
      <c r="B451" s="2" t="s">
        <v>172</v>
      </c>
      <c r="C451" s="2" t="s">
        <v>31</v>
      </c>
      <c r="D451" s="3">
        <v>32796</v>
      </c>
      <c r="E451" s="3">
        <v>44331</v>
      </c>
      <c r="F451" s="2" t="s">
        <v>47</v>
      </c>
      <c r="G451" s="2" t="s">
        <v>127</v>
      </c>
      <c r="H451" s="2" t="s">
        <v>33</v>
      </c>
      <c r="I451" s="2" t="s">
        <v>24</v>
      </c>
      <c r="J451" s="4">
        <v>4800000</v>
      </c>
      <c r="K451" s="2">
        <v>4</v>
      </c>
      <c r="L451" s="2">
        <v>4</v>
      </c>
      <c r="M451" s="2">
        <v>6</v>
      </c>
      <c r="N451" s="2" t="s">
        <v>41</v>
      </c>
      <c r="O451" s="2" t="s">
        <v>35</v>
      </c>
      <c r="P451" s="2" t="s">
        <v>36</v>
      </c>
      <c r="Q451" s="3"/>
      <c r="R451" s="2"/>
    </row>
    <row r="452" spans="1:18" x14ac:dyDescent="0.3">
      <c r="A452" s="2" t="s">
        <v>816</v>
      </c>
      <c r="B452" s="2" t="s">
        <v>817</v>
      </c>
      <c r="C452" s="2" t="s">
        <v>20</v>
      </c>
      <c r="D452" s="3">
        <v>35081</v>
      </c>
      <c r="E452" s="3">
        <v>46115</v>
      </c>
      <c r="F452" s="2" t="s">
        <v>21</v>
      </c>
      <c r="G452" s="2" t="s">
        <v>22</v>
      </c>
      <c r="H452" s="2" t="s">
        <v>68</v>
      </c>
      <c r="I452" s="2" t="s">
        <v>34</v>
      </c>
      <c r="J452" s="4">
        <v>10090000</v>
      </c>
      <c r="K452" s="2">
        <v>1</v>
      </c>
      <c r="L452" s="2">
        <v>3</v>
      </c>
      <c r="M452" s="2">
        <v>2</v>
      </c>
      <c r="N452" s="2" t="s">
        <v>41</v>
      </c>
      <c r="O452" s="2" t="s">
        <v>26</v>
      </c>
      <c r="P452" s="2" t="s">
        <v>36</v>
      </c>
      <c r="Q452" s="3"/>
      <c r="R452" s="2"/>
    </row>
    <row r="453" spans="1:18" x14ac:dyDescent="0.3">
      <c r="A453" s="2" t="s">
        <v>818</v>
      </c>
      <c r="B453" s="2" t="s">
        <v>819</v>
      </c>
      <c r="C453" s="2" t="s">
        <v>31</v>
      </c>
      <c r="D453" s="3">
        <v>36361</v>
      </c>
      <c r="E453" s="3">
        <v>44014</v>
      </c>
      <c r="F453" s="2" t="s">
        <v>64</v>
      </c>
      <c r="G453" s="2" t="s">
        <v>79</v>
      </c>
      <c r="H453" s="2" t="s">
        <v>68</v>
      </c>
      <c r="I453" s="2" t="s">
        <v>24</v>
      </c>
      <c r="J453" s="4">
        <v>7080000</v>
      </c>
      <c r="K453" s="2">
        <v>4</v>
      </c>
      <c r="L453" s="2">
        <v>4</v>
      </c>
      <c r="M453" s="2">
        <v>18</v>
      </c>
      <c r="N453" s="2" t="s">
        <v>41</v>
      </c>
      <c r="O453" s="2" t="s">
        <v>26</v>
      </c>
      <c r="P453" s="2" t="s">
        <v>36</v>
      </c>
      <c r="Q453" s="3"/>
      <c r="R453" s="2"/>
    </row>
    <row r="454" spans="1:18" x14ac:dyDescent="0.3">
      <c r="A454" s="2" t="s">
        <v>820</v>
      </c>
      <c r="B454" s="2" t="s">
        <v>392</v>
      </c>
      <c r="C454" s="2" t="s">
        <v>31</v>
      </c>
      <c r="D454" s="3">
        <v>38890</v>
      </c>
      <c r="E454" s="3">
        <v>46193</v>
      </c>
      <c r="F454" s="2" t="s">
        <v>64</v>
      </c>
      <c r="G454" s="2" t="s">
        <v>79</v>
      </c>
      <c r="H454" s="2" t="s">
        <v>68</v>
      </c>
      <c r="I454" s="2" t="s">
        <v>34</v>
      </c>
      <c r="J454" s="4">
        <v>5720000</v>
      </c>
      <c r="K454" s="2">
        <v>4</v>
      </c>
      <c r="L454" s="2">
        <v>5</v>
      </c>
      <c r="M454" s="2">
        <v>25</v>
      </c>
      <c r="N454" s="2" t="s">
        <v>41</v>
      </c>
      <c r="O454" s="2" t="s">
        <v>26</v>
      </c>
      <c r="P454" s="2" t="s">
        <v>36</v>
      </c>
      <c r="Q454" s="3"/>
      <c r="R454" s="2"/>
    </row>
    <row r="455" spans="1:18" x14ac:dyDescent="0.3">
      <c r="A455" s="2" t="s">
        <v>820</v>
      </c>
      <c r="B455" s="2" t="s">
        <v>392</v>
      </c>
      <c r="C455" s="2" t="s">
        <v>31</v>
      </c>
      <c r="D455" s="3">
        <v>38890</v>
      </c>
      <c r="E455" s="3">
        <v>46193</v>
      </c>
      <c r="F455" s="2" t="s">
        <v>64</v>
      </c>
      <c r="G455" s="2" t="s">
        <v>79</v>
      </c>
      <c r="H455" s="2" t="s">
        <v>68</v>
      </c>
      <c r="I455" s="2" t="s">
        <v>34</v>
      </c>
      <c r="J455" s="4">
        <v>5720000</v>
      </c>
      <c r="K455" s="2">
        <v>4</v>
      </c>
      <c r="L455" s="2">
        <v>5</v>
      </c>
      <c r="M455" s="2">
        <v>25</v>
      </c>
      <c r="N455" s="2" t="s">
        <v>41</v>
      </c>
      <c r="O455" s="2" t="s">
        <v>26</v>
      </c>
      <c r="P455" s="2" t="s">
        <v>36</v>
      </c>
      <c r="Q455" s="3"/>
      <c r="R455" s="2"/>
    </row>
    <row r="456" spans="1:18" x14ac:dyDescent="0.3">
      <c r="A456" s="2" t="s">
        <v>821</v>
      </c>
      <c r="B456" s="2" t="s">
        <v>822</v>
      </c>
      <c r="C456" s="2" t="s">
        <v>229</v>
      </c>
      <c r="D456" s="3">
        <v>35397</v>
      </c>
      <c r="E456" s="3">
        <v>43454</v>
      </c>
      <c r="F456" s="2" t="s">
        <v>484</v>
      </c>
      <c r="G456" s="2" t="s">
        <v>115</v>
      </c>
      <c r="H456" s="2" t="s">
        <v>68</v>
      </c>
      <c r="I456" s="2" t="s">
        <v>96</v>
      </c>
      <c r="J456" s="4">
        <v>7690000</v>
      </c>
      <c r="K456" s="2">
        <v>4</v>
      </c>
      <c r="L456" s="2">
        <v>5</v>
      </c>
      <c r="M456" s="2">
        <v>19</v>
      </c>
      <c r="N456" s="2" t="s">
        <v>88</v>
      </c>
      <c r="O456" s="2" t="s">
        <v>26</v>
      </c>
      <c r="P456" s="2" t="s">
        <v>36</v>
      </c>
      <c r="Q456" s="3"/>
      <c r="R456" s="2"/>
    </row>
    <row r="457" spans="1:18" x14ac:dyDescent="0.3">
      <c r="A457" s="2" t="s">
        <v>823</v>
      </c>
      <c r="B457" s="2" t="s">
        <v>824</v>
      </c>
      <c r="C457" s="2" t="s">
        <v>31</v>
      </c>
      <c r="D457" s="3">
        <v>36137</v>
      </c>
      <c r="E457" s="3">
        <v>44829</v>
      </c>
      <c r="F457" s="2" t="s">
        <v>21</v>
      </c>
      <c r="G457" s="2" t="s">
        <v>103</v>
      </c>
      <c r="H457" s="2" t="s">
        <v>23</v>
      </c>
      <c r="I457" s="2" t="s">
        <v>82</v>
      </c>
      <c r="J457" s="4">
        <v>18530000</v>
      </c>
      <c r="K457" s="2">
        <v>3</v>
      </c>
      <c r="L457" s="2">
        <v>3</v>
      </c>
      <c r="M457" s="2">
        <v>25</v>
      </c>
      <c r="N457" s="2" t="s">
        <v>41</v>
      </c>
      <c r="O457" s="2" t="s">
        <v>26</v>
      </c>
      <c r="P457" s="2" t="s">
        <v>36</v>
      </c>
      <c r="Q457" s="3"/>
      <c r="R457" s="2"/>
    </row>
    <row r="458" spans="1:18" x14ac:dyDescent="0.3">
      <c r="A458" s="2" t="s">
        <v>825</v>
      </c>
      <c r="B458" s="2" t="s">
        <v>826</v>
      </c>
      <c r="C458" s="2" t="s">
        <v>31</v>
      </c>
      <c r="D458" s="3">
        <v>34004</v>
      </c>
      <c r="E458" s="3">
        <v>45454</v>
      </c>
      <c r="F458" s="2" t="s">
        <v>56</v>
      </c>
      <c r="G458" s="2" t="s">
        <v>60</v>
      </c>
      <c r="H458" s="2" t="s">
        <v>33</v>
      </c>
      <c r="I458" s="2" t="s">
        <v>82</v>
      </c>
      <c r="J458" s="4">
        <v>4670000</v>
      </c>
      <c r="K458" s="2">
        <v>3</v>
      </c>
      <c r="L458" s="2">
        <v>4</v>
      </c>
      <c r="M458" s="2">
        <v>3</v>
      </c>
      <c r="N458" s="2" t="s">
        <v>41</v>
      </c>
      <c r="O458" s="2" t="s">
        <v>35</v>
      </c>
      <c r="P458" s="2" t="s">
        <v>36</v>
      </c>
      <c r="Q458" s="3"/>
      <c r="R458" s="2"/>
    </row>
    <row r="459" spans="1:18" x14ac:dyDescent="0.3">
      <c r="A459" s="2" t="s">
        <v>827</v>
      </c>
      <c r="B459" s="2" t="s">
        <v>565</v>
      </c>
      <c r="C459" s="2" t="s">
        <v>20</v>
      </c>
      <c r="D459" s="3">
        <v>31031</v>
      </c>
      <c r="E459" s="3">
        <v>45312</v>
      </c>
      <c r="F459" s="2" t="s">
        <v>56</v>
      </c>
      <c r="G459" s="2" t="s">
        <v>60</v>
      </c>
      <c r="H459" s="2" t="s">
        <v>23</v>
      </c>
      <c r="I459" s="2" t="s">
        <v>24</v>
      </c>
      <c r="J459" s="4">
        <v>15460000</v>
      </c>
      <c r="K459" s="2">
        <v>3</v>
      </c>
      <c r="L459" s="2">
        <v>3</v>
      </c>
      <c r="M459" s="2">
        <v>24</v>
      </c>
      <c r="N459" s="2" t="s">
        <v>41</v>
      </c>
      <c r="O459" s="2" t="s">
        <v>26</v>
      </c>
      <c r="P459" s="2" t="s">
        <v>36</v>
      </c>
      <c r="Q459" s="3"/>
      <c r="R459" s="2"/>
    </row>
    <row r="460" spans="1:18" x14ac:dyDescent="0.3">
      <c r="A460" s="2" t="s">
        <v>828</v>
      </c>
      <c r="B460" s="2" t="s">
        <v>205</v>
      </c>
      <c r="C460" s="2" t="s">
        <v>31</v>
      </c>
      <c r="D460" s="3">
        <v>33170</v>
      </c>
      <c r="E460" s="3">
        <v>44956</v>
      </c>
      <c r="F460" s="2" t="s">
        <v>114</v>
      </c>
      <c r="G460" s="2" t="s">
        <v>150</v>
      </c>
      <c r="H460" s="2" t="s">
        <v>23</v>
      </c>
      <c r="I460" s="2" t="s">
        <v>82</v>
      </c>
      <c r="J460" s="4">
        <v>13090000</v>
      </c>
      <c r="K460" s="2">
        <v>4</v>
      </c>
      <c r="L460" s="2">
        <v>3</v>
      </c>
      <c r="M460" s="2">
        <v>6</v>
      </c>
      <c r="N460" s="2" t="s">
        <v>41</v>
      </c>
      <c r="O460" s="2" t="s">
        <v>26</v>
      </c>
      <c r="P460" s="2" t="s">
        <v>36</v>
      </c>
      <c r="Q460" s="3"/>
      <c r="R460" s="2"/>
    </row>
    <row r="461" spans="1:18" x14ac:dyDescent="0.3">
      <c r="A461" s="2" t="s">
        <v>829</v>
      </c>
      <c r="B461" s="2" t="s">
        <v>830</v>
      </c>
      <c r="C461" s="2" t="s">
        <v>20</v>
      </c>
      <c r="D461" s="3">
        <v>38750</v>
      </c>
      <c r="E461" s="3">
        <v>46090</v>
      </c>
      <c r="F461" s="2" t="s">
        <v>21</v>
      </c>
      <c r="G461" s="2" t="s">
        <v>32</v>
      </c>
      <c r="H461" s="2" t="s">
        <v>33</v>
      </c>
      <c r="I461" s="2" t="s">
        <v>34</v>
      </c>
      <c r="J461" s="4">
        <v>6080000</v>
      </c>
      <c r="K461" s="2">
        <v>4</v>
      </c>
      <c r="L461" s="2">
        <v>4</v>
      </c>
      <c r="M461" s="2">
        <v>6</v>
      </c>
      <c r="N461" s="2" t="s">
        <v>41</v>
      </c>
      <c r="O461" s="2" t="s">
        <v>35</v>
      </c>
      <c r="P461" s="2" t="s">
        <v>27</v>
      </c>
      <c r="Q461" s="3">
        <v>46236</v>
      </c>
      <c r="R461" s="2" t="s">
        <v>155</v>
      </c>
    </row>
    <row r="462" spans="1:18" x14ac:dyDescent="0.3">
      <c r="A462" s="2" t="s">
        <v>831</v>
      </c>
      <c r="B462" s="2" t="s">
        <v>832</v>
      </c>
      <c r="C462" s="2" t="s">
        <v>20</v>
      </c>
      <c r="D462" s="3">
        <v>35667</v>
      </c>
      <c r="E462" s="3">
        <v>45991</v>
      </c>
      <c r="F462" s="2" t="s">
        <v>47</v>
      </c>
      <c r="G462" s="2" t="s">
        <v>127</v>
      </c>
      <c r="H462" s="2" t="s">
        <v>23</v>
      </c>
      <c r="I462" s="2" t="s">
        <v>24</v>
      </c>
      <c r="J462" s="4">
        <v>15040000</v>
      </c>
      <c r="K462" s="2">
        <v>4</v>
      </c>
      <c r="L462" s="2">
        <v>2</v>
      </c>
      <c r="M462" s="2">
        <v>10</v>
      </c>
      <c r="N462" s="2" t="s">
        <v>25</v>
      </c>
      <c r="O462" s="2" t="s">
        <v>53</v>
      </c>
      <c r="P462" s="2" t="s">
        <v>36</v>
      </c>
      <c r="Q462" s="3"/>
      <c r="R462" s="2"/>
    </row>
    <row r="463" spans="1:18" x14ac:dyDescent="0.3">
      <c r="A463" s="2" t="s">
        <v>833</v>
      </c>
      <c r="B463" s="2" t="s">
        <v>834</v>
      </c>
      <c r="C463" s="2" t="s">
        <v>20</v>
      </c>
      <c r="D463" s="3">
        <v>38971</v>
      </c>
      <c r="E463" s="3">
        <v>46267</v>
      </c>
      <c r="F463" s="2" t="s">
        <v>64</v>
      </c>
      <c r="G463" s="2" t="s">
        <v>79</v>
      </c>
      <c r="H463" s="2" t="s">
        <v>68</v>
      </c>
      <c r="I463" s="2" t="s">
        <v>24</v>
      </c>
      <c r="J463" s="4">
        <v>5760000</v>
      </c>
      <c r="K463" s="2">
        <v>2</v>
      </c>
      <c r="L463" s="2">
        <v>5</v>
      </c>
      <c r="M463" s="2">
        <v>13</v>
      </c>
      <c r="N463" s="2" t="s">
        <v>41</v>
      </c>
      <c r="O463" s="2" t="s">
        <v>26</v>
      </c>
      <c r="P463" s="2" t="s">
        <v>36</v>
      </c>
      <c r="Q463" s="3"/>
      <c r="R463" s="2"/>
    </row>
    <row r="464" spans="1:18" x14ac:dyDescent="0.3">
      <c r="A464" s="2" t="s">
        <v>835</v>
      </c>
      <c r="B464" s="2" t="s">
        <v>836</v>
      </c>
      <c r="C464" s="2" t="s">
        <v>31</v>
      </c>
      <c r="D464" s="3">
        <v>38051</v>
      </c>
      <c r="E464" s="3">
        <v>46144</v>
      </c>
      <c r="F464" s="2" t="s">
        <v>114</v>
      </c>
      <c r="G464" s="2" t="s">
        <v>150</v>
      </c>
      <c r="H464" s="2" t="s">
        <v>23</v>
      </c>
      <c r="I464" s="2" t="s">
        <v>44</v>
      </c>
      <c r="J464" s="4">
        <v>14120000</v>
      </c>
      <c r="K464" s="2">
        <v>4</v>
      </c>
      <c r="L464" s="2">
        <v>3</v>
      </c>
      <c r="M464" s="2">
        <v>15</v>
      </c>
      <c r="N464" s="2" t="s">
        <v>25</v>
      </c>
      <c r="O464" s="2" t="s">
        <v>35</v>
      </c>
      <c r="P464" s="2" t="s">
        <v>36</v>
      </c>
      <c r="Q464" s="3"/>
      <c r="R464" s="2"/>
    </row>
    <row r="465" spans="1:18" x14ac:dyDescent="0.3">
      <c r="A465" s="2" t="s">
        <v>837</v>
      </c>
      <c r="B465" s="2" t="s">
        <v>398</v>
      </c>
      <c r="C465" s="2" t="s">
        <v>20</v>
      </c>
      <c r="D465" s="3">
        <v>33849</v>
      </c>
      <c r="E465" s="3">
        <v>42921</v>
      </c>
      <c r="F465" s="2" t="s">
        <v>64</v>
      </c>
      <c r="G465" s="2" t="s">
        <v>65</v>
      </c>
      <c r="H465" s="2" t="s">
        <v>33</v>
      </c>
      <c r="I465" s="2" t="s">
        <v>24</v>
      </c>
      <c r="J465" s="4">
        <v>4900000</v>
      </c>
      <c r="K465" s="2">
        <v>3</v>
      </c>
      <c r="L465" s="2">
        <v>3</v>
      </c>
      <c r="M465" s="2">
        <v>4</v>
      </c>
      <c r="N465" s="2" t="s">
        <v>41</v>
      </c>
      <c r="O465" s="2" t="s">
        <v>26</v>
      </c>
      <c r="P465" s="2" t="s">
        <v>36</v>
      </c>
      <c r="Q465" s="3"/>
      <c r="R465" s="2"/>
    </row>
    <row r="466" spans="1:18" x14ac:dyDescent="0.3">
      <c r="A466" s="2" t="s">
        <v>838</v>
      </c>
      <c r="B466" s="2" t="s">
        <v>839</v>
      </c>
      <c r="C466" s="2" t="s">
        <v>20</v>
      </c>
      <c r="D466" s="3">
        <v>38082</v>
      </c>
      <c r="E466" s="3">
        <v>45915</v>
      </c>
      <c r="F466" s="2" t="s">
        <v>56</v>
      </c>
      <c r="G466" s="2" t="s">
        <v>142</v>
      </c>
      <c r="H466" s="2" t="s">
        <v>68</v>
      </c>
      <c r="I466" s="2" t="s">
        <v>24</v>
      </c>
      <c r="J466" s="4">
        <v>6280000</v>
      </c>
      <c r="K466" s="2">
        <v>5</v>
      </c>
      <c r="L466" s="2">
        <v>2</v>
      </c>
      <c r="M466" s="2">
        <v>0</v>
      </c>
      <c r="N466" s="2" t="s">
        <v>88</v>
      </c>
      <c r="O466" s="2" t="s">
        <v>26</v>
      </c>
      <c r="P466" s="2" t="s">
        <v>27</v>
      </c>
      <c r="Q466" s="3">
        <v>46256</v>
      </c>
      <c r="R466" s="2" t="s">
        <v>28</v>
      </c>
    </row>
    <row r="467" spans="1:18" x14ac:dyDescent="0.3">
      <c r="A467" s="2" t="s">
        <v>840</v>
      </c>
      <c r="B467" s="2" t="s">
        <v>841</v>
      </c>
      <c r="C467" s="2" t="s">
        <v>20</v>
      </c>
      <c r="D467" s="3">
        <v>36797</v>
      </c>
      <c r="E467" s="3">
        <v>44741</v>
      </c>
      <c r="F467" s="2" t="s">
        <v>47</v>
      </c>
      <c r="G467" s="2" t="s">
        <v>48</v>
      </c>
      <c r="H467" s="2" t="s">
        <v>33</v>
      </c>
      <c r="I467" s="2" t="s">
        <v>24</v>
      </c>
      <c r="J467" s="4">
        <v>4300000</v>
      </c>
      <c r="K467" s="2">
        <v>3</v>
      </c>
      <c r="L467" s="2">
        <v>4</v>
      </c>
      <c r="M467" s="2">
        <v>16</v>
      </c>
      <c r="N467" s="2" t="s">
        <v>41</v>
      </c>
      <c r="O467" s="2" t="s">
        <v>53</v>
      </c>
      <c r="P467" s="2" t="s">
        <v>36</v>
      </c>
      <c r="Q467" s="3"/>
      <c r="R467" s="2"/>
    </row>
    <row r="468" spans="1:18" x14ac:dyDescent="0.3">
      <c r="A468" s="2" t="s">
        <v>842</v>
      </c>
      <c r="B468" s="2" t="s">
        <v>636</v>
      </c>
      <c r="C468" s="2" t="s">
        <v>20</v>
      </c>
      <c r="D468" s="3">
        <v>35572</v>
      </c>
      <c r="E468" s="3">
        <v>44491</v>
      </c>
      <c r="F468" s="2" t="s">
        <v>56</v>
      </c>
      <c r="G468" s="2" t="s">
        <v>57</v>
      </c>
      <c r="H468" s="2" t="s">
        <v>68</v>
      </c>
      <c r="I468" s="2" t="s">
        <v>24</v>
      </c>
      <c r="J468" s="4">
        <v>7810000</v>
      </c>
      <c r="K468" s="2">
        <v>4</v>
      </c>
      <c r="L468" s="2">
        <v>4</v>
      </c>
      <c r="M468" s="2">
        <v>23</v>
      </c>
      <c r="N468" s="2" t="s">
        <v>25</v>
      </c>
      <c r="O468" s="2" t="s">
        <v>35</v>
      </c>
      <c r="P468" s="2" t="s">
        <v>36</v>
      </c>
      <c r="Q468" s="3"/>
      <c r="R468" s="2"/>
    </row>
    <row r="469" spans="1:18" x14ac:dyDescent="0.3">
      <c r="A469" s="2" t="s">
        <v>843</v>
      </c>
      <c r="B469" s="2" t="s">
        <v>428</v>
      </c>
      <c r="C469" s="2" t="s">
        <v>31</v>
      </c>
      <c r="D469" s="3">
        <v>38511</v>
      </c>
      <c r="E469" s="3">
        <v>46218</v>
      </c>
      <c r="F469" s="2" t="s">
        <v>51</v>
      </c>
      <c r="G469" s="2" t="s">
        <v>93</v>
      </c>
      <c r="H469" s="2" t="s">
        <v>68</v>
      </c>
      <c r="I469" s="2" t="s">
        <v>34</v>
      </c>
      <c r="J469" s="4">
        <v>5700000</v>
      </c>
      <c r="K469" s="2">
        <v>4</v>
      </c>
      <c r="L469" s="2">
        <v>4</v>
      </c>
      <c r="M469" s="2">
        <v>4</v>
      </c>
      <c r="N469" s="2" t="s">
        <v>41</v>
      </c>
      <c r="O469" s="2" t="s">
        <v>26</v>
      </c>
      <c r="P469" s="2" t="s">
        <v>27</v>
      </c>
      <c r="Q469" s="3">
        <v>46293</v>
      </c>
      <c r="R469" s="2" t="s">
        <v>401</v>
      </c>
    </row>
    <row r="470" spans="1:18" x14ac:dyDescent="0.3">
      <c r="A470" s="2" t="s">
        <v>844</v>
      </c>
      <c r="B470" s="2" t="s">
        <v>808</v>
      </c>
      <c r="C470" s="2" t="s">
        <v>20</v>
      </c>
      <c r="D470" s="3">
        <v>32663</v>
      </c>
      <c r="E470" s="3">
        <v>42812</v>
      </c>
      <c r="F470" s="2" t="s">
        <v>114</v>
      </c>
      <c r="G470" s="2" t="s">
        <v>115</v>
      </c>
      <c r="H470" s="2" t="s">
        <v>33</v>
      </c>
      <c r="I470" s="2" t="s">
        <v>24</v>
      </c>
      <c r="J470" s="4">
        <v>4330000</v>
      </c>
      <c r="K470" s="2">
        <v>3</v>
      </c>
      <c r="L470" s="2">
        <v>5</v>
      </c>
      <c r="M470" s="2">
        <v>6</v>
      </c>
      <c r="N470" s="2" t="s">
        <v>41</v>
      </c>
      <c r="O470" s="2" t="s">
        <v>53</v>
      </c>
      <c r="P470" s="2" t="s">
        <v>36</v>
      </c>
      <c r="Q470" s="3"/>
      <c r="R470" s="2"/>
    </row>
    <row r="471" spans="1:18" x14ac:dyDescent="0.3">
      <c r="A471" s="2" t="s">
        <v>845</v>
      </c>
      <c r="B471" s="2" t="s">
        <v>250</v>
      </c>
      <c r="C471" s="2" t="s">
        <v>765</v>
      </c>
      <c r="D471" s="3">
        <v>35977</v>
      </c>
      <c r="E471" s="3">
        <v>46032</v>
      </c>
      <c r="F471" s="2" t="s">
        <v>51</v>
      </c>
      <c r="G471" s="2" t="s">
        <v>93</v>
      </c>
      <c r="H471" s="2" t="s">
        <v>23</v>
      </c>
      <c r="I471" s="2" t="s">
        <v>24</v>
      </c>
      <c r="J471" s="4">
        <v>10960000</v>
      </c>
      <c r="K471" s="2">
        <v>4</v>
      </c>
      <c r="L471" s="2">
        <v>3</v>
      </c>
      <c r="M471" s="2">
        <v>19</v>
      </c>
      <c r="N471" s="2" t="s">
        <v>25</v>
      </c>
      <c r="O471" s="2" t="s">
        <v>35</v>
      </c>
      <c r="P471" s="2" t="s">
        <v>36</v>
      </c>
      <c r="Q471" s="3"/>
      <c r="R471" s="2"/>
    </row>
    <row r="472" spans="1:18" x14ac:dyDescent="0.3">
      <c r="A472" s="2" t="s">
        <v>846</v>
      </c>
      <c r="B472" s="2" t="s">
        <v>847</v>
      </c>
      <c r="C472" s="2" t="s">
        <v>20</v>
      </c>
      <c r="D472" s="3">
        <v>38864</v>
      </c>
      <c r="E472" s="3">
        <v>46185</v>
      </c>
      <c r="F472" s="2" t="s">
        <v>39</v>
      </c>
      <c r="G472" s="2" t="s">
        <v>40</v>
      </c>
      <c r="H472" s="2" t="s">
        <v>33</v>
      </c>
      <c r="I472" s="2" t="s">
        <v>96</v>
      </c>
      <c r="J472" s="4">
        <v>4430000</v>
      </c>
      <c r="K472" s="2">
        <v>2</v>
      </c>
      <c r="L472" s="2">
        <v>4</v>
      </c>
      <c r="M472" s="2">
        <v>2</v>
      </c>
      <c r="N472" s="2" t="s">
        <v>41</v>
      </c>
      <c r="O472" s="2" t="s">
        <v>26</v>
      </c>
      <c r="P472" s="2" t="s">
        <v>36</v>
      </c>
      <c r="Q472" s="3"/>
      <c r="R472" s="2"/>
    </row>
    <row r="473" spans="1:18" x14ac:dyDescent="0.3">
      <c r="A473" s="2" t="s">
        <v>848</v>
      </c>
      <c r="B473" s="2" t="s">
        <v>849</v>
      </c>
      <c r="C473" s="2" t="s">
        <v>31</v>
      </c>
      <c r="D473" s="3">
        <v>35803</v>
      </c>
      <c r="E473" s="3">
        <v>43808</v>
      </c>
      <c r="F473" s="2" t="s">
        <v>64</v>
      </c>
      <c r="G473" s="2" t="s">
        <v>73</v>
      </c>
      <c r="H473" s="2" t="s">
        <v>33</v>
      </c>
      <c r="I473" s="2" t="s">
        <v>82</v>
      </c>
      <c r="J473" s="4">
        <v>4420000</v>
      </c>
      <c r="K473" s="2">
        <v>3</v>
      </c>
      <c r="L473" s="2">
        <v>2</v>
      </c>
      <c r="M473" s="2">
        <v>18</v>
      </c>
      <c r="N473" s="2" t="s">
        <v>41</v>
      </c>
      <c r="O473" s="2" t="s">
        <v>35</v>
      </c>
      <c r="P473" s="2" t="s">
        <v>36</v>
      </c>
      <c r="Q473" s="3"/>
      <c r="R473" s="2"/>
    </row>
    <row r="474" spans="1:18" x14ac:dyDescent="0.3">
      <c r="A474" s="2" t="s">
        <v>850</v>
      </c>
      <c r="B474" s="2" t="s">
        <v>479</v>
      </c>
      <c r="C474" s="2" t="s">
        <v>31</v>
      </c>
      <c r="D474" s="3">
        <v>35440</v>
      </c>
      <c r="E474" s="3">
        <v>43351</v>
      </c>
      <c r="F474" s="2" t="s">
        <v>51</v>
      </c>
      <c r="G474" s="2" t="s">
        <v>52</v>
      </c>
      <c r="H474" s="2" t="s">
        <v>23</v>
      </c>
      <c r="I474" s="2" t="s">
        <v>24</v>
      </c>
      <c r="J474" s="4">
        <v>11200000</v>
      </c>
      <c r="K474" s="2">
        <v>4</v>
      </c>
      <c r="L474" s="2">
        <v>2</v>
      </c>
      <c r="M474" s="2">
        <v>2</v>
      </c>
      <c r="N474" s="2" t="s">
        <v>88</v>
      </c>
      <c r="O474" s="2" t="s">
        <v>26</v>
      </c>
      <c r="P474" s="2" t="s">
        <v>36</v>
      </c>
      <c r="Q474" s="3"/>
      <c r="R474" s="2"/>
    </row>
    <row r="475" spans="1:18" x14ac:dyDescent="0.3">
      <c r="A475" s="2" t="s">
        <v>851</v>
      </c>
      <c r="B475" s="2" t="s">
        <v>43</v>
      </c>
      <c r="C475" s="2" t="s">
        <v>31</v>
      </c>
      <c r="D475" s="3">
        <v>35809</v>
      </c>
      <c r="E475" s="3">
        <v>46230</v>
      </c>
      <c r="F475" s="2" t="s">
        <v>51</v>
      </c>
      <c r="G475" s="2" t="s">
        <v>52</v>
      </c>
      <c r="H475" s="2" t="s">
        <v>23</v>
      </c>
      <c r="I475" s="2" t="s">
        <v>24</v>
      </c>
      <c r="J475" s="4">
        <v>9030000</v>
      </c>
      <c r="K475" s="2">
        <v>5</v>
      </c>
      <c r="L475" s="2">
        <v>2</v>
      </c>
      <c r="M475" s="2">
        <v>2</v>
      </c>
      <c r="N475" s="2" t="s">
        <v>41</v>
      </c>
      <c r="O475" s="2" t="s">
        <v>26</v>
      </c>
      <c r="P475" s="2" t="s">
        <v>27</v>
      </c>
      <c r="Q475" s="3">
        <v>46294</v>
      </c>
      <c r="R475" s="2" t="s">
        <v>155</v>
      </c>
    </row>
    <row r="476" spans="1:18" x14ac:dyDescent="0.3">
      <c r="A476" s="2" t="s">
        <v>852</v>
      </c>
      <c r="B476" s="2" t="s">
        <v>853</v>
      </c>
      <c r="C476" s="2" t="s">
        <v>20</v>
      </c>
      <c r="D476" s="3">
        <v>37539</v>
      </c>
      <c r="E476" s="3">
        <v>46172</v>
      </c>
      <c r="F476" s="2" t="s">
        <v>21</v>
      </c>
      <c r="G476" s="2" t="s">
        <v>22</v>
      </c>
      <c r="H476" s="2" t="s">
        <v>33</v>
      </c>
      <c r="I476" s="2" t="s">
        <v>206</v>
      </c>
      <c r="J476" s="4">
        <v>6510000</v>
      </c>
      <c r="K476" s="2">
        <v>4</v>
      </c>
      <c r="L476" s="2">
        <v>4</v>
      </c>
      <c r="M476" s="2">
        <v>1</v>
      </c>
      <c r="N476" s="2" t="s">
        <v>41</v>
      </c>
      <c r="O476" s="2" t="s">
        <v>53</v>
      </c>
      <c r="P476" s="2" t="s">
        <v>36</v>
      </c>
      <c r="Q476" s="3"/>
      <c r="R476" s="2"/>
    </row>
    <row r="477" spans="1:18" x14ac:dyDescent="0.3">
      <c r="A477" s="2" t="s">
        <v>854</v>
      </c>
      <c r="B477" s="2" t="s">
        <v>855</v>
      </c>
      <c r="C477" s="2" t="s">
        <v>20</v>
      </c>
      <c r="D477" s="3">
        <v>31346</v>
      </c>
      <c r="E477" s="3">
        <v>44580</v>
      </c>
      <c r="F477" s="2" t="s">
        <v>39</v>
      </c>
      <c r="G477" s="2" t="s">
        <v>40</v>
      </c>
      <c r="H477" s="2" t="s">
        <v>33</v>
      </c>
      <c r="I477" s="2" t="s">
        <v>34</v>
      </c>
      <c r="J477" s="4">
        <v>4440000</v>
      </c>
      <c r="K477" s="2">
        <v>4</v>
      </c>
      <c r="L477" s="2">
        <v>2</v>
      </c>
      <c r="M477" s="2">
        <v>13</v>
      </c>
      <c r="N477" s="2" t="s">
        <v>88</v>
      </c>
      <c r="O477" s="2" t="s">
        <v>26</v>
      </c>
      <c r="P477" s="2" t="s">
        <v>36</v>
      </c>
      <c r="Q477" s="3"/>
      <c r="R477" s="2"/>
    </row>
    <row r="478" spans="1:18" x14ac:dyDescent="0.3">
      <c r="A478" s="2" t="s">
        <v>856</v>
      </c>
      <c r="B478" s="2" t="s">
        <v>857</v>
      </c>
      <c r="C478" s="2" t="s">
        <v>31</v>
      </c>
      <c r="D478" s="3">
        <v>32944</v>
      </c>
      <c r="E478" s="3">
        <v>45702</v>
      </c>
      <c r="F478" s="2" t="s">
        <v>114</v>
      </c>
      <c r="G478" s="2" t="s">
        <v>196</v>
      </c>
      <c r="H478" s="2" t="s">
        <v>23</v>
      </c>
      <c r="I478" s="2" t="s">
        <v>24</v>
      </c>
      <c r="J478" s="4">
        <v>9140000</v>
      </c>
      <c r="K478" s="2">
        <v>3</v>
      </c>
      <c r="L478" s="2">
        <v>4</v>
      </c>
      <c r="M478" s="2">
        <v>8</v>
      </c>
      <c r="N478" s="2" t="s">
        <v>41</v>
      </c>
      <c r="O478" s="2" t="s">
        <v>26</v>
      </c>
      <c r="P478" s="2" t="s">
        <v>36</v>
      </c>
      <c r="Q478" s="3"/>
      <c r="R478" s="2"/>
    </row>
    <row r="479" spans="1:18" x14ac:dyDescent="0.3">
      <c r="A479" s="2" t="s">
        <v>858</v>
      </c>
      <c r="B479" s="2" t="s">
        <v>59</v>
      </c>
      <c r="C479" s="2" t="s">
        <v>31</v>
      </c>
      <c r="D479" s="3">
        <v>35289</v>
      </c>
      <c r="E479" s="3">
        <v>45126</v>
      </c>
      <c r="F479" s="2" t="s">
        <v>21</v>
      </c>
      <c r="G479" s="2" t="s">
        <v>32</v>
      </c>
      <c r="H479" s="2" t="s">
        <v>33</v>
      </c>
      <c r="I479" s="2" t="s">
        <v>24</v>
      </c>
      <c r="J479" s="4">
        <v>6660000</v>
      </c>
      <c r="K479" s="2">
        <v>5</v>
      </c>
      <c r="L479" s="2">
        <v>2</v>
      </c>
      <c r="M479" s="2">
        <v>8</v>
      </c>
      <c r="N479" s="2" t="s">
        <v>25</v>
      </c>
      <c r="O479" s="2" t="s">
        <v>53</v>
      </c>
      <c r="P479" s="2" t="s">
        <v>36</v>
      </c>
      <c r="Q479" s="3"/>
      <c r="R479" s="2"/>
    </row>
    <row r="480" spans="1:18" x14ac:dyDescent="0.3">
      <c r="A480" s="2" t="s">
        <v>859</v>
      </c>
      <c r="B480" s="2" t="s">
        <v>708</v>
      </c>
      <c r="C480" s="2" t="s">
        <v>31</v>
      </c>
      <c r="D480" s="3">
        <v>38822</v>
      </c>
      <c r="E480" s="3">
        <v>46206</v>
      </c>
      <c r="F480" s="2" t="s">
        <v>21</v>
      </c>
      <c r="G480" s="2" t="s">
        <v>103</v>
      </c>
      <c r="H480" s="2" t="s">
        <v>33</v>
      </c>
      <c r="I480" s="2" t="s">
        <v>24</v>
      </c>
      <c r="J480" s="4">
        <v>4830000</v>
      </c>
      <c r="K480" s="2">
        <v>3</v>
      </c>
      <c r="L480" s="2">
        <v>4</v>
      </c>
      <c r="M480" s="2">
        <v>0</v>
      </c>
      <c r="N480" s="2" t="s">
        <v>41</v>
      </c>
      <c r="O480" s="2" t="s">
        <v>35</v>
      </c>
      <c r="P480" s="2" t="s">
        <v>36</v>
      </c>
      <c r="Q480" s="3"/>
      <c r="R480" s="2"/>
    </row>
    <row r="481" spans="1:18" x14ac:dyDescent="0.3">
      <c r="A481" s="2" t="s">
        <v>860</v>
      </c>
      <c r="B481" s="2" t="s">
        <v>304</v>
      </c>
      <c r="C481" s="2" t="s">
        <v>20</v>
      </c>
      <c r="D481" s="3">
        <v>38810</v>
      </c>
      <c r="E481" s="3">
        <v>46250</v>
      </c>
      <c r="F481" s="2" t="s">
        <v>64</v>
      </c>
      <c r="G481" s="2" t="s">
        <v>65</v>
      </c>
      <c r="H481" s="2" t="s">
        <v>33</v>
      </c>
      <c r="I481" s="2" t="s">
        <v>24</v>
      </c>
      <c r="J481" s="4">
        <v>4030000</v>
      </c>
      <c r="K481" s="2">
        <v>2</v>
      </c>
      <c r="L481" s="2">
        <v>3</v>
      </c>
      <c r="M481" s="2">
        <v>12</v>
      </c>
      <c r="N481" s="2" t="s">
        <v>41</v>
      </c>
      <c r="O481" s="2" t="s">
        <v>53</v>
      </c>
      <c r="P481" s="2" t="s">
        <v>36</v>
      </c>
      <c r="Q481" s="3"/>
      <c r="R481" s="2"/>
    </row>
    <row r="482" spans="1:18" x14ac:dyDescent="0.3">
      <c r="A482" s="2" t="s">
        <v>861</v>
      </c>
      <c r="B482" s="2" t="s">
        <v>390</v>
      </c>
      <c r="C482" s="2" t="s">
        <v>31</v>
      </c>
      <c r="D482" s="3">
        <v>34610</v>
      </c>
      <c r="E482" s="3">
        <v>45574</v>
      </c>
      <c r="F482" s="2" t="s">
        <v>51</v>
      </c>
      <c r="G482" s="2" t="s">
        <v>52</v>
      </c>
      <c r="H482" s="2" t="s">
        <v>33</v>
      </c>
      <c r="I482" s="2" t="s">
        <v>24</v>
      </c>
      <c r="J482" s="4">
        <v>3390000</v>
      </c>
      <c r="K482" s="2">
        <v>5</v>
      </c>
      <c r="L482" s="2">
        <v>4</v>
      </c>
      <c r="M482" s="2">
        <v>12</v>
      </c>
      <c r="N482" s="2" t="s">
        <v>41</v>
      </c>
      <c r="O482" s="2" t="s">
        <v>26</v>
      </c>
      <c r="P482" s="2" t="s">
        <v>27</v>
      </c>
      <c r="Q482" s="3">
        <v>45812</v>
      </c>
      <c r="R482" s="2" t="s">
        <v>28</v>
      </c>
    </row>
    <row r="483" spans="1:18" x14ac:dyDescent="0.3">
      <c r="A483" s="2" t="s">
        <v>862</v>
      </c>
      <c r="B483" s="2" t="s">
        <v>863</v>
      </c>
      <c r="C483" s="2" t="s">
        <v>20</v>
      </c>
      <c r="D483" s="3">
        <v>38742</v>
      </c>
      <c r="E483" s="3">
        <v>46165</v>
      </c>
      <c r="F483" s="2" t="s">
        <v>56</v>
      </c>
      <c r="G483" s="2" t="s">
        <v>142</v>
      </c>
      <c r="H483" s="2" t="s">
        <v>68</v>
      </c>
      <c r="I483" s="2" t="s">
        <v>24</v>
      </c>
      <c r="J483" s="4">
        <v>7880000</v>
      </c>
      <c r="K483" s="2">
        <v>3</v>
      </c>
      <c r="L483" s="2">
        <v>4</v>
      </c>
      <c r="M483" s="2">
        <v>10</v>
      </c>
      <c r="N483" s="2" t="s">
        <v>41</v>
      </c>
      <c r="O483" s="2" t="s">
        <v>26</v>
      </c>
      <c r="P483" s="2" t="s">
        <v>36</v>
      </c>
      <c r="Q483" s="3"/>
      <c r="R483" s="2"/>
    </row>
    <row r="484" spans="1:18" x14ac:dyDescent="0.3">
      <c r="A484" s="2" t="s">
        <v>864</v>
      </c>
      <c r="B484" s="2" t="s">
        <v>336</v>
      </c>
      <c r="C484" s="2" t="s">
        <v>20</v>
      </c>
      <c r="D484" s="3">
        <v>33636</v>
      </c>
      <c r="E484" s="3">
        <v>45595</v>
      </c>
      <c r="F484" s="2" t="s">
        <v>114</v>
      </c>
      <c r="G484" s="2" t="s">
        <v>115</v>
      </c>
      <c r="H484" s="2" t="s">
        <v>33</v>
      </c>
      <c r="I484" s="2" t="s">
        <v>24</v>
      </c>
      <c r="J484" s="4">
        <v>2710000</v>
      </c>
      <c r="K484" s="2">
        <v>2</v>
      </c>
      <c r="L484" s="2">
        <v>3</v>
      </c>
      <c r="M484" s="2">
        <v>8</v>
      </c>
      <c r="N484" s="2" t="s">
        <v>41</v>
      </c>
      <c r="O484" s="2" t="s">
        <v>53</v>
      </c>
      <c r="P484" s="2" t="s">
        <v>27</v>
      </c>
      <c r="Q484" s="3">
        <v>46112</v>
      </c>
      <c r="R484" s="2" t="s">
        <v>401</v>
      </c>
    </row>
    <row r="485" spans="1:18" x14ac:dyDescent="0.3">
      <c r="A485" s="2" t="s">
        <v>865</v>
      </c>
      <c r="B485" s="2" t="s">
        <v>866</v>
      </c>
      <c r="C485" s="2" t="s">
        <v>31</v>
      </c>
      <c r="D485" s="3">
        <v>29881</v>
      </c>
      <c r="E485" s="3">
        <v>43218</v>
      </c>
      <c r="F485" s="2" t="s">
        <v>56</v>
      </c>
      <c r="G485" s="2" t="s">
        <v>142</v>
      </c>
      <c r="H485" s="2" t="s">
        <v>33</v>
      </c>
      <c r="I485" s="2" t="s">
        <v>96</v>
      </c>
      <c r="J485" s="4">
        <v>4890000</v>
      </c>
      <c r="K485" s="2">
        <v>3</v>
      </c>
      <c r="L485" s="2">
        <v>1</v>
      </c>
      <c r="M485" s="2">
        <v>1</v>
      </c>
      <c r="N485" s="2" t="s">
        <v>41</v>
      </c>
      <c r="O485" s="2" t="s">
        <v>26</v>
      </c>
      <c r="P485" s="2" t="s">
        <v>36</v>
      </c>
      <c r="Q485" s="3"/>
      <c r="R485" s="2"/>
    </row>
    <row r="486" spans="1:18" x14ac:dyDescent="0.3">
      <c r="A486" s="2" t="s">
        <v>867</v>
      </c>
      <c r="B486" s="2" t="s">
        <v>279</v>
      </c>
      <c r="C486" s="2" t="s">
        <v>20</v>
      </c>
      <c r="D486" s="3">
        <v>37734</v>
      </c>
      <c r="E486" s="3">
        <v>45632</v>
      </c>
      <c r="F486" s="2" t="s">
        <v>51</v>
      </c>
      <c r="G486" s="2" t="s">
        <v>52</v>
      </c>
      <c r="H486" s="2" t="s">
        <v>33</v>
      </c>
      <c r="I486" s="2" t="s">
        <v>24</v>
      </c>
      <c r="J486" s="4">
        <v>3600000</v>
      </c>
      <c r="K486" s="2">
        <v>1</v>
      </c>
      <c r="L486" s="2">
        <v>4</v>
      </c>
      <c r="M486" s="2">
        <v>19</v>
      </c>
      <c r="N486" s="2" t="s">
        <v>41</v>
      </c>
      <c r="O486" s="2" t="s">
        <v>26</v>
      </c>
      <c r="P486" s="2" t="s">
        <v>27</v>
      </c>
      <c r="Q486" s="3">
        <v>45698</v>
      </c>
      <c r="R486" s="2" t="s">
        <v>401</v>
      </c>
    </row>
    <row r="487" spans="1:18" x14ac:dyDescent="0.3">
      <c r="A487" s="2" t="s">
        <v>868</v>
      </c>
      <c r="B487" s="2" t="s">
        <v>869</v>
      </c>
      <c r="C487" s="2" t="s">
        <v>31</v>
      </c>
      <c r="D487" s="3">
        <v>30901</v>
      </c>
      <c r="E487" s="3">
        <v>44326</v>
      </c>
      <c r="F487" s="2" t="s">
        <v>64</v>
      </c>
      <c r="G487" s="2" t="s">
        <v>65</v>
      </c>
      <c r="H487" s="2" t="s">
        <v>23</v>
      </c>
      <c r="I487" s="2" t="s">
        <v>82</v>
      </c>
      <c r="J487" s="4">
        <v>15280000</v>
      </c>
      <c r="K487" s="2">
        <v>4</v>
      </c>
      <c r="L487" s="2">
        <v>3</v>
      </c>
      <c r="M487" s="2">
        <v>11</v>
      </c>
      <c r="N487" s="2" t="s">
        <v>25</v>
      </c>
      <c r="O487" s="2" t="s">
        <v>26</v>
      </c>
      <c r="P487" s="2" t="s">
        <v>36</v>
      </c>
      <c r="Q487" s="3"/>
      <c r="R487" s="2"/>
    </row>
    <row r="488" spans="1:18" x14ac:dyDescent="0.3">
      <c r="A488" s="2" t="s">
        <v>870</v>
      </c>
      <c r="B488" s="2" t="s">
        <v>871</v>
      </c>
      <c r="C488" s="2" t="s">
        <v>20</v>
      </c>
      <c r="D488" s="3">
        <v>34232</v>
      </c>
      <c r="E488" s="3">
        <v>45962</v>
      </c>
      <c r="F488" s="2" t="s">
        <v>21</v>
      </c>
      <c r="G488" s="2" t="s">
        <v>22</v>
      </c>
      <c r="H488" s="2" t="s">
        <v>23</v>
      </c>
      <c r="I488" s="2" t="s">
        <v>44</v>
      </c>
      <c r="J488" s="4">
        <v>16560000</v>
      </c>
      <c r="K488" s="2">
        <v>4</v>
      </c>
      <c r="L488" s="2">
        <v>5</v>
      </c>
      <c r="M488" s="2">
        <v>0</v>
      </c>
      <c r="N488" s="2" t="s">
        <v>88</v>
      </c>
      <c r="O488" s="2" t="s">
        <v>35</v>
      </c>
      <c r="P488" s="2" t="s">
        <v>36</v>
      </c>
      <c r="Q488" s="3"/>
      <c r="R488" s="2"/>
    </row>
    <row r="489" spans="1:18" x14ac:dyDescent="0.3">
      <c r="A489" s="2" t="s">
        <v>872</v>
      </c>
      <c r="B489" s="2" t="s">
        <v>873</v>
      </c>
      <c r="C489" s="2" t="s">
        <v>31</v>
      </c>
      <c r="D489" s="3">
        <v>30486</v>
      </c>
      <c r="E489" s="3">
        <v>44464</v>
      </c>
      <c r="F489" s="2" t="s">
        <v>64</v>
      </c>
      <c r="G489" s="2" t="s">
        <v>79</v>
      </c>
      <c r="H489" s="2" t="s">
        <v>68</v>
      </c>
      <c r="I489" s="2" t="s">
        <v>104</v>
      </c>
      <c r="J489" s="4">
        <v>7250000</v>
      </c>
      <c r="K489" s="2"/>
      <c r="L489" s="2">
        <v>2</v>
      </c>
      <c r="M489" s="2">
        <v>5</v>
      </c>
      <c r="N489" s="2" t="s">
        <v>41</v>
      </c>
      <c r="O489" s="2" t="s">
        <v>26</v>
      </c>
      <c r="P489" s="2" t="s">
        <v>27</v>
      </c>
      <c r="Q489" s="3">
        <v>46005</v>
      </c>
      <c r="R489" s="2" t="s">
        <v>61</v>
      </c>
    </row>
    <row r="490" spans="1:18" x14ac:dyDescent="0.3">
      <c r="A490" s="2" t="s">
        <v>874</v>
      </c>
      <c r="B490" s="2" t="s">
        <v>418</v>
      </c>
      <c r="C490" s="2" t="s">
        <v>31</v>
      </c>
      <c r="D490" s="3">
        <v>38819</v>
      </c>
      <c r="E490" s="3">
        <v>46209</v>
      </c>
      <c r="F490" s="2" t="s">
        <v>21</v>
      </c>
      <c r="G490" s="2" t="s">
        <v>22</v>
      </c>
      <c r="H490" s="2" t="s">
        <v>33</v>
      </c>
      <c r="I490" s="2" t="s">
        <v>24</v>
      </c>
      <c r="J490" s="4">
        <v>4620000</v>
      </c>
      <c r="K490" s="2">
        <v>3</v>
      </c>
      <c r="L490" s="2">
        <v>4</v>
      </c>
      <c r="M490" s="2">
        <v>21</v>
      </c>
      <c r="N490" s="2" t="s">
        <v>41</v>
      </c>
      <c r="O490" s="2" t="s">
        <v>26</v>
      </c>
      <c r="P490" s="2" t="s">
        <v>27</v>
      </c>
      <c r="Q490" s="3">
        <v>46285</v>
      </c>
      <c r="R490" s="2" t="s">
        <v>235</v>
      </c>
    </row>
    <row r="491" spans="1:18" x14ac:dyDescent="0.3">
      <c r="A491" s="2" t="s">
        <v>875</v>
      </c>
      <c r="B491" s="2" t="s">
        <v>296</v>
      </c>
      <c r="C491" s="2" t="s">
        <v>20</v>
      </c>
      <c r="D491" s="3">
        <v>34103</v>
      </c>
      <c r="E491" s="3">
        <v>45267</v>
      </c>
      <c r="F491" s="2" t="s">
        <v>64</v>
      </c>
      <c r="G491" s="2" t="s">
        <v>73</v>
      </c>
      <c r="H491" s="2" t="s">
        <v>68</v>
      </c>
      <c r="I491" s="2" t="s">
        <v>24</v>
      </c>
      <c r="J491" s="4">
        <v>8250000</v>
      </c>
      <c r="K491" s="2">
        <v>4</v>
      </c>
      <c r="L491" s="2">
        <v>4</v>
      </c>
      <c r="M491" s="2">
        <v>20</v>
      </c>
      <c r="N491" s="2" t="s">
        <v>88</v>
      </c>
      <c r="O491" s="2" t="s">
        <v>35</v>
      </c>
      <c r="P491" s="2" t="s">
        <v>36</v>
      </c>
      <c r="Q491" s="3"/>
      <c r="R491" s="2"/>
    </row>
    <row r="492" spans="1:18" x14ac:dyDescent="0.3">
      <c r="A492" s="2" t="s">
        <v>876</v>
      </c>
      <c r="B492" s="2" t="s">
        <v>877</v>
      </c>
      <c r="C492" s="2" t="s">
        <v>31</v>
      </c>
      <c r="D492" s="3">
        <v>32857</v>
      </c>
      <c r="E492" s="3">
        <v>46045</v>
      </c>
      <c r="F492" s="2" t="s">
        <v>56</v>
      </c>
      <c r="G492" s="2" t="s">
        <v>142</v>
      </c>
      <c r="H492" s="2" t="s">
        <v>33</v>
      </c>
      <c r="I492" s="2" t="s">
        <v>82</v>
      </c>
      <c r="J492" s="4">
        <v>3480000</v>
      </c>
      <c r="K492" s="2">
        <v>4</v>
      </c>
      <c r="L492" s="2">
        <v>2</v>
      </c>
      <c r="M492" s="2">
        <v>18</v>
      </c>
      <c r="N492" s="2" t="s">
        <v>25</v>
      </c>
      <c r="O492" s="2" t="s">
        <v>53</v>
      </c>
      <c r="P492" s="2" t="s">
        <v>27</v>
      </c>
      <c r="Q492" s="3">
        <v>46137</v>
      </c>
      <c r="R492" s="2" t="s">
        <v>155</v>
      </c>
    </row>
    <row r="493" spans="1:18" x14ac:dyDescent="0.3">
      <c r="A493" s="2" t="s">
        <v>878</v>
      </c>
      <c r="B493" s="2" t="s">
        <v>879</v>
      </c>
      <c r="C493" s="2" t="s">
        <v>31</v>
      </c>
      <c r="D493" s="3">
        <v>32285</v>
      </c>
      <c r="E493" s="3">
        <v>45979</v>
      </c>
      <c r="F493" s="2" t="s">
        <v>21</v>
      </c>
      <c r="G493" s="2" t="s">
        <v>103</v>
      </c>
      <c r="H493" s="2" t="s">
        <v>23</v>
      </c>
      <c r="I493" s="2" t="s">
        <v>206</v>
      </c>
      <c r="J493" s="4">
        <v>20380000</v>
      </c>
      <c r="K493" s="2">
        <v>2</v>
      </c>
      <c r="L493" s="2">
        <v>4</v>
      </c>
      <c r="M493" s="2">
        <v>10</v>
      </c>
      <c r="N493" s="2" t="s">
        <v>88</v>
      </c>
      <c r="O493" s="2" t="s">
        <v>53</v>
      </c>
      <c r="P493" s="2" t="s">
        <v>36</v>
      </c>
      <c r="Q493" s="3"/>
      <c r="R493" s="2"/>
    </row>
    <row r="494" spans="1:18" x14ac:dyDescent="0.3">
      <c r="A494" s="2" t="s">
        <v>880</v>
      </c>
      <c r="B494" s="2" t="s">
        <v>834</v>
      </c>
      <c r="C494" s="2" t="s">
        <v>20</v>
      </c>
      <c r="D494" s="3">
        <v>33567</v>
      </c>
      <c r="E494" s="3">
        <v>45053</v>
      </c>
      <c r="F494" s="2" t="s">
        <v>64</v>
      </c>
      <c r="G494" s="2" t="s">
        <v>65</v>
      </c>
      <c r="H494" s="2" t="s">
        <v>23</v>
      </c>
      <c r="I494" s="2" t="s">
        <v>24</v>
      </c>
      <c r="J494" s="4">
        <v>15750000</v>
      </c>
      <c r="K494" s="2">
        <v>3</v>
      </c>
      <c r="L494" s="2">
        <v>2</v>
      </c>
      <c r="M494" s="2">
        <v>9</v>
      </c>
      <c r="N494" s="2" t="s">
        <v>25</v>
      </c>
      <c r="O494" s="2" t="s">
        <v>53</v>
      </c>
      <c r="P494" s="2" t="s">
        <v>36</v>
      </c>
      <c r="Q494" s="3"/>
      <c r="R494" s="2"/>
    </row>
    <row r="495" spans="1:18" x14ac:dyDescent="0.3">
      <c r="A495" s="2" t="s">
        <v>881</v>
      </c>
      <c r="B495" s="2" t="s">
        <v>418</v>
      </c>
      <c r="C495" s="2" t="s">
        <v>31</v>
      </c>
      <c r="D495" s="3">
        <v>33997</v>
      </c>
      <c r="E495" s="3">
        <v>44088</v>
      </c>
      <c r="F495" s="2" t="s">
        <v>51</v>
      </c>
      <c r="G495" s="2" t="s">
        <v>52</v>
      </c>
      <c r="H495" s="2" t="s">
        <v>23</v>
      </c>
      <c r="I495" s="2" t="s">
        <v>34</v>
      </c>
      <c r="J495" s="4">
        <v>8320000</v>
      </c>
      <c r="K495" s="2">
        <v>3</v>
      </c>
      <c r="L495" s="2">
        <v>3</v>
      </c>
      <c r="M495" s="2">
        <v>27</v>
      </c>
      <c r="N495" s="2" t="s">
        <v>25</v>
      </c>
      <c r="O495" s="2" t="s">
        <v>26</v>
      </c>
      <c r="P495" s="2" t="s">
        <v>36</v>
      </c>
      <c r="Q495" s="3"/>
      <c r="R495" s="2"/>
    </row>
    <row r="496" spans="1:18" x14ac:dyDescent="0.3">
      <c r="A496" s="2" t="s">
        <v>882</v>
      </c>
      <c r="B496" s="2" t="s">
        <v>574</v>
      </c>
      <c r="C496" s="2" t="s">
        <v>31</v>
      </c>
      <c r="D496" s="3">
        <v>32932</v>
      </c>
      <c r="E496" s="3">
        <v>44790</v>
      </c>
      <c r="F496" s="2" t="s">
        <v>51</v>
      </c>
      <c r="G496" s="2" t="s">
        <v>93</v>
      </c>
      <c r="H496" s="2" t="s">
        <v>68</v>
      </c>
      <c r="I496" s="2" t="s">
        <v>96</v>
      </c>
      <c r="J496" s="4">
        <v>5060000</v>
      </c>
      <c r="K496" s="2">
        <v>4</v>
      </c>
      <c r="L496" s="2">
        <v>2</v>
      </c>
      <c r="M496" s="2">
        <v>20</v>
      </c>
      <c r="N496" s="2" t="s">
        <v>41</v>
      </c>
      <c r="O496" s="2" t="s">
        <v>26</v>
      </c>
      <c r="P496" s="2" t="s">
        <v>27</v>
      </c>
      <c r="Q496" s="3">
        <v>46031</v>
      </c>
      <c r="R496" s="2" t="s">
        <v>28</v>
      </c>
    </row>
    <row r="497" spans="1:18" x14ac:dyDescent="0.3">
      <c r="A497" s="2" t="s">
        <v>883</v>
      </c>
      <c r="B497" s="2" t="s">
        <v>658</v>
      </c>
      <c r="C497" s="2" t="s">
        <v>31</v>
      </c>
      <c r="D497" s="3">
        <v>35379</v>
      </c>
      <c r="E497" s="3">
        <v>46190</v>
      </c>
      <c r="F497" s="2" t="s">
        <v>114</v>
      </c>
      <c r="G497" s="2" t="s">
        <v>115</v>
      </c>
      <c r="H497" s="2" t="s">
        <v>33</v>
      </c>
      <c r="I497" s="2" t="s">
        <v>34</v>
      </c>
      <c r="J497" s="4">
        <v>3400000</v>
      </c>
      <c r="K497" s="2">
        <v>5</v>
      </c>
      <c r="L497" s="2">
        <v>4</v>
      </c>
      <c r="M497" s="2">
        <v>16</v>
      </c>
      <c r="N497" s="2" t="s">
        <v>41</v>
      </c>
      <c r="O497" s="2" t="s">
        <v>53</v>
      </c>
      <c r="P497" s="2" t="s">
        <v>36</v>
      </c>
      <c r="Q497" s="3"/>
      <c r="R497" s="2"/>
    </row>
    <row r="498" spans="1:18" x14ac:dyDescent="0.3">
      <c r="A498" s="2" t="s">
        <v>884</v>
      </c>
      <c r="B498" s="2" t="s">
        <v>518</v>
      </c>
      <c r="C498" s="2" t="s">
        <v>31</v>
      </c>
      <c r="D498" s="3">
        <v>34096</v>
      </c>
      <c r="E498" s="3">
        <v>44431</v>
      </c>
      <c r="F498" s="2" t="s">
        <v>56</v>
      </c>
      <c r="G498" s="2" t="s">
        <v>142</v>
      </c>
      <c r="H498" s="2" t="s">
        <v>68</v>
      </c>
      <c r="I498" s="2" t="s">
        <v>82</v>
      </c>
      <c r="J498" s="4">
        <v>8610000</v>
      </c>
      <c r="K498" s="2">
        <v>4</v>
      </c>
      <c r="L498" s="2">
        <v>2</v>
      </c>
      <c r="M498" s="2">
        <v>0</v>
      </c>
      <c r="N498" s="2" t="s">
        <v>41</v>
      </c>
      <c r="O498" s="2" t="s">
        <v>35</v>
      </c>
      <c r="P498" s="2" t="s">
        <v>36</v>
      </c>
      <c r="Q498" s="3"/>
      <c r="R498" s="2"/>
    </row>
    <row r="499" spans="1:18" x14ac:dyDescent="0.3">
      <c r="A499" s="2" t="s">
        <v>885</v>
      </c>
      <c r="B499" s="2" t="s">
        <v>886</v>
      </c>
      <c r="C499" s="2" t="s">
        <v>20</v>
      </c>
      <c r="D499" s="3">
        <v>33423</v>
      </c>
      <c r="E499" s="3">
        <v>44290</v>
      </c>
      <c r="F499" s="2" t="s">
        <v>114</v>
      </c>
      <c r="G499" s="2" t="s">
        <v>150</v>
      </c>
      <c r="H499" s="2" t="s">
        <v>33</v>
      </c>
      <c r="I499" s="2" t="s">
        <v>96</v>
      </c>
      <c r="J499" s="4">
        <v>3580000</v>
      </c>
      <c r="K499" s="2">
        <v>3</v>
      </c>
      <c r="L499" s="2">
        <v>5</v>
      </c>
      <c r="M499" s="2">
        <v>16</v>
      </c>
      <c r="N499" s="2" t="s">
        <v>41</v>
      </c>
      <c r="O499" s="2" t="s">
        <v>35</v>
      </c>
      <c r="P499" s="2" t="s">
        <v>36</v>
      </c>
      <c r="Q499" s="3"/>
      <c r="R499" s="2"/>
    </row>
    <row r="500" spans="1:18" x14ac:dyDescent="0.3">
      <c r="A500" s="2" t="s">
        <v>887</v>
      </c>
      <c r="B500" s="2" t="s">
        <v>847</v>
      </c>
      <c r="C500" s="2" t="s">
        <v>20</v>
      </c>
      <c r="D500" s="3">
        <v>35604</v>
      </c>
      <c r="E500" s="3">
        <v>44695</v>
      </c>
      <c r="F500" s="2" t="s">
        <v>64</v>
      </c>
      <c r="G500" s="2" t="s">
        <v>79</v>
      </c>
      <c r="H500" s="2" t="s">
        <v>68</v>
      </c>
      <c r="I500" s="2" t="s">
        <v>24</v>
      </c>
      <c r="J500" s="4">
        <v>7120000</v>
      </c>
      <c r="K500" s="2">
        <v>4</v>
      </c>
      <c r="L500" s="2">
        <v>5</v>
      </c>
      <c r="M500" s="2">
        <v>19</v>
      </c>
      <c r="N500" s="2" t="s">
        <v>25</v>
      </c>
      <c r="O500" s="2" t="s">
        <v>35</v>
      </c>
      <c r="P500" s="2" t="s">
        <v>36</v>
      </c>
      <c r="Q500" s="3"/>
      <c r="R500" s="2"/>
    </row>
    <row r="501" spans="1:18" x14ac:dyDescent="0.3">
      <c r="A501" s="2" t="s">
        <v>888</v>
      </c>
      <c r="B501" s="2" t="s">
        <v>212</v>
      </c>
      <c r="C501" s="2" t="s">
        <v>31</v>
      </c>
      <c r="D501" s="3">
        <v>31264</v>
      </c>
      <c r="E501" s="3">
        <v>43845</v>
      </c>
      <c r="F501" s="2" t="s">
        <v>114</v>
      </c>
      <c r="G501" s="2" t="s">
        <v>196</v>
      </c>
      <c r="H501" s="2" t="s">
        <v>68</v>
      </c>
      <c r="I501" s="2" t="s">
        <v>24</v>
      </c>
      <c r="J501" s="4">
        <v>7110000</v>
      </c>
      <c r="K501" s="2">
        <v>3</v>
      </c>
      <c r="L501" s="2">
        <v>1</v>
      </c>
      <c r="M501" s="2">
        <v>7</v>
      </c>
      <c r="N501" s="2" t="s">
        <v>25</v>
      </c>
      <c r="O501" s="2" t="s">
        <v>26</v>
      </c>
      <c r="P501" s="2" t="s">
        <v>36</v>
      </c>
      <c r="Q501" s="3"/>
      <c r="R501" s="2"/>
    </row>
    <row r="502" spans="1:18" x14ac:dyDescent="0.3">
      <c r="A502" s="2" t="s">
        <v>889</v>
      </c>
      <c r="B502" s="2" t="s">
        <v>322</v>
      </c>
      <c r="C502" s="2" t="s">
        <v>20</v>
      </c>
      <c r="D502" s="3">
        <v>30933</v>
      </c>
      <c r="E502" s="3">
        <v>45244</v>
      </c>
      <c r="F502" s="2" t="s">
        <v>64</v>
      </c>
      <c r="G502" s="2" t="s">
        <v>65</v>
      </c>
      <c r="H502" s="2" t="s">
        <v>23</v>
      </c>
      <c r="I502" s="2" t="s">
        <v>82</v>
      </c>
      <c r="J502" s="4">
        <v>14420000</v>
      </c>
      <c r="K502" s="2">
        <v>4</v>
      </c>
      <c r="L502" s="2">
        <v>4</v>
      </c>
      <c r="M502" s="2">
        <v>11</v>
      </c>
      <c r="N502" s="2" t="s">
        <v>25</v>
      </c>
      <c r="O502" s="2" t="s">
        <v>35</v>
      </c>
      <c r="P502" s="2" t="s">
        <v>36</v>
      </c>
      <c r="Q502" s="3"/>
      <c r="R502" s="2"/>
    </row>
    <row r="503" spans="1:18" x14ac:dyDescent="0.3">
      <c r="A503" s="2" t="s">
        <v>890</v>
      </c>
      <c r="B503" s="2" t="s">
        <v>857</v>
      </c>
      <c r="C503" s="2" t="s">
        <v>31</v>
      </c>
      <c r="D503" s="3">
        <v>31874</v>
      </c>
      <c r="E503" s="3">
        <v>45702</v>
      </c>
      <c r="F503" s="2" t="s">
        <v>51</v>
      </c>
      <c r="G503" s="2" t="s">
        <v>93</v>
      </c>
      <c r="H503" s="2" t="s">
        <v>23</v>
      </c>
      <c r="I503" s="2" t="s">
        <v>24</v>
      </c>
      <c r="J503" s="4">
        <v>9370000</v>
      </c>
      <c r="K503" s="2">
        <v>5</v>
      </c>
      <c r="L503" s="2">
        <v>2</v>
      </c>
      <c r="M503" s="2">
        <v>2</v>
      </c>
      <c r="N503" s="2" t="s">
        <v>41</v>
      </c>
      <c r="O503" s="2" t="s">
        <v>26</v>
      </c>
      <c r="P503" s="2" t="s">
        <v>36</v>
      </c>
      <c r="Q503" s="3"/>
      <c r="R503" s="2"/>
    </row>
    <row r="504" spans="1:18" x14ac:dyDescent="0.3">
      <c r="A504" s="2" t="s">
        <v>891</v>
      </c>
      <c r="B504" s="2" t="s">
        <v>149</v>
      </c>
      <c r="C504" s="2" t="s">
        <v>31</v>
      </c>
      <c r="D504" s="3">
        <v>31051</v>
      </c>
      <c r="E504" s="3">
        <v>45629</v>
      </c>
      <c r="F504" s="2" t="s">
        <v>56</v>
      </c>
      <c r="G504" s="2" t="s">
        <v>142</v>
      </c>
      <c r="H504" s="2" t="s">
        <v>68</v>
      </c>
      <c r="I504" s="2" t="s">
        <v>24</v>
      </c>
      <c r="J504" s="4">
        <v>6820000</v>
      </c>
      <c r="K504" s="2">
        <v>3</v>
      </c>
      <c r="L504" s="2">
        <v>2</v>
      </c>
      <c r="M504" s="2">
        <v>1</v>
      </c>
      <c r="N504" s="2" t="s">
        <v>88</v>
      </c>
      <c r="O504" s="2" t="s">
        <v>26</v>
      </c>
      <c r="P504" s="2" t="s">
        <v>36</v>
      </c>
      <c r="Q504" s="3"/>
      <c r="R504" s="2"/>
    </row>
    <row r="505" spans="1:18" x14ac:dyDescent="0.3">
      <c r="A505" s="2" t="s">
        <v>891</v>
      </c>
      <c r="B505" s="2" t="s">
        <v>149</v>
      </c>
      <c r="C505" s="2" t="s">
        <v>31</v>
      </c>
      <c r="D505" s="3">
        <v>31051</v>
      </c>
      <c r="E505" s="3">
        <v>45629</v>
      </c>
      <c r="F505" s="2" t="s">
        <v>56</v>
      </c>
      <c r="G505" s="2" t="s">
        <v>142</v>
      </c>
      <c r="H505" s="2" t="s">
        <v>68</v>
      </c>
      <c r="I505" s="2" t="s">
        <v>24</v>
      </c>
      <c r="J505" s="4">
        <v>6820000</v>
      </c>
      <c r="K505" s="2">
        <v>3</v>
      </c>
      <c r="L505" s="2">
        <v>2</v>
      </c>
      <c r="M505" s="2">
        <v>1</v>
      </c>
      <c r="N505" s="2" t="s">
        <v>88</v>
      </c>
      <c r="O505" s="2" t="s">
        <v>26</v>
      </c>
      <c r="P505" s="2" t="s">
        <v>36</v>
      </c>
      <c r="Q505" s="3"/>
      <c r="R505" s="2"/>
    </row>
    <row r="506" spans="1:18" x14ac:dyDescent="0.3">
      <c r="A506" s="2" t="s">
        <v>892</v>
      </c>
      <c r="B506" s="2" t="s">
        <v>645</v>
      </c>
      <c r="C506" s="2" t="s">
        <v>234</v>
      </c>
      <c r="D506" s="3">
        <v>34690</v>
      </c>
      <c r="E506" s="3">
        <v>45264</v>
      </c>
      <c r="F506" s="2" t="s">
        <v>64</v>
      </c>
      <c r="G506" s="2" t="s">
        <v>65</v>
      </c>
      <c r="H506" s="2" t="s">
        <v>33</v>
      </c>
      <c r="I506" s="2" t="s">
        <v>104</v>
      </c>
      <c r="J506" s="4">
        <v>4390000</v>
      </c>
      <c r="K506" s="2">
        <v>1</v>
      </c>
      <c r="L506" s="2">
        <v>4</v>
      </c>
      <c r="M506" s="2">
        <v>37</v>
      </c>
      <c r="N506" s="2" t="s">
        <v>41</v>
      </c>
      <c r="O506" s="2" t="s">
        <v>53</v>
      </c>
      <c r="P506" s="2" t="s">
        <v>36</v>
      </c>
      <c r="Q506" s="3"/>
      <c r="R506" s="2"/>
    </row>
    <row r="507" spans="1:18" x14ac:dyDescent="0.3">
      <c r="A507" s="2" t="s">
        <v>893</v>
      </c>
      <c r="B507" s="2" t="s">
        <v>492</v>
      </c>
      <c r="C507" s="2" t="s">
        <v>20</v>
      </c>
      <c r="D507" s="3">
        <v>32734</v>
      </c>
      <c r="E507" s="3">
        <v>45891</v>
      </c>
      <c r="F507" s="2" t="s">
        <v>64</v>
      </c>
      <c r="G507" s="2" t="s">
        <v>65</v>
      </c>
      <c r="H507" s="2" t="s">
        <v>33</v>
      </c>
      <c r="I507" s="2" t="s">
        <v>24</v>
      </c>
      <c r="J507" s="4">
        <v>4600000</v>
      </c>
      <c r="K507" s="2">
        <v>3</v>
      </c>
      <c r="L507" s="2">
        <v>4</v>
      </c>
      <c r="M507" s="2">
        <v>13</v>
      </c>
      <c r="N507" s="2" t="s">
        <v>25</v>
      </c>
      <c r="O507" s="2" t="s">
        <v>53</v>
      </c>
      <c r="P507" s="2" t="s">
        <v>27</v>
      </c>
      <c r="Q507" s="3">
        <v>46215</v>
      </c>
      <c r="R507" s="2" t="s">
        <v>155</v>
      </c>
    </row>
    <row r="508" spans="1:18" x14ac:dyDescent="0.3">
      <c r="A508" s="2" t="s">
        <v>894</v>
      </c>
      <c r="B508" s="2" t="s">
        <v>822</v>
      </c>
      <c r="C508" s="2" t="s">
        <v>20</v>
      </c>
      <c r="D508" s="3">
        <v>30989</v>
      </c>
      <c r="E508" s="3">
        <v>43541</v>
      </c>
      <c r="F508" s="2" t="s">
        <v>21</v>
      </c>
      <c r="G508" s="2" t="s">
        <v>22</v>
      </c>
      <c r="H508" s="2" t="s">
        <v>33</v>
      </c>
      <c r="I508" s="2" t="s">
        <v>34</v>
      </c>
      <c r="J508" s="4">
        <v>6570000</v>
      </c>
      <c r="K508" s="2">
        <v>3</v>
      </c>
      <c r="L508" s="2">
        <v>2</v>
      </c>
      <c r="M508" s="2">
        <v>8</v>
      </c>
      <c r="N508" s="2" t="s">
        <v>25</v>
      </c>
      <c r="O508" s="2" t="s">
        <v>26</v>
      </c>
      <c r="P508" s="2" t="s">
        <v>36</v>
      </c>
      <c r="Q508" s="3"/>
      <c r="R508" s="2"/>
    </row>
    <row r="509" spans="1:18" x14ac:dyDescent="0.3">
      <c r="A509" s="2" t="s">
        <v>895</v>
      </c>
      <c r="B509" s="2" t="s">
        <v>896</v>
      </c>
      <c r="C509" s="2" t="s">
        <v>31</v>
      </c>
      <c r="D509" s="3">
        <v>32502</v>
      </c>
      <c r="E509" s="3">
        <v>46263</v>
      </c>
      <c r="F509" s="2" t="s">
        <v>114</v>
      </c>
      <c r="G509" s="2" t="s">
        <v>150</v>
      </c>
      <c r="H509" s="2" t="s">
        <v>23</v>
      </c>
      <c r="I509" s="2" t="s">
        <v>104</v>
      </c>
      <c r="J509" s="4">
        <v>10640000</v>
      </c>
      <c r="K509" s="2">
        <v>3</v>
      </c>
      <c r="L509" s="2">
        <v>5</v>
      </c>
      <c r="M509" s="2">
        <v>12</v>
      </c>
      <c r="N509" s="2" t="s">
        <v>25</v>
      </c>
      <c r="O509" s="2" t="s">
        <v>26</v>
      </c>
      <c r="P509" s="2" t="s">
        <v>36</v>
      </c>
      <c r="Q509" s="3"/>
      <c r="R509" s="2"/>
    </row>
    <row r="510" spans="1:18" x14ac:dyDescent="0.3">
      <c r="A510" s="2" t="s">
        <v>897</v>
      </c>
      <c r="B510" s="2" t="s">
        <v>244</v>
      </c>
      <c r="C510" s="2" t="s">
        <v>31</v>
      </c>
      <c r="D510" s="3">
        <v>34382</v>
      </c>
      <c r="E510" s="3">
        <v>45604</v>
      </c>
      <c r="F510" s="2" t="s">
        <v>39</v>
      </c>
      <c r="G510" s="2" t="s">
        <v>170</v>
      </c>
      <c r="H510" s="2" t="s">
        <v>68</v>
      </c>
      <c r="I510" s="2" t="s">
        <v>24</v>
      </c>
      <c r="J510" s="4">
        <v>7040000</v>
      </c>
      <c r="K510" s="2">
        <v>3</v>
      </c>
      <c r="L510" s="2">
        <v>4</v>
      </c>
      <c r="M510" s="2">
        <v>7</v>
      </c>
      <c r="N510" s="2" t="s">
        <v>41</v>
      </c>
      <c r="O510" s="2" t="s">
        <v>26</v>
      </c>
      <c r="P510" s="2" t="s">
        <v>36</v>
      </c>
      <c r="Q510" s="3"/>
      <c r="R510" s="2"/>
    </row>
    <row r="511" spans="1:18" x14ac:dyDescent="0.3">
      <c r="A511" s="2" t="s">
        <v>898</v>
      </c>
      <c r="B511" s="2" t="s">
        <v>532</v>
      </c>
      <c r="C511" s="2" t="s">
        <v>31</v>
      </c>
      <c r="D511" s="3">
        <v>34744</v>
      </c>
      <c r="E511" s="3">
        <v>45760</v>
      </c>
      <c r="F511" s="2" t="s">
        <v>64</v>
      </c>
      <c r="G511" s="2" t="s">
        <v>73</v>
      </c>
      <c r="H511" s="2" t="s">
        <v>33</v>
      </c>
      <c r="I511" s="2" t="s">
        <v>24</v>
      </c>
      <c r="J511" s="4">
        <v>3230000</v>
      </c>
      <c r="K511" s="2">
        <v>3</v>
      </c>
      <c r="L511" s="2">
        <v>3</v>
      </c>
      <c r="M511" s="2">
        <v>8</v>
      </c>
      <c r="N511" s="2" t="s">
        <v>41</v>
      </c>
      <c r="O511" s="2" t="s">
        <v>35</v>
      </c>
      <c r="P511" s="2" t="s">
        <v>36</v>
      </c>
      <c r="Q511" s="3"/>
      <c r="R511" s="2"/>
    </row>
    <row r="512" spans="1:18" x14ac:dyDescent="0.3">
      <c r="A512" s="2" t="s">
        <v>899</v>
      </c>
      <c r="B512" s="2" t="s">
        <v>121</v>
      </c>
      <c r="C512" s="2" t="s">
        <v>31</v>
      </c>
      <c r="D512" s="3">
        <v>36545</v>
      </c>
      <c r="E512" s="3">
        <v>45538</v>
      </c>
      <c r="F512" s="2" t="s">
        <v>64</v>
      </c>
      <c r="G512" s="2" t="s">
        <v>73</v>
      </c>
      <c r="H512" s="2" t="s">
        <v>68</v>
      </c>
      <c r="I512" s="2" t="s">
        <v>82</v>
      </c>
      <c r="J512" s="4">
        <v>5590000</v>
      </c>
      <c r="K512" s="2">
        <v>3</v>
      </c>
      <c r="L512" s="2">
        <v>2</v>
      </c>
      <c r="M512" s="2">
        <v>21</v>
      </c>
      <c r="N512" s="2" t="s">
        <v>41</v>
      </c>
      <c r="O512" s="2" t="s">
        <v>26</v>
      </c>
      <c r="P512" s="2" t="s">
        <v>36</v>
      </c>
      <c r="Q512" s="3"/>
      <c r="R512" s="2"/>
    </row>
    <row r="513" spans="1:18" x14ac:dyDescent="0.3">
      <c r="A513" s="2" t="s">
        <v>900</v>
      </c>
      <c r="B513" s="2" t="s">
        <v>901</v>
      </c>
      <c r="C513" s="2" t="s">
        <v>20</v>
      </c>
      <c r="D513" s="3">
        <v>35083</v>
      </c>
      <c r="E513" s="3">
        <v>43390</v>
      </c>
      <c r="F513" s="2" t="s">
        <v>21</v>
      </c>
      <c r="G513" s="2" t="s">
        <v>103</v>
      </c>
      <c r="H513" s="2" t="s">
        <v>33</v>
      </c>
      <c r="I513" s="2" t="s">
        <v>24</v>
      </c>
      <c r="J513" s="4">
        <v>6490000</v>
      </c>
      <c r="K513" s="2">
        <v>4</v>
      </c>
      <c r="L513" s="2">
        <v>3</v>
      </c>
      <c r="M513" s="2">
        <v>24</v>
      </c>
      <c r="N513" s="2" t="s">
        <v>41</v>
      </c>
      <c r="O513" s="2" t="s">
        <v>26</v>
      </c>
      <c r="P513" s="2" t="s">
        <v>27</v>
      </c>
      <c r="Q513" s="3">
        <v>45717</v>
      </c>
      <c r="R513" s="2" t="s">
        <v>145</v>
      </c>
    </row>
    <row r="514" spans="1:18" x14ac:dyDescent="0.3">
      <c r="A514" s="2" t="s">
        <v>902</v>
      </c>
      <c r="B514" s="2" t="s">
        <v>425</v>
      </c>
      <c r="C514" s="2" t="s">
        <v>31</v>
      </c>
      <c r="D514" s="3">
        <v>36192</v>
      </c>
      <c r="E514" s="3">
        <v>44970</v>
      </c>
      <c r="F514" s="2" t="s">
        <v>51</v>
      </c>
      <c r="G514" s="2" t="s">
        <v>93</v>
      </c>
      <c r="H514" s="2" t="s">
        <v>33</v>
      </c>
      <c r="I514" s="2" t="s">
        <v>24</v>
      </c>
      <c r="J514" s="4">
        <v>3920000</v>
      </c>
      <c r="K514" s="2">
        <v>5</v>
      </c>
      <c r="L514" s="2">
        <v>1</v>
      </c>
      <c r="M514" s="2">
        <v>42</v>
      </c>
      <c r="N514" s="2" t="s">
        <v>41</v>
      </c>
      <c r="O514" s="2" t="s">
        <v>26</v>
      </c>
      <c r="P514" s="2" t="s">
        <v>36</v>
      </c>
      <c r="Q514" s="3"/>
      <c r="R514" s="2"/>
    </row>
    <row r="515" spans="1:18" x14ac:dyDescent="0.3">
      <c r="A515" s="2" t="s">
        <v>903</v>
      </c>
      <c r="B515" s="2" t="s">
        <v>113</v>
      </c>
      <c r="C515" s="2" t="s">
        <v>20</v>
      </c>
      <c r="D515" s="3">
        <v>33860</v>
      </c>
      <c r="E515" s="3">
        <v>45038</v>
      </c>
      <c r="F515" s="2" t="s">
        <v>39</v>
      </c>
      <c r="G515" s="2" t="s">
        <v>40</v>
      </c>
      <c r="H515" s="2" t="s">
        <v>33</v>
      </c>
      <c r="I515" s="2" t="s">
        <v>24</v>
      </c>
      <c r="J515" s="4">
        <v>4690000</v>
      </c>
      <c r="K515" s="2">
        <v>3</v>
      </c>
      <c r="L515" s="2">
        <v>4</v>
      </c>
      <c r="M515" s="2">
        <v>15</v>
      </c>
      <c r="N515" s="2" t="s">
        <v>88</v>
      </c>
      <c r="O515" s="2" t="s">
        <v>26</v>
      </c>
      <c r="P515" s="2" t="s">
        <v>36</v>
      </c>
      <c r="Q515" s="3"/>
      <c r="R515" s="2"/>
    </row>
    <row r="516" spans="1:18" x14ac:dyDescent="0.3">
      <c r="A516" s="2" t="s">
        <v>904</v>
      </c>
      <c r="B516" s="2" t="s">
        <v>905</v>
      </c>
      <c r="C516" s="2" t="s">
        <v>20</v>
      </c>
      <c r="D516" s="3">
        <v>34044</v>
      </c>
      <c r="E516" s="3">
        <v>45998</v>
      </c>
      <c r="F516" s="2" t="s">
        <v>21</v>
      </c>
      <c r="G516" s="2" t="s">
        <v>103</v>
      </c>
      <c r="H516" s="2" t="s">
        <v>68</v>
      </c>
      <c r="I516" s="2" t="s">
        <v>24</v>
      </c>
      <c r="J516" s="4">
        <v>12090000</v>
      </c>
      <c r="K516" s="2">
        <v>4</v>
      </c>
      <c r="L516" s="2">
        <v>3</v>
      </c>
      <c r="M516" s="2">
        <v>24</v>
      </c>
      <c r="N516" s="2" t="s">
        <v>41</v>
      </c>
      <c r="O516" s="2" t="s">
        <v>26</v>
      </c>
      <c r="P516" s="2" t="s">
        <v>36</v>
      </c>
      <c r="Q516" s="3"/>
      <c r="R516" s="2"/>
    </row>
    <row r="517" spans="1:18" x14ac:dyDescent="0.3">
      <c r="A517" s="2" t="s">
        <v>906</v>
      </c>
      <c r="B517" s="2" t="s">
        <v>184</v>
      </c>
      <c r="C517" s="2" t="s">
        <v>31</v>
      </c>
      <c r="D517" s="3">
        <v>32495</v>
      </c>
      <c r="E517" s="3">
        <v>46155</v>
      </c>
      <c r="F517" s="2" t="s">
        <v>64</v>
      </c>
      <c r="G517" s="2" t="s">
        <v>79</v>
      </c>
      <c r="H517" s="2" t="s">
        <v>33</v>
      </c>
      <c r="I517" s="2" t="s">
        <v>24</v>
      </c>
      <c r="J517" s="4">
        <v>4910000</v>
      </c>
      <c r="K517" s="2">
        <v>3</v>
      </c>
      <c r="L517" s="2">
        <v>4</v>
      </c>
      <c r="M517" s="2">
        <v>12</v>
      </c>
      <c r="N517" s="2" t="s">
        <v>88</v>
      </c>
      <c r="O517" s="2" t="s">
        <v>26</v>
      </c>
      <c r="P517" s="2" t="s">
        <v>36</v>
      </c>
      <c r="Q517" s="3"/>
      <c r="R517" s="2"/>
    </row>
    <row r="518" spans="1:18" x14ac:dyDescent="0.3">
      <c r="A518" s="2" t="s">
        <v>907</v>
      </c>
      <c r="B518" s="2" t="s">
        <v>834</v>
      </c>
      <c r="C518" s="2" t="s">
        <v>20</v>
      </c>
      <c r="D518" s="3">
        <v>35143</v>
      </c>
      <c r="E518" s="3">
        <v>46095</v>
      </c>
      <c r="F518" s="2" t="s">
        <v>21</v>
      </c>
      <c r="G518" s="2" t="s">
        <v>22</v>
      </c>
      <c r="H518" s="2" t="s">
        <v>33</v>
      </c>
      <c r="I518" s="2" t="s">
        <v>24</v>
      </c>
      <c r="J518" s="4">
        <v>6800000</v>
      </c>
      <c r="K518" s="2">
        <v>4</v>
      </c>
      <c r="L518" s="2">
        <v>5</v>
      </c>
      <c r="M518" s="2">
        <v>0</v>
      </c>
      <c r="N518" s="2" t="s">
        <v>41</v>
      </c>
      <c r="O518" s="2" t="s">
        <v>26</v>
      </c>
      <c r="P518" s="2" t="s">
        <v>36</v>
      </c>
      <c r="Q518" s="3"/>
      <c r="R518" s="2"/>
    </row>
    <row r="519" spans="1:18" x14ac:dyDescent="0.3">
      <c r="A519" s="2" t="s">
        <v>908</v>
      </c>
      <c r="B519" s="2" t="s">
        <v>574</v>
      </c>
      <c r="C519" s="2" t="s">
        <v>31</v>
      </c>
      <c r="D519" s="3">
        <v>33515</v>
      </c>
      <c r="E519" s="3">
        <v>45440</v>
      </c>
      <c r="F519" s="2" t="s">
        <v>56</v>
      </c>
      <c r="G519" s="2" t="s">
        <v>60</v>
      </c>
      <c r="H519" s="2" t="s">
        <v>33</v>
      </c>
      <c r="I519" s="2" t="s">
        <v>24</v>
      </c>
      <c r="J519" s="4">
        <v>4200000</v>
      </c>
      <c r="K519" s="2">
        <v>3</v>
      </c>
      <c r="L519" s="2">
        <v>2</v>
      </c>
      <c r="M519" s="2">
        <v>0</v>
      </c>
      <c r="N519" s="2" t="s">
        <v>88</v>
      </c>
      <c r="O519" s="2" t="s">
        <v>35</v>
      </c>
      <c r="P519" s="2" t="s">
        <v>36</v>
      </c>
      <c r="Q519" s="3"/>
      <c r="R519" s="2"/>
    </row>
    <row r="520" spans="1:18" x14ac:dyDescent="0.3">
      <c r="A520" s="2" t="s">
        <v>909</v>
      </c>
      <c r="B520" s="2" t="s">
        <v>710</v>
      </c>
      <c r="C520" s="2" t="s">
        <v>20</v>
      </c>
      <c r="D520" s="3">
        <v>38762</v>
      </c>
      <c r="E520" s="3">
        <v>46117</v>
      </c>
      <c r="F520" s="2" t="s">
        <v>64</v>
      </c>
      <c r="G520" s="2" t="s">
        <v>73</v>
      </c>
      <c r="H520" s="2" t="s">
        <v>68</v>
      </c>
      <c r="I520" s="2" t="s">
        <v>34</v>
      </c>
      <c r="J520" s="4">
        <v>7730000</v>
      </c>
      <c r="K520" s="2">
        <v>4</v>
      </c>
      <c r="L520" s="2">
        <v>4</v>
      </c>
      <c r="M520" s="2">
        <v>20</v>
      </c>
      <c r="N520" s="2" t="s">
        <v>41</v>
      </c>
      <c r="O520" s="2" t="s">
        <v>26</v>
      </c>
      <c r="P520" s="2" t="s">
        <v>27</v>
      </c>
      <c r="Q520" s="3">
        <v>46273</v>
      </c>
      <c r="R520" s="2" t="s">
        <v>61</v>
      </c>
    </row>
    <row r="521" spans="1:18" x14ac:dyDescent="0.3">
      <c r="A521" s="2" t="s">
        <v>910</v>
      </c>
      <c r="B521" s="2" t="s">
        <v>420</v>
      </c>
      <c r="C521" s="2" t="s">
        <v>31</v>
      </c>
      <c r="D521" s="3">
        <v>34398</v>
      </c>
      <c r="E521" s="3">
        <v>46081</v>
      </c>
      <c r="F521" s="2" t="s">
        <v>51</v>
      </c>
      <c r="G521" s="2" t="s">
        <v>52</v>
      </c>
      <c r="H521" s="2" t="s">
        <v>33</v>
      </c>
      <c r="I521" s="2" t="s">
        <v>24</v>
      </c>
      <c r="J521" s="4">
        <v>2430000</v>
      </c>
      <c r="K521" s="2">
        <v>3</v>
      </c>
      <c r="L521" s="2">
        <v>3</v>
      </c>
      <c r="M521" s="2">
        <v>26</v>
      </c>
      <c r="N521" s="2" t="s">
        <v>41</v>
      </c>
      <c r="O521" s="2" t="s">
        <v>26</v>
      </c>
      <c r="P521" s="2" t="s">
        <v>27</v>
      </c>
      <c r="Q521" s="3">
        <v>46204</v>
      </c>
      <c r="R521" s="2" t="s">
        <v>111</v>
      </c>
    </row>
    <row r="522" spans="1:18" x14ac:dyDescent="0.3">
      <c r="A522" s="2" t="s">
        <v>911</v>
      </c>
      <c r="B522" s="2" t="s">
        <v>819</v>
      </c>
      <c r="C522" s="2" t="s">
        <v>31</v>
      </c>
      <c r="D522" s="3">
        <v>36818</v>
      </c>
      <c r="E522" s="3">
        <v>45884</v>
      </c>
      <c r="F522" s="2" t="s">
        <v>64</v>
      </c>
      <c r="G522" s="2" t="s">
        <v>65</v>
      </c>
      <c r="H522" s="2" t="s">
        <v>33</v>
      </c>
      <c r="I522" s="2" t="s">
        <v>24</v>
      </c>
      <c r="J522" s="4">
        <v>4910000</v>
      </c>
      <c r="K522" s="2">
        <v>4</v>
      </c>
      <c r="L522" s="2">
        <v>1</v>
      </c>
      <c r="M522" s="2">
        <v>17</v>
      </c>
      <c r="N522" s="2" t="s">
        <v>88</v>
      </c>
      <c r="O522" s="2" t="s">
        <v>26</v>
      </c>
      <c r="P522" s="2" t="s">
        <v>27</v>
      </c>
      <c r="Q522" s="3">
        <v>46074</v>
      </c>
      <c r="R522" s="2" t="s">
        <v>235</v>
      </c>
    </row>
    <row r="523" spans="1:18" x14ac:dyDescent="0.3">
      <c r="A523" s="2" t="s">
        <v>912</v>
      </c>
      <c r="B523" s="2" t="s">
        <v>836</v>
      </c>
      <c r="C523" s="2" t="s">
        <v>31</v>
      </c>
      <c r="D523" s="3">
        <v>28492</v>
      </c>
      <c r="E523" s="3">
        <v>45581</v>
      </c>
      <c r="F523" s="2" t="s">
        <v>51</v>
      </c>
      <c r="G523" s="2" t="s">
        <v>93</v>
      </c>
      <c r="H523" s="2" t="s">
        <v>33</v>
      </c>
      <c r="I523" s="2" t="s">
        <v>206</v>
      </c>
      <c r="J523" s="4">
        <v>3090000</v>
      </c>
      <c r="K523" s="2">
        <v>4</v>
      </c>
      <c r="L523" s="2">
        <v>4</v>
      </c>
      <c r="M523" s="2">
        <v>5</v>
      </c>
      <c r="N523" s="2" t="s">
        <v>25</v>
      </c>
      <c r="O523" s="2" t="s">
        <v>26</v>
      </c>
      <c r="P523" s="2" t="s">
        <v>36</v>
      </c>
      <c r="Q523" s="3"/>
      <c r="R523" s="2"/>
    </row>
    <row r="524" spans="1:18" x14ac:dyDescent="0.3">
      <c r="A524" s="2" t="s">
        <v>913</v>
      </c>
      <c r="B524" s="2" t="s">
        <v>914</v>
      </c>
      <c r="C524" s="2" t="s">
        <v>20</v>
      </c>
      <c r="D524" s="3">
        <v>34600</v>
      </c>
      <c r="E524" s="3">
        <v>45127</v>
      </c>
      <c r="F524" s="2" t="s">
        <v>51</v>
      </c>
      <c r="G524" s="2" t="s">
        <v>93</v>
      </c>
      <c r="H524" s="2" t="s">
        <v>68</v>
      </c>
      <c r="I524" s="2" t="s">
        <v>24</v>
      </c>
      <c r="J524" s="4">
        <v>5020000</v>
      </c>
      <c r="K524" s="2">
        <v>2</v>
      </c>
      <c r="L524" s="2">
        <v>4</v>
      </c>
      <c r="M524" s="2">
        <v>28</v>
      </c>
      <c r="N524" s="2" t="s">
        <v>41</v>
      </c>
      <c r="O524" s="2" t="s">
        <v>53</v>
      </c>
      <c r="P524" s="2" t="s">
        <v>27</v>
      </c>
      <c r="Q524" s="3">
        <v>45773</v>
      </c>
      <c r="R524" s="2" t="s">
        <v>28</v>
      </c>
    </row>
    <row r="525" spans="1:18" x14ac:dyDescent="0.3">
      <c r="A525" s="2" t="s">
        <v>915</v>
      </c>
      <c r="B525" s="2" t="s">
        <v>916</v>
      </c>
      <c r="C525" s="2" t="s">
        <v>20</v>
      </c>
      <c r="D525" s="3">
        <v>34875</v>
      </c>
      <c r="E525" s="3">
        <v>45508</v>
      </c>
      <c r="F525" s="2" t="s">
        <v>78</v>
      </c>
      <c r="G525" s="2" t="s">
        <v>65</v>
      </c>
      <c r="H525" s="2" t="s">
        <v>33</v>
      </c>
      <c r="I525" s="2" t="s">
        <v>82</v>
      </c>
      <c r="J525" s="4">
        <v>3430000</v>
      </c>
      <c r="K525" s="2">
        <v>1</v>
      </c>
      <c r="L525" s="2">
        <v>4</v>
      </c>
      <c r="M525" s="2">
        <v>6</v>
      </c>
      <c r="N525" s="2" t="s">
        <v>41</v>
      </c>
      <c r="O525" s="2" t="s">
        <v>26</v>
      </c>
      <c r="P525" s="2" t="s">
        <v>36</v>
      </c>
      <c r="Q525" s="3"/>
      <c r="R525" s="2"/>
    </row>
    <row r="526" spans="1:18" x14ac:dyDescent="0.3">
      <c r="A526" s="2" t="s">
        <v>917</v>
      </c>
      <c r="B526" s="2" t="s">
        <v>918</v>
      </c>
      <c r="C526" s="2" t="s">
        <v>31</v>
      </c>
      <c r="D526" s="3">
        <v>29538</v>
      </c>
      <c r="E526" s="3">
        <v>44050</v>
      </c>
      <c r="F526" s="2" t="s">
        <v>114</v>
      </c>
      <c r="G526" s="2" t="s">
        <v>115</v>
      </c>
      <c r="H526" s="2" t="s">
        <v>68</v>
      </c>
      <c r="I526" s="2" t="s">
        <v>24</v>
      </c>
      <c r="J526" s="4">
        <v>5140000</v>
      </c>
      <c r="K526" s="2">
        <v>4</v>
      </c>
      <c r="L526" s="2">
        <v>4</v>
      </c>
      <c r="M526" s="2">
        <v>33</v>
      </c>
      <c r="N526" s="2" t="s">
        <v>41</v>
      </c>
      <c r="O526" s="2" t="s">
        <v>35</v>
      </c>
      <c r="P526" s="2" t="s">
        <v>36</v>
      </c>
      <c r="Q526" s="3"/>
      <c r="R526" s="2"/>
    </row>
    <row r="527" spans="1:18" x14ac:dyDescent="0.3">
      <c r="A527" s="2" t="s">
        <v>919</v>
      </c>
      <c r="B527" s="2" t="s">
        <v>920</v>
      </c>
      <c r="C527" s="2" t="s">
        <v>31</v>
      </c>
      <c r="D527" s="3">
        <v>34593</v>
      </c>
      <c r="E527" s="3">
        <v>45167</v>
      </c>
      <c r="F527" s="2" t="s">
        <v>64</v>
      </c>
      <c r="G527" s="2" t="s">
        <v>73</v>
      </c>
      <c r="H527" s="2" t="s">
        <v>68</v>
      </c>
      <c r="I527" s="2" t="s">
        <v>104</v>
      </c>
      <c r="J527" s="4">
        <v>8250000</v>
      </c>
      <c r="K527" s="2">
        <v>3</v>
      </c>
      <c r="L527" s="2">
        <v>4</v>
      </c>
      <c r="M527" s="2">
        <v>23</v>
      </c>
      <c r="N527" s="2" t="s">
        <v>41</v>
      </c>
      <c r="O527" s="2" t="s">
        <v>53</v>
      </c>
      <c r="P527" s="2" t="s">
        <v>36</v>
      </c>
      <c r="Q527" s="3"/>
      <c r="R527" s="2"/>
    </row>
    <row r="528" spans="1:18" x14ac:dyDescent="0.3">
      <c r="A528" s="2" t="s">
        <v>921</v>
      </c>
      <c r="B528" s="2" t="s">
        <v>922</v>
      </c>
      <c r="C528" s="2" t="s">
        <v>20</v>
      </c>
      <c r="D528" s="3">
        <v>33445</v>
      </c>
      <c r="E528" s="3">
        <v>43730</v>
      </c>
      <c r="F528" s="2" t="s">
        <v>51</v>
      </c>
      <c r="G528" s="2" t="s">
        <v>52</v>
      </c>
      <c r="H528" s="2" t="s">
        <v>33</v>
      </c>
      <c r="I528" s="2" t="s">
        <v>34</v>
      </c>
      <c r="J528" s="4">
        <v>3410000</v>
      </c>
      <c r="K528" s="2">
        <v>3</v>
      </c>
      <c r="L528" s="2">
        <v>4</v>
      </c>
      <c r="M528" s="2">
        <v>4</v>
      </c>
      <c r="N528" s="2" t="s">
        <v>25</v>
      </c>
      <c r="O528" s="2" t="s">
        <v>26</v>
      </c>
      <c r="P528" s="2" t="s">
        <v>36</v>
      </c>
      <c r="Q528" s="3"/>
      <c r="R528" s="2"/>
    </row>
    <row r="529" spans="1:18" x14ac:dyDescent="0.3">
      <c r="A529" s="2" t="s">
        <v>923</v>
      </c>
      <c r="B529" s="2" t="s">
        <v>472</v>
      </c>
      <c r="C529" s="2" t="s">
        <v>20</v>
      </c>
      <c r="D529" s="3">
        <v>34410</v>
      </c>
      <c r="E529" s="3">
        <v>43946</v>
      </c>
      <c r="F529" s="2" t="s">
        <v>114</v>
      </c>
      <c r="G529" s="2" t="s">
        <v>150</v>
      </c>
      <c r="H529" s="2" t="s">
        <v>23</v>
      </c>
      <c r="I529" s="2" t="s">
        <v>24</v>
      </c>
      <c r="J529" s="4">
        <v>10540000</v>
      </c>
      <c r="K529" s="2">
        <v>3</v>
      </c>
      <c r="L529" s="2">
        <v>4</v>
      </c>
      <c r="M529" s="2">
        <v>12</v>
      </c>
      <c r="N529" s="2" t="s">
        <v>41</v>
      </c>
      <c r="O529" s="2" t="s">
        <v>35</v>
      </c>
      <c r="P529" s="2" t="s">
        <v>36</v>
      </c>
      <c r="Q529" s="3"/>
      <c r="R529" s="2"/>
    </row>
    <row r="530" spans="1:18" x14ac:dyDescent="0.3">
      <c r="A530" s="2" t="s">
        <v>924</v>
      </c>
      <c r="B530" s="2" t="s">
        <v>925</v>
      </c>
      <c r="C530" s="2" t="s">
        <v>31</v>
      </c>
      <c r="D530" s="3">
        <v>37383</v>
      </c>
      <c r="E530" s="3">
        <v>45001</v>
      </c>
      <c r="F530" s="2" t="s">
        <v>39</v>
      </c>
      <c r="G530" s="2" t="s">
        <v>40</v>
      </c>
      <c r="H530" s="2" t="s">
        <v>33</v>
      </c>
      <c r="I530" s="2" t="s">
        <v>24</v>
      </c>
      <c r="J530" s="4">
        <v>4160000</v>
      </c>
      <c r="K530" s="2">
        <v>5</v>
      </c>
      <c r="L530" s="2">
        <v>2</v>
      </c>
      <c r="M530" s="2">
        <v>0</v>
      </c>
      <c r="N530" s="2" t="s">
        <v>41</v>
      </c>
      <c r="O530" s="2" t="s">
        <v>35</v>
      </c>
      <c r="P530" s="2" t="s">
        <v>27</v>
      </c>
      <c r="Q530" s="3">
        <v>46236</v>
      </c>
      <c r="R530" s="2" t="s">
        <v>155</v>
      </c>
    </row>
    <row r="531" spans="1:18" x14ac:dyDescent="0.3">
      <c r="A531" s="2" t="s">
        <v>926</v>
      </c>
      <c r="B531" s="2" t="s">
        <v>192</v>
      </c>
      <c r="C531" s="2" t="s">
        <v>20</v>
      </c>
      <c r="D531" s="3">
        <v>31277</v>
      </c>
      <c r="E531" s="3">
        <v>45869</v>
      </c>
      <c r="F531" s="2" t="s">
        <v>114</v>
      </c>
      <c r="G531" s="2" t="s">
        <v>150</v>
      </c>
      <c r="H531" s="2" t="s">
        <v>33</v>
      </c>
      <c r="I531" s="2" t="s">
        <v>24</v>
      </c>
      <c r="J531" s="4">
        <v>3110000</v>
      </c>
      <c r="K531" s="2">
        <v>4</v>
      </c>
      <c r="L531" s="2">
        <v>1</v>
      </c>
      <c r="M531" s="2">
        <v>21</v>
      </c>
      <c r="N531" s="2" t="s">
        <v>41</v>
      </c>
      <c r="O531" s="2" t="s">
        <v>26</v>
      </c>
      <c r="P531" s="2" t="s">
        <v>27</v>
      </c>
      <c r="Q531" s="3">
        <v>46183</v>
      </c>
      <c r="R531" s="2" t="s">
        <v>235</v>
      </c>
    </row>
    <row r="532" spans="1:18" x14ac:dyDescent="0.3">
      <c r="A532" s="2" t="s">
        <v>927</v>
      </c>
      <c r="B532" s="2" t="s">
        <v>928</v>
      </c>
      <c r="C532" s="2" t="s">
        <v>31</v>
      </c>
      <c r="D532" s="3">
        <v>34982</v>
      </c>
      <c r="E532" s="3">
        <v>44485</v>
      </c>
      <c r="F532" s="2" t="s">
        <v>21</v>
      </c>
      <c r="G532" s="2" t="s">
        <v>22</v>
      </c>
      <c r="H532" s="2" t="s">
        <v>68</v>
      </c>
      <c r="I532" s="2" t="s">
        <v>24</v>
      </c>
      <c r="J532" s="4">
        <v>12340000</v>
      </c>
      <c r="K532" s="2">
        <v>5</v>
      </c>
      <c r="L532" s="2">
        <v>2</v>
      </c>
      <c r="M532" s="2">
        <v>21</v>
      </c>
      <c r="N532" s="2" t="s">
        <v>41</v>
      </c>
      <c r="O532" s="2" t="s">
        <v>26</v>
      </c>
      <c r="P532" s="2" t="s">
        <v>36</v>
      </c>
      <c r="Q532" s="3"/>
      <c r="R532" s="2"/>
    </row>
    <row r="533" spans="1:18" x14ac:dyDescent="0.3">
      <c r="A533" s="2" t="s">
        <v>929</v>
      </c>
      <c r="B533" s="2" t="s">
        <v>930</v>
      </c>
      <c r="C533" s="2" t="s">
        <v>31</v>
      </c>
      <c r="D533" s="3">
        <v>32572</v>
      </c>
      <c r="E533" s="3">
        <v>45466</v>
      </c>
      <c r="F533" s="2" t="s">
        <v>21</v>
      </c>
      <c r="G533" s="2" t="s">
        <v>103</v>
      </c>
      <c r="H533" s="2" t="s">
        <v>68</v>
      </c>
      <c r="I533" s="2" t="s">
        <v>24</v>
      </c>
      <c r="J533" s="4">
        <v>11040000</v>
      </c>
      <c r="K533" s="2">
        <v>2</v>
      </c>
      <c r="L533" s="2">
        <v>4</v>
      </c>
      <c r="M533" s="2">
        <v>17</v>
      </c>
      <c r="N533" s="2" t="s">
        <v>88</v>
      </c>
      <c r="O533" s="2" t="s">
        <v>35</v>
      </c>
      <c r="P533" s="2" t="s">
        <v>36</v>
      </c>
      <c r="Q533" s="3"/>
      <c r="R533" s="2"/>
    </row>
    <row r="534" spans="1:18" x14ac:dyDescent="0.3">
      <c r="A534" s="2" t="s">
        <v>931</v>
      </c>
      <c r="B534" s="2" t="s">
        <v>822</v>
      </c>
      <c r="C534" s="2" t="s">
        <v>20</v>
      </c>
      <c r="D534" s="3">
        <v>31748</v>
      </c>
      <c r="E534" s="3">
        <v>44053</v>
      </c>
      <c r="F534" s="2" t="s">
        <v>114</v>
      </c>
      <c r="G534" s="2" t="s">
        <v>115</v>
      </c>
      <c r="H534" s="2" t="s">
        <v>68</v>
      </c>
      <c r="I534" s="2" t="s">
        <v>206</v>
      </c>
      <c r="J534" s="4">
        <v>5290000</v>
      </c>
      <c r="K534" s="2">
        <v>3</v>
      </c>
      <c r="L534" s="2">
        <v>5</v>
      </c>
      <c r="M534" s="2">
        <v>35</v>
      </c>
      <c r="N534" s="2" t="s">
        <v>41</v>
      </c>
      <c r="O534" s="2" t="s">
        <v>26</v>
      </c>
      <c r="P534" s="2" t="s">
        <v>36</v>
      </c>
      <c r="Q534" s="3"/>
      <c r="R534" s="2"/>
    </row>
    <row r="535" spans="1:18" x14ac:dyDescent="0.3">
      <c r="A535" s="2" t="s">
        <v>932</v>
      </c>
      <c r="B535" s="2" t="s">
        <v>834</v>
      </c>
      <c r="C535" s="2" t="s">
        <v>20</v>
      </c>
      <c r="D535" s="3">
        <v>33431</v>
      </c>
      <c r="E535" s="3">
        <v>44563</v>
      </c>
      <c r="F535" s="2" t="s">
        <v>51</v>
      </c>
      <c r="G535" s="2" t="s">
        <v>93</v>
      </c>
      <c r="H535" s="2" t="s">
        <v>23</v>
      </c>
      <c r="I535" s="2" t="s">
        <v>44</v>
      </c>
      <c r="J535" s="4">
        <v>10120000</v>
      </c>
      <c r="K535" s="2">
        <v>3</v>
      </c>
      <c r="L535" s="2">
        <v>4</v>
      </c>
      <c r="M535" s="2">
        <v>36</v>
      </c>
      <c r="N535" s="2" t="s">
        <v>41</v>
      </c>
      <c r="O535" s="2" t="s">
        <v>53</v>
      </c>
      <c r="P535" s="2" t="s">
        <v>27</v>
      </c>
      <c r="Q535" s="3">
        <v>45927</v>
      </c>
      <c r="R535" s="2" t="s">
        <v>401</v>
      </c>
    </row>
    <row r="536" spans="1:18" x14ac:dyDescent="0.3">
      <c r="A536" s="2" t="s">
        <v>933</v>
      </c>
      <c r="B536" s="2" t="s">
        <v>754</v>
      </c>
      <c r="C536" s="2" t="s">
        <v>20</v>
      </c>
      <c r="D536" s="3">
        <v>31764</v>
      </c>
      <c r="E536" s="3">
        <v>44905</v>
      </c>
      <c r="F536" s="2" t="s">
        <v>51</v>
      </c>
      <c r="G536" s="2" t="s">
        <v>93</v>
      </c>
      <c r="H536" s="2" t="s">
        <v>33</v>
      </c>
      <c r="I536" s="2" t="s">
        <v>82</v>
      </c>
      <c r="J536" s="4">
        <v>2970000</v>
      </c>
      <c r="K536" s="2">
        <v>1</v>
      </c>
      <c r="L536" s="2">
        <v>5</v>
      </c>
      <c r="M536" s="2">
        <v>4</v>
      </c>
      <c r="N536" s="2" t="s">
        <v>41</v>
      </c>
      <c r="O536" s="2" t="s">
        <v>26</v>
      </c>
      <c r="P536" s="2" t="s">
        <v>36</v>
      </c>
      <c r="Q536" s="3"/>
      <c r="R536" s="2"/>
    </row>
    <row r="537" spans="1:18" x14ac:dyDescent="0.3">
      <c r="A537" s="2" t="s">
        <v>934</v>
      </c>
      <c r="B537" s="2" t="s">
        <v>935</v>
      </c>
      <c r="C537" s="2" t="s">
        <v>31</v>
      </c>
      <c r="D537" s="3">
        <v>33902</v>
      </c>
      <c r="E537" s="3">
        <v>44552</v>
      </c>
      <c r="F537" s="2" t="s">
        <v>114</v>
      </c>
      <c r="G537" s="2" t="s">
        <v>196</v>
      </c>
      <c r="H537" s="2" t="s">
        <v>33</v>
      </c>
      <c r="I537" s="2" t="s">
        <v>24</v>
      </c>
      <c r="J537" s="4">
        <v>3260000</v>
      </c>
      <c r="K537" s="2">
        <v>4</v>
      </c>
      <c r="L537" s="2">
        <v>4</v>
      </c>
      <c r="M537" s="2">
        <v>13</v>
      </c>
      <c r="N537" s="2" t="s">
        <v>41</v>
      </c>
      <c r="O537" s="2" t="s">
        <v>26</v>
      </c>
      <c r="P537" s="2" t="s">
        <v>36</v>
      </c>
      <c r="Q537" s="3"/>
      <c r="R537" s="2"/>
    </row>
    <row r="538" spans="1:18" x14ac:dyDescent="0.3">
      <c r="A538" s="2" t="s">
        <v>936</v>
      </c>
      <c r="B538" s="2" t="s">
        <v>301</v>
      </c>
      <c r="C538" s="2" t="s">
        <v>20</v>
      </c>
      <c r="D538" s="3">
        <v>35474</v>
      </c>
      <c r="E538" s="3">
        <v>45266</v>
      </c>
      <c r="F538" s="2" t="s">
        <v>51</v>
      </c>
      <c r="G538" s="2" t="s">
        <v>52</v>
      </c>
      <c r="H538" s="2" t="s">
        <v>23</v>
      </c>
      <c r="I538" s="2" t="s">
        <v>24</v>
      </c>
      <c r="J538" s="4">
        <v>11630000</v>
      </c>
      <c r="K538" s="2">
        <v>3</v>
      </c>
      <c r="L538" s="2">
        <v>3</v>
      </c>
      <c r="M538" s="2">
        <v>9</v>
      </c>
      <c r="N538" s="2" t="s">
        <v>41</v>
      </c>
      <c r="O538" s="2" t="s">
        <v>35</v>
      </c>
      <c r="P538" s="2" t="s">
        <v>36</v>
      </c>
      <c r="Q538" s="3"/>
      <c r="R538" s="2"/>
    </row>
    <row r="539" spans="1:18" x14ac:dyDescent="0.3">
      <c r="A539" s="2" t="s">
        <v>937</v>
      </c>
      <c r="B539" s="2" t="s">
        <v>938</v>
      </c>
      <c r="C539" s="2" t="s">
        <v>20</v>
      </c>
      <c r="D539" s="3">
        <v>30399</v>
      </c>
      <c r="E539" s="3">
        <v>46200</v>
      </c>
      <c r="F539" s="2" t="s">
        <v>51</v>
      </c>
      <c r="G539" s="2" t="s">
        <v>52</v>
      </c>
      <c r="H539" s="2" t="s">
        <v>68</v>
      </c>
      <c r="I539" s="2" t="s">
        <v>96</v>
      </c>
      <c r="J539" s="4">
        <v>6610000</v>
      </c>
      <c r="K539" s="2">
        <v>4</v>
      </c>
      <c r="L539" s="2">
        <v>3</v>
      </c>
      <c r="M539" s="2">
        <v>32</v>
      </c>
      <c r="N539" s="2" t="s">
        <v>25</v>
      </c>
      <c r="O539" s="2" t="s">
        <v>35</v>
      </c>
      <c r="P539" s="2" t="s">
        <v>36</v>
      </c>
      <c r="Q539" s="3"/>
      <c r="R539" s="2"/>
    </row>
    <row r="540" spans="1:18" x14ac:dyDescent="0.3">
      <c r="A540" s="2" t="s">
        <v>939</v>
      </c>
      <c r="B540" s="2" t="s">
        <v>248</v>
      </c>
      <c r="C540" s="2" t="s">
        <v>31</v>
      </c>
      <c r="D540" s="3">
        <v>37236</v>
      </c>
      <c r="E540" s="3">
        <v>46090</v>
      </c>
      <c r="F540" s="2" t="s">
        <v>47</v>
      </c>
      <c r="G540" s="2" t="s">
        <v>48</v>
      </c>
      <c r="H540" s="2" t="s">
        <v>33</v>
      </c>
      <c r="I540" s="2" t="s">
        <v>24</v>
      </c>
      <c r="J540" s="4">
        <v>4930000</v>
      </c>
      <c r="K540" s="2">
        <v>4</v>
      </c>
      <c r="L540" s="2">
        <v>4</v>
      </c>
      <c r="M540" s="2">
        <v>4</v>
      </c>
      <c r="N540" s="2" t="s">
        <v>41</v>
      </c>
      <c r="O540" s="2" t="s">
        <v>35</v>
      </c>
      <c r="P540" s="2" t="s">
        <v>36</v>
      </c>
      <c r="Q540" s="3"/>
      <c r="R540" s="2"/>
    </row>
    <row r="541" spans="1:18" x14ac:dyDescent="0.3">
      <c r="A541" s="2" t="s">
        <v>940</v>
      </c>
      <c r="B541" s="2" t="s">
        <v>941</v>
      </c>
      <c r="C541" s="2" t="s">
        <v>31</v>
      </c>
      <c r="D541" s="3">
        <v>33829</v>
      </c>
      <c r="E541" s="3">
        <v>43835</v>
      </c>
      <c r="F541" s="2" t="s">
        <v>21</v>
      </c>
      <c r="G541" s="2" t="s">
        <v>32</v>
      </c>
      <c r="H541" s="2" t="s">
        <v>23</v>
      </c>
      <c r="I541" s="2" t="s">
        <v>104</v>
      </c>
      <c r="J541" s="4">
        <v>20780000</v>
      </c>
      <c r="K541" s="2">
        <v>3</v>
      </c>
      <c r="L541" s="2">
        <v>5</v>
      </c>
      <c r="M541" s="2">
        <v>0</v>
      </c>
      <c r="N541" s="2" t="s">
        <v>41</v>
      </c>
      <c r="O541" s="2" t="s">
        <v>35</v>
      </c>
      <c r="P541" s="2" t="s">
        <v>36</v>
      </c>
      <c r="Q541" s="3"/>
      <c r="R541" s="2"/>
    </row>
    <row r="542" spans="1:18" x14ac:dyDescent="0.3">
      <c r="A542" s="2" t="s">
        <v>942</v>
      </c>
      <c r="B542" s="2" t="s">
        <v>149</v>
      </c>
      <c r="C542" s="2" t="s">
        <v>31</v>
      </c>
      <c r="D542" s="3">
        <v>31285</v>
      </c>
      <c r="E542" s="3">
        <v>44916</v>
      </c>
      <c r="F542" s="2" t="s">
        <v>64</v>
      </c>
      <c r="G542" s="2" t="s">
        <v>65</v>
      </c>
      <c r="H542" s="2" t="s">
        <v>33</v>
      </c>
      <c r="I542" s="2" t="s">
        <v>24</v>
      </c>
      <c r="J542" s="4">
        <v>4000000</v>
      </c>
      <c r="K542" s="2">
        <v>4</v>
      </c>
      <c r="L542" s="2">
        <v>4</v>
      </c>
      <c r="M542" s="2">
        <v>25</v>
      </c>
      <c r="N542" s="2" t="s">
        <v>25</v>
      </c>
      <c r="O542" s="2" t="s">
        <v>35</v>
      </c>
      <c r="P542" s="2" t="s">
        <v>36</v>
      </c>
      <c r="Q542" s="3"/>
      <c r="R542" s="2"/>
    </row>
    <row r="543" spans="1:18" x14ac:dyDescent="0.3">
      <c r="A543" s="2" t="s">
        <v>943</v>
      </c>
      <c r="B543" s="2" t="s">
        <v>435</v>
      </c>
      <c r="C543" s="2" t="s">
        <v>31</v>
      </c>
      <c r="D543" s="3">
        <v>34509</v>
      </c>
      <c r="E543" s="3">
        <v>42541</v>
      </c>
      <c r="F543" s="2" t="s">
        <v>64</v>
      </c>
      <c r="G543" s="2" t="s">
        <v>79</v>
      </c>
      <c r="H543" s="2" t="s">
        <v>33</v>
      </c>
      <c r="I543" s="2" t="s">
        <v>24</v>
      </c>
      <c r="J543" s="4">
        <v>4690000</v>
      </c>
      <c r="K543" s="2">
        <v>4</v>
      </c>
      <c r="L543" s="2">
        <v>4</v>
      </c>
      <c r="M543" s="2">
        <v>38</v>
      </c>
      <c r="N543" s="2" t="s">
        <v>25</v>
      </c>
      <c r="O543" s="2"/>
      <c r="P543" s="2" t="s">
        <v>36</v>
      </c>
      <c r="Q543" s="3"/>
      <c r="R543" s="2"/>
    </row>
    <row r="544" spans="1:18" x14ac:dyDescent="0.3">
      <c r="A544" s="2" t="s">
        <v>944</v>
      </c>
      <c r="B544" s="2" t="s">
        <v>682</v>
      </c>
      <c r="C544" s="2" t="s">
        <v>20</v>
      </c>
      <c r="D544" s="3">
        <v>38918</v>
      </c>
      <c r="E544" s="3">
        <v>46264</v>
      </c>
      <c r="F544" s="2" t="s">
        <v>64</v>
      </c>
      <c r="G544" s="2" t="s">
        <v>79</v>
      </c>
      <c r="H544" s="2" t="s">
        <v>33</v>
      </c>
      <c r="I544" s="2" t="s">
        <v>24</v>
      </c>
      <c r="J544" s="4">
        <v>4580000</v>
      </c>
      <c r="K544" s="2">
        <v>4</v>
      </c>
      <c r="L544" s="2">
        <v>3</v>
      </c>
      <c r="M544" s="2">
        <v>26</v>
      </c>
      <c r="N544" s="2" t="s">
        <v>41</v>
      </c>
      <c r="O544" s="2" t="s">
        <v>35</v>
      </c>
      <c r="P544" s="2" t="s">
        <v>36</v>
      </c>
      <c r="Q544" s="3"/>
      <c r="R544" s="2"/>
    </row>
    <row r="545" spans="1:18" x14ac:dyDescent="0.3">
      <c r="A545" s="2" t="s">
        <v>945</v>
      </c>
      <c r="B545" s="2" t="s">
        <v>352</v>
      </c>
      <c r="C545" s="2" t="s">
        <v>20</v>
      </c>
      <c r="D545" s="3">
        <v>31634</v>
      </c>
      <c r="E545" s="3">
        <v>44288</v>
      </c>
      <c r="F545" s="2" t="s">
        <v>64</v>
      </c>
      <c r="G545" s="2" t="s">
        <v>73</v>
      </c>
      <c r="H545" s="2" t="s">
        <v>68</v>
      </c>
      <c r="I545" s="2" t="s">
        <v>24</v>
      </c>
      <c r="J545" s="4">
        <v>7840000</v>
      </c>
      <c r="K545" s="2">
        <v>2</v>
      </c>
      <c r="L545" s="2">
        <v>1</v>
      </c>
      <c r="M545" s="2">
        <v>9</v>
      </c>
      <c r="N545" s="2" t="s">
        <v>41</v>
      </c>
      <c r="O545" s="2" t="s">
        <v>26</v>
      </c>
      <c r="P545" s="2" t="s">
        <v>27</v>
      </c>
      <c r="Q545" s="3">
        <v>45707</v>
      </c>
      <c r="R545" s="2" t="s">
        <v>155</v>
      </c>
    </row>
    <row r="546" spans="1:18" x14ac:dyDescent="0.3">
      <c r="A546" s="2" t="s">
        <v>946</v>
      </c>
      <c r="B546" s="2" t="s">
        <v>684</v>
      </c>
      <c r="C546" s="2" t="s">
        <v>31</v>
      </c>
      <c r="D546" s="3">
        <v>37680</v>
      </c>
      <c r="E546" s="3">
        <v>46064</v>
      </c>
      <c r="F546" s="2" t="s">
        <v>21</v>
      </c>
      <c r="G546" s="2" t="s">
        <v>22</v>
      </c>
      <c r="H546" s="2" t="s">
        <v>23</v>
      </c>
      <c r="I546" s="2" t="s">
        <v>24</v>
      </c>
      <c r="J546" s="4">
        <v>19350000</v>
      </c>
      <c r="K546" s="2">
        <v>4</v>
      </c>
      <c r="L546" s="2">
        <v>3</v>
      </c>
      <c r="M546" s="2">
        <v>21</v>
      </c>
      <c r="N546" s="2" t="s">
        <v>25</v>
      </c>
      <c r="O546" s="2" t="s">
        <v>26</v>
      </c>
      <c r="P546" s="2" t="s">
        <v>36</v>
      </c>
      <c r="Q546" s="3"/>
      <c r="R546" s="2"/>
    </row>
    <row r="547" spans="1:18" x14ac:dyDescent="0.3">
      <c r="A547" s="2" t="s">
        <v>947</v>
      </c>
      <c r="B547" s="2" t="s">
        <v>938</v>
      </c>
      <c r="C547" s="2" t="s">
        <v>20</v>
      </c>
      <c r="D547" s="3">
        <v>37053</v>
      </c>
      <c r="E547" s="3">
        <v>44782</v>
      </c>
      <c r="F547" s="2" t="s">
        <v>21</v>
      </c>
      <c r="G547" s="2" t="s">
        <v>103</v>
      </c>
      <c r="H547" s="2" t="s">
        <v>23</v>
      </c>
      <c r="I547" s="2" t="s">
        <v>34</v>
      </c>
      <c r="J547" s="4">
        <v>21690000</v>
      </c>
      <c r="K547" s="2">
        <v>4</v>
      </c>
      <c r="L547" s="2">
        <v>4</v>
      </c>
      <c r="M547" s="2">
        <v>0</v>
      </c>
      <c r="N547" s="2" t="s">
        <v>41</v>
      </c>
      <c r="O547" s="2" t="s">
        <v>35</v>
      </c>
      <c r="P547" s="2" t="s">
        <v>36</v>
      </c>
      <c r="Q547" s="3"/>
      <c r="R547" s="2"/>
    </row>
    <row r="548" spans="1:18" x14ac:dyDescent="0.3">
      <c r="A548" s="2" t="s">
        <v>948</v>
      </c>
      <c r="B548" s="2" t="s">
        <v>507</v>
      </c>
      <c r="C548" s="2" t="s">
        <v>20</v>
      </c>
      <c r="D548" s="3">
        <v>34075</v>
      </c>
      <c r="E548" s="3">
        <v>46152</v>
      </c>
      <c r="F548" s="2" t="s">
        <v>64</v>
      </c>
      <c r="G548" s="2" t="s">
        <v>65</v>
      </c>
      <c r="H548" s="2" t="s">
        <v>23</v>
      </c>
      <c r="I548" s="2" t="s">
        <v>104</v>
      </c>
      <c r="J548" s="4">
        <v>15080000</v>
      </c>
      <c r="K548" s="2">
        <v>5</v>
      </c>
      <c r="L548" s="2">
        <v>3</v>
      </c>
      <c r="M548" s="2">
        <v>33</v>
      </c>
      <c r="N548" s="2" t="s">
        <v>25</v>
      </c>
      <c r="O548" s="2" t="s">
        <v>26</v>
      </c>
      <c r="P548" s="2" t="s">
        <v>36</v>
      </c>
      <c r="Q548" s="3"/>
      <c r="R548" s="2"/>
    </row>
    <row r="549" spans="1:18" x14ac:dyDescent="0.3">
      <c r="A549" s="2" t="s">
        <v>949</v>
      </c>
      <c r="B549" s="2" t="s">
        <v>950</v>
      </c>
      <c r="C549" s="2" t="s">
        <v>20</v>
      </c>
      <c r="D549" s="3">
        <v>33863</v>
      </c>
      <c r="E549" s="3">
        <v>44862</v>
      </c>
      <c r="F549" s="2" t="s">
        <v>39</v>
      </c>
      <c r="G549" s="2" t="s">
        <v>170</v>
      </c>
      <c r="H549" s="2" t="s">
        <v>68</v>
      </c>
      <c r="I549" s="2" t="s">
        <v>34</v>
      </c>
      <c r="J549" s="4">
        <v>7890000</v>
      </c>
      <c r="K549" s="2">
        <v>4</v>
      </c>
      <c r="L549" s="2">
        <v>4</v>
      </c>
      <c r="M549" s="2">
        <v>0</v>
      </c>
      <c r="N549" s="2" t="s">
        <v>41</v>
      </c>
      <c r="O549" s="2" t="s">
        <v>35</v>
      </c>
      <c r="P549" s="2" t="s">
        <v>36</v>
      </c>
      <c r="Q549" s="3"/>
      <c r="R549" s="2"/>
    </row>
    <row r="550" spans="1:18" x14ac:dyDescent="0.3">
      <c r="A550" s="2" t="s">
        <v>951</v>
      </c>
      <c r="B550" s="2" t="s">
        <v>384</v>
      </c>
      <c r="C550" s="2" t="s">
        <v>31</v>
      </c>
      <c r="D550" s="3">
        <v>34967</v>
      </c>
      <c r="E550" s="3">
        <v>45454</v>
      </c>
      <c r="F550" s="2" t="s">
        <v>64</v>
      </c>
      <c r="G550" s="2" t="s">
        <v>79</v>
      </c>
      <c r="H550" s="2" t="s">
        <v>33</v>
      </c>
      <c r="I550" s="2" t="s">
        <v>34</v>
      </c>
      <c r="J550" s="4">
        <v>3940000</v>
      </c>
      <c r="K550" s="2">
        <v>4</v>
      </c>
      <c r="L550" s="2">
        <v>3</v>
      </c>
      <c r="M550" s="2">
        <v>16</v>
      </c>
      <c r="N550" s="2" t="s">
        <v>88</v>
      </c>
      <c r="O550" s="2" t="s">
        <v>26</v>
      </c>
      <c r="P550" s="2" t="s">
        <v>36</v>
      </c>
      <c r="Q550" s="3"/>
      <c r="R550" s="2"/>
    </row>
    <row r="551" spans="1:18" x14ac:dyDescent="0.3">
      <c r="A551" s="2" t="s">
        <v>952</v>
      </c>
      <c r="B551" s="2" t="s">
        <v>560</v>
      </c>
      <c r="C551" s="2" t="s">
        <v>20</v>
      </c>
      <c r="D551" s="3">
        <v>33551</v>
      </c>
      <c r="E551" s="3">
        <v>45088</v>
      </c>
      <c r="F551" s="2" t="s">
        <v>21</v>
      </c>
      <c r="G551" s="2" t="s">
        <v>22</v>
      </c>
      <c r="H551" s="2" t="s">
        <v>68</v>
      </c>
      <c r="I551" s="2" t="s">
        <v>34</v>
      </c>
      <c r="J551" s="4">
        <v>7780000</v>
      </c>
      <c r="K551" s="2">
        <v>4</v>
      </c>
      <c r="L551" s="2">
        <v>3</v>
      </c>
      <c r="M551" s="2">
        <v>10</v>
      </c>
      <c r="N551" s="2" t="s">
        <v>41</v>
      </c>
      <c r="O551" s="2" t="s">
        <v>26</v>
      </c>
      <c r="P551" s="2" t="s">
        <v>36</v>
      </c>
      <c r="Q551" s="3"/>
      <c r="R551" s="2"/>
    </row>
    <row r="552" spans="1:18" x14ac:dyDescent="0.3">
      <c r="A552" s="2" t="s">
        <v>953</v>
      </c>
      <c r="B552" s="2" t="s">
        <v>954</v>
      </c>
      <c r="C552" s="2" t="s">
        <v>31</v>
      </c>
      <c r="D552" s="3">
        <v>35382</v>
      </c>
      <c r="E552" s="3">
        <v>45946</v>
      </c>
      <c r="F552" s="2" t="s">
        <v>64</v>
      </c>
      <c r="G552" s="2" t="s">
        <v>73</v>
      </c>
      <c r="H552" s="2" t="s">
        <v>33</v>
      </c>
      <c r="I552" s="2" t="s">
        <v>24</v>
      </c>
      <c r="J552" s="4">
        <v>4950000</v>
      </c>
      <c r="K552" s="2">
        <v>3</v>
      </c>
      <c r="L552" s="2">
        <v>3</v>
      </c>
      <c r="M552" s="2">
        <v>25</v>
      </c>
      <c r="N552" s="2" t="s">
        <v>41</v>
      </c>
      <c r="O552" s="2" t="s">
        <v>35</v>
      </c>
      <c r="P552" s="2" t="s">
        <v>36</v>
      </c>
      <c r="Q552" s="3"/>
      <c r="R552" s="2"/>
    </row>
    <row r="553" spans="1:18" x14ac:dyDescent="0.3">
      <c r="A553" s="2" t="s">
        <v>955</v>
      </c>
      <c r="B553" s="2" t="s">
        <v>481</v>
      </c>
      <c r="C553" s="2" t="s">
        <v>31</v>
      </c>
      <c r="D553" s="3">
        <v>30920</v>
      </c>
      <c r="E553" s="3">
        <v>46247</v>
      </c>
      <c r="F553" s="2" t="s">
        <v>64</v>
      </c>
      <c r="G553" s="2" t="s">
        <v>79</v>
      </c>
      <c r="H553" s="2" t="s">
        <v>68</v>
      </c>
      <c r="I553" s="2" t="s">
        <v>24</v>
      </c>
      <c r="J553" s="4">
        <v>7680000</v>
      </c>
      <c r="K553" s="2">
        <v>5</v>
      </c>
      <c r="L553" s="2">
        <v>5</v>
      </c>
      <c r="M553" s="2">
        <v>2</v>
      </c>
      <c r="N553" s="2" t="s">
        <v>25</v>
      </c>
      <c r="O553" s="2" t="s">
        <v>53</v>
      </c>
      <c r="P553" s="2" t="s">
        <v>36</v>
      </c>
      <c r="Q553" s="3"/>
      <c r="R553" s="2"/>
    </row>
    <row r="554" spans="1:18" x14ac:dyDescent="0.3">
      <c r="A554" s="2" t="s">
        <v>956</v>
      </c>
      <c r="B554" s="2" t="s">
        <v>957</v>
      </c>
      <c r="C554" s="2" t="s">
        <v>31</v>
      </c>
      <c r="D554" s="3">
        <v>36542</v>
      </c>
      <c r="E554" s="3">
        <v>44909</v>
      </c>
      <c r="F554" s="2" t="s">
        <v>56</v>
      </c>
      <c r="G554" s="2" t="s">
        <v>142</v>
      </c>
      <c r="H554" s="2" t="s">
        <v>33</v>
      </c>
      <c r="I554" s="2" t="s">
        <v>24</v>
      </c>
      <c r="J554" s="4">
        <v>3370000</v>
      </c>
      <c r="K554" s="2">
        <v>3</v>
      </c>
      <c r="L554" s="2">
        <v>2</v>
      </c>
      <c r="M554" s="2">
        <v>29</v>
      </c>
      <c r="N554" s="2" t="s">
        <v>88</v>
      </c>
      <c r="O554" s="2" t="s">
        <v>53</v>
      </c>
      <c r="P554" s="2" t="s">
        <v>36</v>
      </c>
      <c r="Q554" s="3"/>
      <c r="R554" s="2"/>
    </row>
    <row r="555" spans="1:18" x14ac:dyDescent="0.3">
      <c r="A555" s="2" t="s">
        <v>958</v>
      </c>
      <c r="B555" s="2" t="s">
        <v>959</v>
      </c>
      <c r="C555" s="2" t="s">
        <v>31</v>
      </c>
      <c r="D555" s="3">
        <v>32288</v>
      </c>
      <c r="E555" s="3">
        <v>44826</v>
      </c>
      <c r="F555" s="2" t="s">
        <v>51</v>
      </c>
      <c r="G555" s="2" t="s">
        <v>52</v>
      </c>
      <c r="H555" s="2" t="s">
        <v>23</v>
      </c>
      <c r="I555" s="2" t="s">
        <v>24</v>
      </c>
      <c r="J555" s="4">
        <v>10860000</v>
      </c>
      <c r="K555" s="2">
        <v>4</v>
      </c>
      <c r="L555" s="2">
        <v>3</v>
      </c>
      <c r="M555" s="2">
        <v>27</v>
      </c>
      <c r="N555" s="2" t="s">
        <v>25</v>
      </c>
      <c r="O555" s="2" t="s">
        <v>26</v>
      </c>
      <c r="P555" s="2" t="s">
        <v>36</v>
      </c>
      <c r="Q555" s="3"/>
      <c r="R555" s="2"/>
    </row>
    <row r="556" spans="1:18" x14ac:dyDescent="0.3">
      <c r="A556" s="2" t="s">
        <v>960</v>
      </c>
      <c r="B556" s="2" t="s">
        <v>961</v>
      </c>
      <c r="C556" s="2" t="s">
        <v>20</v>
      </c>
      <c r="D556" s="3">
        <v>38916</v>
      </c>
      <c r="E556" s="3">
        <v>46262</v>
      </c>
      <c r="F556" s="2" t="s">
        <v>114</v>
      </c>
      <c r="G556" s="2" t="s">
        <v>196</v>
      </c>
      <c r="H556" s="2" t="s">
        <v>68</v>
      </c>
      <c r="I556" s="2" t="s">
        <v>44</v>
      </c>
      <c r="J556" s="4">
        <v>7610000</v>
      </c>
      <c r="K556" s="2">
        <v>3</v>
      </c>
      <c r="L556" s="2">
        <v>2</v>
      </c>
      <c r="M556" s="2">
        <v>4</v>
      </c>
      <c r="N556" s="2" t="s">
        <v>41</v>
      </c>
      <c r="O556" s="2" t="s">
        <v>26</v>
      </c>
      <c r="P556" s="2" t="s">
        <v>36</v>
      </c>
      <c r="Q556" s="3"/>
      <c r="R556" s="2"/>
    </row>
    <row r="557" spans="1:18" x14ac:dyDescent="0.3">
      <c r="A557" s="2" t="s">
        <v>962</v>
      </c>
      <c r="B557" s="2" t="s">
        <v>636</v>
      </c>
      <c r="C557" s="2" t="s">
        <v>20</v>
      </c>
      <c r="D557" s="3">
        <v>30133</v>
      </c>
      <c r="E557" s="3">
        <v>45001</v>
      </c>
      <c r="F557" s="2" t="s">
        <v>64</v>
      </c>
      <c r="G557" s="2" t="s">
        <v>65</v>
      </c>
      <c r="H557" s="2" t="s">
        <v>23</v>
      </c>
      <c r="I557" s="2" t="s">
        <v>44</v>
      </c>
      <c r="J557" s="4">
        <v>12080000</v>
      </c>
      <c r="K557" s="2">
        <v>4</v>
      </c>
      <c r="L557" s="2">
        <v>1</v>
      </c>
      <c r="M557" s="2">
        <v>21</v>
      </c>
      <c r="N557" s="2" t="s">
        <v>41</v>
      </c>
      <c r="O557" s="2" t="s">
        <v>35</v>
      </c>
      <c r="P557" s="2" t="s">
        <v>27</v>
      </c>
      <c r="Q557" s="3">
        <v>45816</v>
      </c>
      <c r="R557" s="2" t="s">
        <v>61</v>
      </c>
    </row>
    <row r="558" spans="1:18" x14ac:dyDescent="0.3">
      <c r="A558" s="2" t="s">
        <v>963</v>
      </c>
      <c r="B558" s="2" t="s">
        <v>536</v>
      </c>
      <c r="C558" s="2" t="s">
        <v>31</v>
      </c>
      <c r="D558" s="3">
        <v>33886</v>
      </c>
      <c r="E558" s="3">
        <v>46109</v>
      </c>
      <c r="F558" s="2" t="s">
        <v>21</v>
      </c>
      <c r="G558" s="2" t="s">
        <v>32</v>
      </c>
      <c r="H558" s="2" t="s">
        <v>68</v>
      </c>
      <c r="I558" s="2" t="s">
        <v>96</v>
      </c>
      <c r="J558" s="4">
        <v>9190000</v>
      </c>
      <c r="K558" s="2">
        <v>5</v>
      </c>
      <c r="L558" s="2">
        <v>4</v>
      </c>
      <c r="M558" s="2">
        <v>8</v>
      </c>
      <c r="N558" s="2" t="s">
        <v>25</v>
      </c>
      <c r="O558" s="2" t="s">
        <v>26</v>
      </c>
      <c r="P558" s="2" t="s">
        <v>36</v>
      </c>
      <c r="Q558" s="3"/>
      <c r="R558" s="2"/>
    </row>
    <row r="559" spans="1:18" x14ac:dyDescent="0.3">
      <c r="A559" s="2" t="s">
        <v>964</v>
      </c>
      <c r="B559" s="2" t="s">
        <v>751</v>
      </c>
      <c r="C559" s="2" t="s">
        <v>31</v>
      </c>
      <c r="D559" s="3">
        <v>35381</v>
      </c>
      <c r="E559" s="3">
        <v>45910</v>
      </c>
      <c r="F559" s="2" t="s">
        <v>64</v>
      </c>
      <c r="G559" s="2" t="s">
        <v>73</v>
      </c>
      <c r="H559" s="2" t="s">
        <v>23</v>
      </c>
      <c r="I559" s="2" t="s">
        <v>24</v>
      </c>
      <c r="J559" s="4">
        <v>14490000</v>
      </c>
      <c r="K559" s="2">
        <v>3</v>
      </c>
      <c r="L559" s="2">
        <v>3</v>
      </c>
      <c r="M559" s="2">
        <v>17</v>
      </c>
      <c r="N559" s="2" t="s">
        <v>88</v>
      </c>
      <c r="O559" s="2" t="s">
        <v>53</v>
      </c>
      <c r="P559" s="2" t="s">
        <v>36</v>
      </c>
      <c r="Q559" s="3"/>
      <c r="R559" s="2"/>
    </row>
    <row r="560" spans="1:18" x14ac:dyDescent="0.3">
      <c r="A560" s="2" t="s">
        <v>965</v>
      </c>
      <c r="B560" s="2" t="s">
        <v>341</v>
      </c>
      <c r="C560" s="2" t="s">
        <v>31</v>
      </c>
      <c r="D560" s="3">
        <v>35299</v>
      </c>
      <c r="E560" s="3">
        <v>46261</v>
      </c>
      <c r="F560" s="2" t="s">
        <v>64</v>
      </c>
      <c r="G560" s="2" t="s">
        <v>73</v>
      </c>
      <c r="H560" s="2" t="s">
        <v>23</v>
      </c>
      <c r="I560" s="2" t="s">
        <v>24</v>
      </c>
      <c r="J560" s="4">
        <v>13940000</v>
      </c>
      <c r="K560" s="2">
        <v>5</v>
      </c>
      <c r="L560" s="2">
        <v>4</v>
      </c>
      <c r="M560" s="2">
        <v>13</v>
      </c>
      <c r="N560" s="2" t="s">
        <v>25</v>
      </c>
      <c r="O560" s="2" t="s">
        <v>26</v>
      </c>
      <c r="P560" s="2" t="s">
        <v>36</v>
      </c>
      <c r="Q560" s="3"/>
      <c r="R560" s="2"/>
    </row>
    <row r="561" spans="1:18" x14ac:dyDescent="0.3">
      <c r="A561" s="2" t="s">
        <v>966</v>
      </c>
      <c r="B561" s="2" t="s">
        <v>841</v>
      </c>
      <c r="C561" s="2" t="s">
        <v>20</v>
      </c>
      <c r="D561" s="3">
        <v>33923</v>
      </c>
      <c r="E561" s="3">
        <v>44210</v>
      </c>
      <c r="F561" s="2" t="s">
        <v>544</v>
      </c>
      <c r="G561" s="2" t="s">
        <v>52</v>
      </c>
      <c r="H561" s="2" t="s">
        <v>68</v>
      </c>
      <c r="I561" s="2" t="s">
        <v>24</v>
      </c>
      <c r="J561" s="4">
        <v>4510000</v>
      </c>
      <c r="K561" s="2">
        <v>3</v>
      </c>
      <c r="L561" s="2">
        <v>4</v>
      </c>
      <c r="M561" s="2">
        <v>16</v>
      </c>
      <c r="N561" s="2" t="s">
        <v>25</v>
      </c>
      <c r="O561" s="2" t="s">
        <v>26</v>
      </c>
      <c r="P561" s="2" t="s">
        <v>36</v>
      </c>
      <c r="Q561" s="3"/>
      <c r="R561" s="2"/>
    </row>
    <row r="562" spans="1:18" x14ac:dyDescent="0.3">
      <c r="A562" s="2" t="s">
        <v>967</v>
      </c>
      <c r="B562" s="2" t="s">
        <v>647</v>
      </c>
      <c r="C562" s="2" t="s">
        <v>20</v>
      </c>
      <c r="D562" s="3">
        <v>33168</v>
      </c>
      <c r="E562" s="3">
        <v>45898</v>
      </c>
      <c r="F562" s="2" t="s">
        <v>47</v>
      </c>
      <c r="G562" s="2" t="s">
        <v>127</v>
      </c>
      <c r="H562" s="2" t="s">
        <v>33</v>
      </c>
      <c r="I562" s="2" t="s">
        <v>34</v>
      </c>
      <c r="J562" s="4">
        <v>4390000</v>
      </c>
      <c r="K562" s="2">
        <v>3</v>
      </c>
      <c r="L562" s="2">
        <v>5</v>
      </c>
      <c r="M562" s="2">
        <v>22</v>
      </c>
      <c r="N562" s="2" t="s">
        <v>88</v>
      </c>
      <c r="O562" s="2" t="s">
        <v>26</v>
      </c>
      <c r="P562" s="2" t="s">
        <v>36</v>
      </c>
      <c r="Q562" s="3"/>
      <c r="R562" s="2"/>
    </row>
    <row r="563" spans="1:18" x14ac:dyDescent="0.3">
      <c r="A563" s="2" t="s">
        <v>968</v>
      </c>
      <c r="B563" s="2" t="s">
        <v>343</v>
      </c>
      <c r="C563" s="2" t="s">
        <v>20</v>
      </c>
      <c r="D563" s="3">
        <v>37097</v>
      </c>
      <c r="E563" s="3">
        <v>45228</v>
      </c>
      <c r="F563" s="2" t="s">
        <v>47</v>
      </c>
      <c r="G563" s="2" t="s">
        <v>127</v>
      </c>
      <c r="H563" s="2" t="s">
        <v>33</v>
      </c>
      <c r="I563" s="2" t="s">
        <v>82</v>
      </c>
      <c r="J563" s="4">
        <v>3880000</v>
      </c>
      <c r="K563" s="2">
        <v>5</v>
      </c>
      <c r="L563" s="2">
        <v>3</v>
      </c>
      <c r="M563" s="2">
        <v>12</v>
      </c>
      <c r="N563" s="2" t="s">
        <v>41</v>
      </c>
      <c r="O563" s="2" t="s">
        <v>26</v>
      </c>
      <c r="P563" s="2" t="s">
        <v>36</v>
      </c>
      <c r="Q563" s="3"/>
      <c r="R563" s="2"/>
    </row>
    <row r="564" spans="1:18" x14ac:dyDescent="0.3">
      <c r="A564" s="2" t="s">
        <v>969</v>
      </c>
      <c r="B564" s="2" t="s">
        <v>970</v>
      </c>
      <c r="C564" s="2" t="s">
        <v>31</v>
      </c>
      <c r="D564" s="3">
        <v>37896</v>
      </c>
      <c r="E564" s="3">
        <v>45946</v>
      </c>
      <c r="F564" s="2" t="s">
        <v>114</v>
      </c>
      <c r="G564" s="2" t="s">
        <v>150</v>
      </c>
      <c r="H564" s="2" t="s">
        <v>68</v>
      </c>
      <c r="I564" s="2" t="s">
        <v>24</v>
      </c>
      <c r="J564" s="4">
        <v>6830000</v>
      </c>
      <c r="K564" s="2">
        <v>2</v>
      </c>
      <c r="L564" s="2">
        <v>3</v>
      </c>
      <c r="M564" s="2">
        <v>27</v>
      </c>
      <c r="N564" s="2" t="s">
        <v>41</v>
      </c>
      <c r="O564" s="2" t="s">
        <v>26</v>
      </c>
      <c r="P564" s="2" t="s">
        <v>27</v>
      </c>
      <c r="Q564" s="3">
        <v>46176</v>
      </c>
      <c r="R564" s="2" t="s">
        <v>111</v>
      </c>
    </row>
    <row r="565" spans="1:18" x14ac:dyDescent="0.3">
      <c r="A565" s="2" t="s">
        <v>971</v>
      </c>
      <c r="B565" s="2" t="s">
        <v>972</v>
      </c>
      <c r="C565" s="2" t="s">
        <v>20</v>
      </c>
      <c r="D565" s="3">
        <v>36495</v>
      </c>
      <c r="E565" s="3">
        <v>45480</v>
      </c>
      <c r="F565" s="2" t="s">
        <v>21</v>
      </c>
      <c r="G565" s="2" t="s">
        <v>32</v>
      </c>
      <c r="H565" s="2" t="s">
        <v>68</v>
      </c>
      <c r="I565" s="2" t="s">
        <v>82</v>
      </c>
      <c r="J565" s="4">
        <v>11820000</v>
      </c>
      <c r="K565" s="2">
        <v>2</v>
      </c>
      <c r="L565" s="2">
        <v>4</v>
      </c>
      <c r="M565" s="2">
        <v>23</v>
      </c>
      <c r="N565" s="2" t="s">
        <v>41</v>
      </c>
      <c r="O565" s="2" t="s">
        <v>26</v>
      </c>
      <c r="P565" s="2" t="s">
        <v>36</v>
      </c>
      <c r="Q565" s="3"/>
      <c r="R565" s="2"/>
    </row>
    <row r="566" spans="1:18" x14ac:dyDescent="0.3">
      <c r="A566" s="2" t="s">
        <v>973</v>
      </c>
      <c r="B566" s="2" t="s">
        <v>640</v>
      </c>
      <c r="C566" s="2" t="s">
        <v>31</v>
      </c>
      <c r="D566" s="3">
        <v>35056</v>
      </c>
      <c r="E566" s="3">
        <v>45694</v>
      </c>
      <c r="F566" s="2" t="s">
        <v>64</v>
      </c>
      <c r="G566" s="2" t="s">
        <v>65</v>
      </c>
      <c r="H566" s="2" t="s">
        <v>68</v>
      </c>
      <c r="I566" s="2" t="s">
        <v>24</v>
      </c>
      <c r="J566" s="4">
        <v>7860000</v>
      </c>
      <c r="K566" s="2">
        <v>4</v>
      </c>
      <c r="L566" s="2">
        <v>2</v>
      </c>
      <c r="M566" s="2">
        <v>20</v>
      </c>
      <c r="N566" s="2" t="s">
        <v>25</v>
      </c>
      <c r="O566" s="2" t="s">
        <v>26</v>
      </c>
      <c r="P566" s="2" t="s">
        <v>36</v>
      </c>
      <c r="Q566" s="3"/>
      <c r="R566" s="2"/>
    </row>
    <row r="567" spans="1:18" x14ac:dyDescent="0.3">
      <c r="A567" s="2" t="s">
        <v>974</v>
      </c>
      <c r="B567" s="2" t="s">
        <v>822</v>
      </c>
      <c r="C567" s="2" t="s">
        <v>20</v>
      </c>
      <c r="D567" s="3">
        <v>32938</v>
      </c>
      <c r="E567" s="3">
        <v>45044</v>
      </c>
      <c r="F567" s="2" t="s">
        <v>64</v>
      </c>
      <c r="G567" s="2" t="s">
        <v>73</v>
      </c>
      <c r="H567" s="2" t="s">
        <v>33</v>
      </c>
      <c r="I567" s="2" t="s">
        <v>24</v>
      </c>
      <c r="J567" s="4">
        <v>4240000</v>
      </c>
      <c r="K567" s="2">
        <v>3</v>
      </c>
      <c r="L567" s="2">
        <v>4</v>
      </c>
      <c r="M567" s="2">
        <v>29</v>
      </c>
      <c r="N567" s="2" t="s">
        <v>25</v>
      </c>
      <c r="O567" s="2" t="s">
        <v>53</v>
      </c>
      <c r="P567" s="2" t="s">
        <v>36</v>
      </c>
      <c r="Q567" s="3"/>
      <c r="R567" s="2"/>
    </row>
    <row r="568" spans="1:18" x14ac:dyDescent="0.3">
      <c r="A568" s="2" t="s">
        <v>975</v>
      </c>
      <c r="B568" s="2" t="s">
        <v>428</v>
      </c>
      <c r="C568" s="2" t="s">
        <v>31</v>
      </c>
      <c r="D568" s="3">
        <v>33046</v>
      </c>
      <c r="E568" s="3">
        <v>46177</v>
      </c>
      <c r="F568" s="2" t="s">
        <v>56</v>
      </c>
      <c r="G568" s="2" t="s">
        <v>142</v>
      </c>
      <c r="H568" s="2" t="s">
        <v>23</v>
      </c>
      <c r="I568" s="2" t="s">
        <v>34</v>
      </c>
      <c r="J568" s="4">
        <v>13630000</v>
      </c>
      <c r="K568" s="2">
        <v>5</v>
      </c>
      <c r="L568" s="2">
        <v>4</v>
      </c>
      <c r="M568" s="2">
        <v>15</v>
      </c>
      <c r="N568" s="2" t="s">
        <v>41</v>
      </c>
      <c r="O568" s="2" t="s">
        <v>26</v>
      </c>
      <c r="P568" s="2" t="s">
        <v>36</v>
      </c>
      <c r="Q568" s="3"/>
      <c r="R568" s="2"/>
    </row>
    <row r="569" spans="1:18" x14ac:dyDescent="0.3">
      <c r="A569" s="2" t="s">
        <v>976</v>
      </c>
      <c r="B569" s="2" t="s">
        <v>826</v>
      </c>
      <c r="C569" s="2" t="s">
        <v>31</v>
      </c>
      <c r="D569" s="3">
        <v>35078</v>
      </c>
      <c r="E569" s="3">
        <v>45558</v>
      </c>
      <c r="F569" s="2" t="s">
        <v>114</v>
      </c>
      <c r="G569" s="2" t="s">
        <v>196</v>
      </c>
      <c r="H569" s="2" t="s">
        <v>68</v>
      </c>
      <c r="I569" s="2" t="s">
        <v>24</v>
      </c>
      <c r="J569" s="4">
        <v>6340000</v>
      </c>
      <c r="K569" s="2">
        <v>4</v>
      </c>
      <c r="L569" s="2">
        <v>5</v>
      </c>
      <c r="M569" s="2">
        <v>10</v>
      </c>
      <c r="N569" s="2" t="s">
        <v>88</v>
      </c>
      <c r="O569" s="2" t="s">
        <v>35</v>
      </c>
      <c r="P569" s="2" t="s">
        <v>36</v>
      </c>
      <c r="Q569" s="3"/>
      <c r="R569" s="2"/>
    </row>
    <row r="570" spans="1:18" x14ac:dyDescent="0.3">
      <c r="A570" s="2" t="s">
        <v>977</v>
      </c>
      <c r="B570" s="2" t="s">
        <v>978</v>
      </c>
      <c r="C570" s="2" t="s">
        <v>31</v>
      </c>
      <c r="D570" s="3">
        <v>34157</v>
      </c>
      <c r="E570" s="3">
        <v>45060</v>
      </c>
      <c r="F570" s="2" t="s">
        <v>39</v>
      </c>
      <c r="G570" s="2" t="s">
        <v>170</v>
      </c>
      <c r="H570" s="2" t="s">
        <v>33</v>
      </c>
      <c r="I570" s="2" t="s">
        <v>34</v>
      </c>
      <c r="J570" s="4">
        <v>3260000</v>
      </c>
      <c r="K570" s="2">
        <v>5</v>
      </c>
      <c r="L570" s="2">
        <v>4</v>
      </c>
      <c r="M570" s="2">
        <v>13</v>
      </c>
      <c r="N570" s="2" t="s">
        <v>41</v>
      </c>
      <c r="O570" s="2" t="s">
        <v>35</v>
      </c>
      <c r="P570" s="2" t="s">
        <v>36</v>
      </c>
      <c r="Q570" s="3"/>
      <c r="R570" s="2"/>
    </row>
    <row r="571" spans="1:18" x14ac:dyDescent="0.3">
      <c r="A571" s="2" t="s">
        <v>979</v>
      </c>
      <c r="B571" s="2" t="s">
        <v>817</v>
      </c>
      <c r="C571" s="2" t="s">
        <v>20</v>
      </c>
      <c r="D571" s="3">
        <v>35209</v>
      </c>
      <c r="E571" s="3">
        <v>44506</v>
      </c>
      <c r="F571" s="2" t="s">
        <v>114</v>
      </c>
      <c r="G571" s="2" t="s">
        <v>115</v>
      </c>
      <c r="H571" s="2" t="s">
        <v>33</v>
      </c>
      <c r="I571" s="2" t="s">
        <v>96</v>
      </c>
      <c r="J571" s="4">
        <v>3730000</v>
      </c>
      <c r="K571" s="2">
        <v>3</v>
      </c>
      <c r="L571" s="2">
        <v>3</v>
      </c>
      <c r="M571" s="2">
        <v>8</v>
      </c>
      <c r="N571" s="2" t="s">
        <v>41</v>
      </c>
      <c r="O571" s="2" t="s">
        <v>35</v>
      </c>
      <c r="P571" s="2" t="s">
        <v>27</v>
      </c>
      <c r="Q571" s="3">
        <v>45817</v>
      </c>
      <c r="R571" s="2" t="s">
        <v>28</v>
      </c>
    </row>
    <row r="572" spans="1:18" x14ac:dyDescent="0.3">
      <c r="A572" s="2" t="s">
        <v>980</v>
      </c>
      <c r="B572" s="2" t="s">
        <v>695</v>
      </c>
      <c r="C572" s="2" t="s">
        <v>31</v>
      </c>
      <c r="D572" s="3">
        <v>38164</v>
      </c>
      <c r="E572" s="3">
        <v>46262</v>
      </c>
      <c r="F572" s="2" t="s">
        <v>64</v>
      </c>
      <c r="G572" s="2" t="s">
        <v>73</v>
      </c>
      <c r="H572" s="2" t="s">
        <v>33</v>
      </c>
      <c r="I572" s="2" t="s">
        <v>96</v>
      </c>
      <c r="J572" s="4">
        <v>4310000</v>
      </c>
      <c r="K572" s="2">
        <v>3</v>
      </c>
      <c r="L572" s="2">
        <v>3</v>
      </c>
      <c r="M572" s="2">
        <v>9</v>
      </c>
      <c r="N572" s="2" t="s">
        <v>25</v>
      </c>
      <c r="O572" s="2" t="s">
        <v>35</v>
      </c>
      <c r="P572" s="2" t="s">
        <v>36</v>
      </c>
      <c r="Q572" s="3"/>
      <c r="R572" s="2"/>
    </row>
    <row r="573" spans="1:18" x14ac:dyDescent="0.3">
      <c r="A573" s="2" t="s">
        <v>981</v>
      </c>
      <c r="B573" s="2" t="s">
        <v>982</v>
      </c>
      <c r="C573" s="2" t="s">
        <v>20</v>
      </c>
      <c r="D573" s="3">
        <v>34968</v>
      </c>
      <c r="E573" s="3">
        <v>44825</v>
      </c>
      <c r="F573" s="2" t="s">
        <v>21</v>
      </c>
      <c r="G573" s="2" t="s">
        <v>32</v>
      </c>
      <c r="H573" s="2" t="s">
        <v>68</v>
      </c>
      <c r="I573" s="2" t="s">
        <v>24</v>
      </c>
      <c r="J573" s="4">
        <v>8050000</v>
      </c>
      <c r="K573" s="2">
        <v>3</v>
      </c>
      <c r="L573" s="2">
        <v>3</v>
      </c>
      <c r="M573" s="2">
        <v>0</v>
      </c>
      <c r="N573" s="2" t="s">
        <v>41</v>
      </c>
      <c r="O573" s="2" t="s">
        <v>26</v>
      </c>
      <c r="P573" s="2" t="s">
        <v>36</v>
      </c>
      <c r="Q573" s="3"/>
      <c r="R573" s="2"/>
    </row>
    <row r="574" spans="1:18" x14ac:dyDescent="0.3">
      <c r="A574" s="2" t="s">
        <v>983</v>
      </c>
      <c r="B574" s="2" t="s">
        <v>984</v>
      </c>
      <c r="C574" s="2" t="s">
        <v>31</v>
      </c>
      <c r="D574" s="3">
        <v>32736</v>
      </c>
      <c r="E574" s="3">
        <v>42458</v>
      </c>
      <c r="F574" s="2" t="s">
        <v>21</v>
      </c>
      <c r="G574" s="2" t="s">
        <v>22</v>
      </c>
      <c r="H574" s="2" t="s">
        <v>23</v>
      </c>
      <c r="I574" s="2" t="s">
        <v>34</v>
      </c>
      <c r="J574" s="4">
        <v>17400000</v>
      </c>
      <c r="K574" s="2">
        <v>3</v>
      </c>
      <c r="L574" s="2">
        <v>5</v>
      </c>
      <c r="M574" s="2">
        <v>25</v>
      </c>
      <c r="N574" s="2" t="s">
        <v>88</v>
      </c>
      <c r="O574" s="2" t="s">
        <v>26</v>
      </c>
      <c r="P574" s="2" t="s">
        <v>36</v>
      </c>
      <c r="Q574" s="3"/>
      <c r="R574" s="2"/>
    </row>
    <row r="575" spans="1:18" x14ac:dyDescent="0.3">
      <c r="A575" s="2" t="s">
        <v>985</v>
      </c>
      <c r="B575" s="2" t="s">
        <v>102</v>
      </c>
      <c r="C575" s="2" t="s">
        <v>229</v>
      </c>
      <c r="D575" s="3">
        <v>33520</v>
      </c>
      <c r="E575" s="3">
        <v>44029</v>
      </c>
      <c r="F575" s="2" t="s">
        <v>56</v>
      </c>
      <c r="G575" s="2" t="s">
        <v>57</v>
      </c>
      <c r="H575" s="2" t="s">
        <v>68</v>
      </c>
      <c r="I575" s="2" t="s">
        <v>24</v>
      </c>
      <c r="J575" s="4">
        <v>6710000</v>
      </c>
      <c r="K575" s="2">
        <v>4</v>
      </c>
      <c r="L575" s="2">
        <v>4</v>
      </c>
      <c r="M575" s="2">
        <v>7</v>
      </c>
      <c r="N575" s="2" t="s">
        <v>41</v>
      </c>
      <c r="O575" s="2" t="s">
        <v>35</v>
      </c>
      <c r="P575" s="2" t="s">
        <v>36</v>
      </c>
      <c r="Q575" s="3"/>
      <c r="R575" s="2"/>
    </row>
    <row r="576" spans="1:18" x14ac:dyDescent="0.3">
      <c r="A576" s="2" t="s">
        <v>986</v>
      </c>
      <c r="B576" s="2" t="s">
        <v>725</v>
      </c>
      <c r="C576" s="2" t="s">
        <v>20</v>
      </c>
      <c r="D576" s="3">
        <v>34489</v>
      </c>
      <c r="E576" s="3">
        <v>43892</v>
      </c>
      <c r="F576" s="2" t="s">
        <v>64</v>
      </c>
      <c r="G576" s="2" t="s">
        <v>73</v>
      </c>
      <c r="H576" s="2" t="s">
        <v>68</v>
      </c>
      <c r="I576" s="2" t="s">
        <v>24</v>
      </c>
      <c r="J576" s="4">
        <v>6740000</v>
      </c>
      <c r="K576" s="2">
        <v>3</v>
      </c>
      <c r="L576" s="2">
        <v>5</v>
      </c>
      <c r="M576" s="2">
        <v>1</v>
      </c>
      <c r="N576" s="2" t="s">
        <v>41</v>
      </c>
      <c r="O576" s="2" t="s">
        <v>26</v>
      </c>
      <c r="P576" s="2" t="s">
        <v>27</v>
      </c>
      <c r="Q576" s="3">
        <v>46024</v>
      </c>
      <c r="R576" s="2" t="s">
        <v>155</v>
      </c>
    </row>
    <row r="577" spans="1:18" x14ac:dyDescent="0.3">
      <c r="A577" s="2" t="s">
        <v>987</v>
      </c>
      <c r="B577" s="2" t="s">
        <v>487</v>
      </c>
      <c r="C577" s="2" t="s">
        <v>31</v>
      </c>
      <c r="D577" s="3">
        <v>36563</v>
      </c>
      <c r="E577" s="3">
        <v>45504</v>
      </c>
      <c r="F577" s="2" t="s">
        <v>21</v>
      </c>
      <c r="G577" s="2" t="s">
        <v>103</v>
      </c>
      <c r="H577" s="2" t="s">
        <v>33</v>
      </c>
      <c r="I577" s="2" t="s">
        <v>82</v>
      </c>
      <c r="J577" s="4">
        <v>5170000</v>
      </c>
      <c r="K577" s="2">
        <v>4</v>
      </c>
      <c r="L577" s="2">
        <v>3</v>
      </c>
      <c r="M577" s="2">
        <v>0</v>
      </c>
      <c r="N577" s="2" t="s">
        <v>41</v>
      </c>
      <c r="O577" s="2" t="s">
        <v>53</v>
      </c>
      <c r="P577" s="2" t="s">
        <v>36</v>
      </c>
      <c r="Q577" s="3"/>
      <c r="R577" s="2"/>
    </row>
    <row r="578" spans="1:18" x14ac:dyDescent="0.3">
      <c r="A578" s="2" t="s">
        <v>988</v>
      </c>
      <c r="B578" s="2" t="s">
        <v>718</v>
      </c>
      <c r="C578" s="2" t="s">
        <v>20</v>
      </c>
      <c r="D578" s="3">
        <v>37602</v>
      </c>
      <c r="E578" s="3">
        <v>45846</v>
      </c>
      <c r="F578" s="2" t="s">
        <v>114</v>
      </c>
      <c r="G578" s="2" t="s">
        <v>196</v>
      </c>
      <c r="H578" s="2" t="s">
        <v>33</v>
      </c>
      <c r="I578" s="2" t="s">
        <v>34</v>
      </c>
      <c r="J578" s="4">
        <v>3190000</v>
      </c>
      <c r="K578" s="2">
        <v>5</v>
      </c>
      <c r="L578" s="2">
        <v>3</v>
      </c>
      <c r="M578" s="2">
        <v>13</v>
      </c>
      <c r="N578" s="2" t="s">
        <v>25</v>
      </c>
      <c r="O578" s="2" t="s">
        <v>53</v>
      </c>
      <c r="P578" s="2" t="s">
        <v>36</v>
      </c>
      <c r="Q578" s="3"/>
      <c r="R578" s="2"/>
    </row>
    <row r="579" spans="1:18" x14ac:dyDescent="0.3">
      <c r="A579" s="2" t="s">
        <v>989</v>
      </c>
      <c r="B579" s="2" t="s">
        <v>179</v>
      </c>
      <c r="C579" s="2" t="s">
        <v>31</v>
      </c>
      <c r="D579" s="3">
        <v>35122</v>
      </c>
      <c r="E579" s="3">
        <v>44302</v>
      </c>
      <c r="F579" s="2" t="s">
        <v>114</v>
      </c>
      <c r="G579" s="2" t="s">
        <v>196</v>
      </c>
      <c r="H579" s="2" t="s">
        <v>68</v>
      </c>
      <c r="I579" s="2" t="s">
        <v>44</v>
      </c>
      <c r="J579" s="4">
        <v>7350000</v>
      </c>
      <c r="K579" s="2">
        <v>3</v>
      </c>
      <c r="L579" s="2">
        <v>3</v>
      </c>
      <c r="M579" s="2">
        <v>23</v>
      </c>
      <c r="N579" s="2" t="s">
        <v>25</v>
      </c>
      <c r="O579" s="2" t="s">
        <v>26</v>
      </c>
      <c r="P579" s="2" t="s">
        <v>36</v>
      </c>
      <c r="Q579" s="3"/>
      <c r="R579" s="2"/>
    </row>
    <row r="580" spans="1:18" x14ac:dyDescent="0.3">
      <c r="A580" s="2" t="s">
        <v>990</v>
      </c>
      <c r="B580" s="2" t="s">
        <v>366</v>
      </c>
      <c r="C580" s="2" t="s">
        <v>20</v>
      </c>
      <c r="D580" s="3">
        <v>31248</v>
      </c>
      <c r="E580" s="3">
        <v>43656</v>
      </c>
      <c r="F580" s="2" t="s">
        <v>56</v>
      </c>
      <c r="G580" s="2" t="s">
        <v>142</v>
      </c>
      <c r="H580" s="2" t="s">
        <v>33</v>
      </c>
      <c r="I580" s="2" t="s">
        <v>206</v>
      </c>
      <c r="J580" s="4">
        <v>4060000</v>
      </c>
      <c r="K580" s="2">
        <v>4</v>
      </c>
      <c r="L580" s="2">
        <v>3</v>
      </c>
      <c r="M580" s="2">
        <v>3</v>
      </c>
      <c r="N580" s="2" t="s">
        <v>41</v>
      </c>
      <c r="O580" s="2" t="s">
        <v>26</v>
      </c>
      <c r="P580" s="2" t="s">
        <v>36</v>
      </c>
      <c r="Q580" s="3"/>
      <c r="R580" s="2"/>
    </row>
    <row r="581" spans="1:18" x14ac:dyDescent="0.3">
      <c r="A581" s="2" t="s">
        <v>991</v>
      </c>
      <c r="B581" s="2" t="s">
        <v>100</v>
      </c>
      <c r="C581" s="2" t="s">
        <v>20</v>
      </c>
      <c r="D581" s="3">
        <v>35434</v>
      </c>
      <c r="E581" s="3">
        <v>44974</v>
      </c>
      <c r="F581" s="2" t="s">
        <v>64</v>
      </c>
      <c r="G581" s="2" t="s">
        <v>65</v>
      </c>
      <c r="H581" s="2" t="s">
        <v>23</v>
      </c>
      <c r="I581" s="2" t="s">
        <v>24</v>
      </c>
      <c r="J581" s="4">
        <v>12650000</v>
      </c>
      <c r="K581" s="2">
        <v>1</v>
      </c>
      <c r="L581" s="2">
        <v>2</v>
      </c>
      <c r="M581" s="2">
        <v>2</v>
      </c>
      <c r="N581" s="2" t="s">
        <v>41</v>
      </c>
      <c r="O581" s="2" t="s">
        <v>26</v>
      </c>
      <c r="P581" s="2" t="s">
        <v>36</v>
      </c>
      <c r="Q581" s="3"/>
      <c r="R581" s="2"/>
    </row>
    <row r="582" spans="1:18" x14ac:dyDescent="0.3">
      <c r="A582" s="2" t="s">
        <v>992</v>
      </c>
      <c r="B582" s="2" t="s">
        <v>409</v>
      </c>
      <c r="C582" s="2" t="s">
        <v>31</v>
      </c>
      <c r="D582" s="3">
        <v>36710</v>
      </c>
      <c r="E582" s="3">
        <v>44950</v>
      </c>
      <c r="F582" s="2" t="s">
        <v>51</v>
      </c>
      <c r="G582" s="2" t="s">
        <v>93</v>
      </c>
      <c r="H582" s="2" t="s">
        <v>68</v>
      </c>
      <c r="I582" s="2" t="s">
        <v>24</v>
      </c>
      <c r="J582" s="4">
        <v>6730000</v>
      </c>
      <c r="K582" s="2">
        <v>4</v>
      </c>
      <c r="L582" s="2">
        <v>3</v>
      </c>
      <c r="M582" s="2">
        <v>7</v>
      </c>
      <c r="N582" s="2" t="s">
        <v>25</v>
      </c>
      <c r="O582" s="2" t="s">
        <v>26</v>
      </c>
      <c r="P582" s="2" t="s">
        <v>36</v>
      </c>
      <c r="Q582" s="3"/>
      <c r="R582" s="2"/>
    </row>
    <row r="583" spans="1:18" x14ac:dyDescent="0.3">
      <c r="A583" s="2" t="s">
        <v>993</v>
      </c>
      <c r="B583" s="2" t="s">
        <v>655</v>
      </c>
      <c r="C583" s="2" t="s">
        <v>20</v>
      </c>
      <c r="D583" s="3">
        <v>36209</v>
      </c>
      <c r="E583" s="3">
        <v>45264</v>
      </c>
      <c r="F583" s="2" t="s">
        <v>64</v>
      </c>
      <c r="G583" s="2" t="s">
        <v>65</v>
      </c>
      <c r="H583" s="2" t="s">
        <v>68</v>
      </c>
      <c r="I583" s="2" t="s">
        <v>24</v>
      </c>
      <c r="J583" s="4">
        <v>6160000</v>
      </c>
      <c r="K583" s="2">
        <v>4</v>
      </c>
      <c r="L583" s="2">
        <v>4</v>
      </c>
      <c r="M583" s="2">
        <v>15</v>
      </c>
      <c r="N583" s="2" t="s">
        <v>41</v>
      </c>
      <c r="O583" s="2"/>
      <c r="P583" s="2" t="s">
        <v>36</v>
      </c>
      <c r="Q583" s="3"/>
      <c r="R583" s="2"/>
    </row>
    <row r="584" spans="1:18" x14ac:dyDescent="0.3">
      <c r="A584" s="2" t="s">
        <v>994</v>
      </c>
      <c r="B584" s="2" t="s">
        <v>413</v>
      </c>
      <c r="C584" s="2" t="s">
        <v>20</v>
      </c>
      <c r="D584" s="3">
        <v>36553</v>
      </c>
      <c r="E584" s="3">
        <v>44215</v>
      </c>
      <c r="F584" s="2" t="s">
        <v>995</v>
      </c>
      <c r="G584" s="2" t="s">
        <v>115</v>
      </c>
      <c r="H584" s="2" t="s">
        <v>23</v>
      </c>
      <c r="I584" s="2" t="s">
        <v>24</v>
      </c>
      <c r="J584" s="4">
        <v>10560000</v>
      </c>
      <c r="K584" s="2">
        <v>4</v>
      </c>
      <c r="L584" s="2">
        <v>3</v>
      </c>
      <c r="M584" s="2">
        <v>10</v>
      </c>
      <c r="N584" s="2" t="s">
        <v>25</v>
      </c>
      <c r="O584" s="2" t="s">
        <v>26</v>
      </c>
      <c r="P584" s="2" t="s">
        <v>36</v>
      </c>
      <c r="Q584" s="3"/>
      <c r="R584" s="2"/>
    </row>
    <row r="585" spans="1:18" x14ac:dyDescent="0.3">
      <c r="A585" s="2" t="s">
        <v>996</v>
      </c>
      <c r="B585" s="2" t="s">
        <v>362</v>
      </c>
      <c r="C585" s="2" t="s">
        <v>20</v>
      </c>
      <c r="D585" s="3">
        <v>32724</v>
      </c>
      <c r="E585" s="3">
        <v>45537</v>
      </c>
      <c r="F585" s="2" t="s">
        <v>21</v>
      </c>
      <c r="G585" s="2" t="s">
        <v>32</v>
      </c>
      <c r="H585" s="2" t="s">
        <v>23</v>
      </c>
      <c r="I585" s="2" t="s">
        <v>24</v>
      </c>
      <c r="J585" s="4">
        <v>17040000</v>
      </c>
      <c r="K585" s="2">
        <v>4</v>
      </c>
      <c r="L585" s="2">
        <v>2</v>
      </c>
      <c r="M585" s="2">
        <v>16</v>
      </c>
      <c r="N585" s="2" t="s">
        <v>41</v>
      </c>
      <c r="O585" s="2" t="s">
        <v>35</v>
      </c>
      <c r="P585" s="2" t="s">
        <v>36</v>
      </c>
      <c r="Q585" s="3"/>
      <c r="R585" s="2"/>
    </row>
    <row r="586" spans="1:18" x14ac:dyDescent="0.3">
      <c r="A586" s="2" t="s">
        <v>997</v>
      </c>
      <c r="B586" s="2" t="s">
        <v>411</v>
      </c>
      <c r="C586" s="2" t="s">
        <v>31</v>
      </c>
      <c r="D586" s="3">
        <v>35006</v>
      </c>
      <c r="E586" s="3">
        <v>45309</v>
      </c>
      <c r="F586" s="2" t="s">
        <v>64</v>
      </c>
      <c r="G586" s="2" t="s">
        <v>73</v>
      </c>
      <c r="H586" s="2" t="s">
        <v>33</v>
      </c>
      <c r="I586" s="2" t="s">
        <v>44</v>
      </c>
      <c r="J586" s="4">
        <v>3280000</v>
      </c>
      <c r="K586" s="2">
        <v>3</v>
      </c>
      <c r="L586" s="2">
        <v>3</v>
      </c>
      <c r="M586" s="2">
        <v>0</v>
      </c>
      <c r="N586" s="2" t="s">
        <v>25</v>
      </c>
      <c r="O586" s="2" t="s">
        <v>26</v>
      </c>
      <c r="P586" s="2" t="s">
        <v>36</v>
      </c>
      <c r="Q586" s="3"/>
      <c r="R586" s="2"/>
    </row>
    <row r="587" spans="1:18" x14ac:dyDescent="0.3">
      <c r="A587" s="2" t="s">
        <v>998</v>
      </c>
      <c r="B587" s="2" t="s">
        <v>256</v>
      </c>
      <c r="C587" s="2" t="s">
        <v>20</v>
      </c>
      <c r="D587" s="3">
        <v>38678</v>
      </c>
      <c r="E587" s="3">
        <v>46259</v>
      </c>
      <c r="F587" s="2" t="s">
        <v>56</v>
      </c>
      <c r="G587" s="2" t="s">
        <v>60</v>
      </c>
      <c r="H587" s="2" t="s">
        <v>33</v>
      </c>
      <c r="I587" s="2" t="s">
        <v>34</v>
      </c>
      <c r="J587" s="4">
        <v>3400000</v>
      </c>
      <c r="K587" s="2">
        <v>4</v>
      </c>
      <c r="L587" s="2">
        <v>5</v>
      </c>
      <c r="M587" s="2">
        <v>16</v>
      </c>
      <c r="N587" s="2" t="s">
        <v>25</v>
      </c>
      <c r="O587" s="2" t="s">
        <v>26</v>
      </c>
      <c r="P587" s="2" t="s">
        <v>36</v>
      </c>
      <c r="Q587" s="3"/>
      <c r="R587" s="2"/>
    </row>
    <row r="588" spans="1:18" x14ac:dyDescent="0.3">
      <c r="A588" s="2" t="s">
        <v>999</v>
      </c>
      <c r="B588" s="2" t="s">
        <v>718</v>
      </c>
      <c r="C588" s="2" t="s">
        <v>20</v>
      </c>
      <c r="D588" s="3">
        <v>32637</v>
      </c>
      <c r="E588" s="3">
        <v>44536</v>
      </c>
      <c r="F588" s="2" t="s">
        <v>21</v>
      </c>
      <c r="G588" s="2" t="s">
        <v>22</v>
      </c>
      <c r="H588" s="2" t="s">
        <v>33</v>
      </c>
      <c r="I588" s="2" t="s">
        <v>206</v>
      </c>
      <c r="J588" s="4">
        <v>5950000</v>
      </c>
      <c r="K588" s="2">
        <v>3</v>
      </c>
      <c r="L588" s="2">
        <v>5</v>
      </c>
      <c r="M588" s="2">
        <v>0</v>
      </c>
      <c r="N588" s="2" t="s">
        <v>41</v>
      </c>
      <c r="O588" s="2" t="s">
        <v>26</v>
      </c>
      <c r="P588" s="2" t="s">
        <v>36</v>
      </c>
      <c r="Q588" s="3"/>
      <c r="R588" s="2"/>
    </row>
    <row r="589" spans="1:18" x14ac:dyDescent="0.3">
      <c r="A589" s="2" t="s">
        <v>1000</v>
      </c>
      <c r="B589" s="2" t="s">
        <v>177</v>
      </c>
      <c r="C589" s="2" t="s">
        <v>20</v>
      </c>
      <c r="D589" s="3">
        <v>37888</v>
      </c>
      <c r="E589" s="3">
        <v>45669</v>
      </c>
      <c r="F589" s="2" t="s">
        <v>51</v>
      </c>
      <c r="G589" s="2" t="s">
        <v>93</v>
      </c>
      <c r="H589" s="2" t="s">
        <v>68</v>
      </c>
      <c r="I589" s="2" t="s">
        <v>206</v>
      </c>
      <c r="J589" s="4">
        <v>5520000</v>
      </c>
      <c r="K589" s="2">
        <v>2</v>
      </c>
      <c r="L589" s="2">
        <v>3</v>
      </c>
      <c r="M589" s="2">
        <v>22</v>
      </c>
      <c r="N589" s="2" t="s">
        <v>41</v>
      </c>
      <c r="O589" s="2" t="s">
        <v>53</v>
      </c>
      <c r="P589" s="2" t="s">
        <v>27</v>
      </c>
      <c r="Q589" s="3">
        <v>46280</v>
      </c>
      <c r="R589" s="2" t="s">
        <v>401</v>
      </c>
    </row>
    <row r="590" spans="1:18" x14ac:dyDescent="0.3">
      <c r="A590" s="2" t="s">
        <v>1001</v>
      </c>
      <c r="B590" s="2" t="s">
        <v>1002</v>
      </c>
      <c r="C590" s="2" t="s">
        <v>20</v>
      </c>
      <c r="D590" s="3">
        <v>32766</v>
      </c>
      <c r="E590" s="3">
        <v>44638</v>
      </c>
      <c r="F590" s="2" t="s">
        <v>114</v>
      </c>
      <c r="G590" s="2" t="s">
        <v>115</v>
      </c>
      <c r="H590" s="2" t="s">
        <v>33</v>
      </c>
      <c r="I590" s="2" t="s">
        <v>44</v>
      </c>
      <c r="J590" s="4">
        <v>4460000</v>
      </c>
      <c r="K590" s="2">
        <v>3</v>
      </c>
      <c r="L590" s="2">
        <v>3</v>
      </c>
      <c r="M590" s="2">
        <v>31</v>
      </c>
      <c r="N590" s="2" t="s">
        <v>25</v>
      </c>
      <c r="O590" s="2" t="s">
        <v>26</v>
      </c>
      <c r="P590" s="2" t="s">
        <v>27</v>
      </c>
      <c r="Q590" s="3">
        <v>46024</v>
      </c>
      <c r="R590" s="2" t="s">
        <v>401</v>
      </c>
    </row>
    <row r="591" spans="1:18" x14ac:dyDescent="0.3">
      <c r="A591" s="2" t="s">
        <v>1003</v>
      </c>
      <c r="B591" s="2" t="s">
        <v>1004</v>
      </c>
      <c r="C591" s="2" t="s">
        <v>20</v>
      </c>
      <c r="D591" s="3">
        <v>35765</v>
      </c>
      <c r="E591" s="3">
        <v>45125</v>
      </c>
      <c r="F591" s="2" t="s">
        <v>1005</v>
      </c>
      <c r="G591" s="2" t="s">
        <v>103</v>
      </c>
      <c r="H591" s="2" t="s">
        <v>68</v>
      </c>
      <c r="I591" s="2" t="s">
        <v>206</v>
      </c>
      <c r="J591" s="4">
        <v>11150000</v>
      </c>
      <c r="K591" s="2">
        <v>2</v>
      </c>
      <c r="L591" s="2">
        <v>2</v>
      </c>
      <c r="M591" s="2">
        <v>21</v>
      </c>
      <c r="N591" s="2" t="s">
        <v>25</v>
      </c>
      <c r="O591" s="2" t="s">
        <v>53</v>
      </c>
      <c r="P591" s="2" t="s">
        <v>27</v>
      </c>
      <c r="Q591" s="3">
        <v>46116</v>
      </c>
      <c r="R591" s="2" t="s">
        <v>61</v>
      </c>
    </row>
    <row r="592" spans="1:18" x14ac:dyDescent="0.3">
      <c r="A592" s="2" t="s">
        <v>1006</v>
      </c>
      <c r="B592" s="2" t="s">
        <v>1007</v>
      </c>
      <c r="C592" s="2" t="s">
        <v>20</v>
      </c>
      <c r="D592" s="3">
        <v>36631</v>
      </c>
      <c r="E592" s="3">
        <v>45893</v>
      </c>
      <c r="F592" s="2" t="s">
        <v>114</v>
      </c>
      <c r="G592" s="2" t="s">
        <v>196</v>
      </c>
      <c r="H592" s="2" t="s">
        <v>23</v>
      </c>
      <c r="I592" s="2" t="s">
        <v>206</v>
      </c>
      <c r="J592" s="4">
        <v>11770000</v>
      </c>
      <c r="K592" s="2">
        <v>4</v>
      </c>
      <c r="L592" s="2">
        <v>3</v>
      </c>
      <c r="M592" s="2">
        <v>19</v>
      </c>
      <c r="N592" s="2" t="s">
        <v>41</v>
      </c>
      <c r="O592" s="2" t="s">
        <v>26</v>
      </c>
      <c r="P592" s="2" t="s">
        <v>36</v>
      </c>
      <c r="Q592" s="3"/>
      <c r="R592" s="2"/>
    </row>
    <row r="593" spans="1:18" x14ac:dyDescent="0.3">
      <c r="A593" s="2" t="s">
        <v>1008</v>
      </c>
      <c r="B593" s="2" t="s">
        <v>477</v>
      </c>
      <c r="C593" s="2" t="s">
        <v>31</v>
      </c>
      <c r="D593" s="3">
        <v>34331</v>
      </c>
      <c r="E593" s="3">
        <v>45609</v>
      </c>
      <c r="F593" s="2" t="s">
        <v>47</v>
      </c>
      <c r="G593" s="2" t="s">
        <v>48</v>
      </c>
      <c r="H593" s="2" t="s">
        <v>68</v>
      </c>
      <c r="I593" s="2" t="s">
        <v>24</v>
      </c>
      <c r="J593" s="4">
        <v>5860000</v>
      </c>
      <c r="K593" s="2">
        <v>3</v>
      </c>
      <c r="L593" s="2">
        <v>4</v>
      </c>
      <c r="M593" s="2">
        <v>4</v>
      </c>
      <c r="N593" s="2" t="s">
        <v>41</v>
      </c>
      <c r="O593" s="2" t="s">
        <v>26</v>
      </c>
      <c r="P593" s="2" t="s">
        <v>36</v>
      </c>
      <c r="Q593" s="3"/>
      <c r="R593" s="2"/>
    </row>
    <row r="594" spans="1:18" x14ac:dyDescent="0.3">
      <c r="A594" s="2" t="s">
        <v>1009</v>
      </c>
      <c r="B594" s="2" t="s">
        <v>922</v>
      </c>
      <c r="C594" s="2" t="s">
        <v>20</v>
      </c>
      <c r="D594" s="3">
        <v>33788</v>
      </c>
      <c r="E594" s="3">
        <v>45410</v>
      </c>
      <c r="F594" s="2" t="s">
        <v>114</v>
      </c>
      <c r="G594" s="2" t="s">
        <v>196</v>
      </c>
      <c r="H594" s="2" t="s">
        <v>68</v>
      </c>
      <c r="I594" s="2" t="s">
        <v>24</v>
      </c>
      <c r="J594" s="4">
        <v>5530000</v>
      </c>
      <c r="K594" s="2">
        <v>3</v>
      </c>
      <c r="L594" s="2">
        <v>2</v>
      </c>
      <c r="M594" s="2">
        <v>30</v>
      </c>
      <c r="N594" s="2" t="s">
        <v>41</v>
      </c>
      <c r="O594" s="2"/>
      <c r="P594" s="2" t="s">
        <v>36</v>
      </c>
      <c r="Q594" s="3"/>
      <c r="R594" s="2"/>
    </row>
    <row r="595" spans="1:18" x14ac:dyDescent="0.3">
      <c r="A595" s="2" t="s">
        <v>1010</v>
      </c>
      <c r="B595" s="2" t="s">
        <v>1011</v>
      </c>
      <c r="C595" s="2" t="s">
        <v>31</v>
      </c>
      <c r="D595" s="3">
        <v>34154</v>
      </c>
      <c r="E595" s="3">
        <v>43713</v>
      </c>
      <c r="F595" s="2" t="s">
        <v>114</v>
      </c>
      <c r="G595" s="2" t="s">
        <v>196</v>
      </c>
      <c r="H595" s="2" t="s">
        <v>68</v>
      </c>
      <c r="I595" s="2" t="s">
        <v>24</v>
      </c>
      <c r="J595" s="4">
        <v>7990000</v>
      </c>
      <c r="K595" s="2">
        <v>5</v>
      </c>
      <c r="L595" s="2">
        <v>3</v>
      </c>
      <c r="M595" s="2">
        <v>21</v>
      </c>
      <c r="N595" s="2" t="s">
        <v>88</v>
      </c>
      <c r="O595" s="2" t="s">
        <v>35</v>
      </c>
      <c r="P595" s="2" t="s">
        <v>36</v>
      </c>
      <c r="Q595" s="3"/>
      <c r="R595" s="2"/>
    </row>
    <row r="596" spans="1:18" x14ac:dyDescent="0.3">
      <c r="A596" s="2" t="s">
        <v>1012</v>
      </c>
      <c r="B596" s="2" t="s">
        <v>1013</v>
      </c>
      <c r="C596" s="2" t="s">
        <v>20</v>
      </c>
      <c r="D596" s="3">
        <v>34669</v>
      </c>
      <c r="E596" s="3">
        <v>45473</v>
      </c>
      <c r="F596" s="2" t="s">
        <v>21</v>
      </c>
      <c r="G596" s="2" t="s">
        <v>22</v>
      </c>
      <c r="H596" s="2" t="s">
        <v>68</v>
      </c>
      <c r="I596" s="2" t="s">
        <v>24</v>
      </c>
      <c r="J596" s="4">
        <v>8970000</v>
      </c>
      <c r="K596" s="2">
        <v>3</v>
      </c>
      <c r="L596" s="2">
        <v>2</v>
      </c>
      <c r="M596" s="2">
        <v>14</v>
      </c>
      <c r="N596" s="2" t="s">
        <v>41</v>
      </c>
      <c r="O596" s="2" t="s">
        <v>26</v>
      </c>
      <c r="P596" s="2" t="s">
        <v>36</v>
      </c>
      <c r="Q596" s="3"/>
      <c r="R596" s="2"/>
    </row>
    <row r="597" spans="1:18" x14ac:dyDescent="0.3">
      <c r="A597" s="2" t="s">
        <v>1014</v>
      </c>
      <c r="B597" s="2" t="s">
        <v>697</v>
      </c>
      <c r="C597" s="2" t="s">
        <v>20</v>
      </c>
      <c r="D597" s="3">
        <v>35637</v>
      </c>
      <c r="E597" s="3">
        <v>46091</v>
      </c>
      <c r="F597" s="2" t="s">
        <v>51</v>
      </c>
      <c r="G597" s="2" t="s">
        <v>52</v>
      </c>
      <c r="H597" s="2" t="s">
        <v>23</v>
      </c>
      <c r="I597" s="2" t="s">
        <v>24</v>
      </c>
      <c r="J597" s="4">
        <v>9110000</v>
      </c>
      <c r="K597" s="2">
        <v>2</v>
      </c>
      <c r="L597" s="2">
        <v>2</v>
      </c>
      <c r="M597" s="2">
        <v>20</v>
      </c>
      <c r="N597" s="2" t="s">
        <v>25</v>
      </c>
      <c r="O597" s="2" t="s">
        <v>26</v>
      </c>
      <c r="P597" s="2" t="s">
        <v>27</v>
      </c>
      <c r="Q597" s="3">
        <v>46209</v>
      </c>
      <c r="R597" s="2" t="s">
        <v>61</v>
      </c>
    </row>
    <row r="598" spans="1:18" x14ac:dyDescent="0.3">
      <c r="A598" s="2" t="s">
        <v>1015</v>
      </c>
      <c r="B598" s="2" t="s">
        <v>1016</v>
      </c>
      <c r="C598" s="2" t="s">
        <v>240</v>
      </c>
      <c r="D598" s="3">
        <v>35395</v>
      </c>
      <c r="E598" s="3">
        <v>44916</v>
      </c>
      <c r="F598" s="2" t="s">
        <v>64</v>
      </c>
      <c r="G598" s="2" t="s">
        <v>79</v>
      </c>
      <c r="H598" s="2" t="s">
        <v>68</v>
      </c>
      <c r="I598" s="2" t="s">
        <v>24</v>
      </c>
      <c r="J598" s="4">
        <v>6220000</v>
      </c>
      <c r="K598" s="2">
        <v>2</v>
      </c>
      <c r="L598" s="2">
        <v>4</v>
      </c>
      <c r="M598" s="2">
        <v>12</v>
      </c>
      <c r="N598" s="2" t="s">
        <v>41</v>
      </c>
      <c r="O598" s="2" t="s">
        <v>26</v>
      </c>
      <c r="P598" s="2" t="s">
        <v>27</v>
      </c>
      <c r="Q598" s="3">
        <v>45930</v>
      </c>
      <c r="R598" s="2" t="s">
        <v>28</v>
      </c>
    </row>
    <row r="599" spans="1:18" x14ac:dyDescent="0.3">
      <c r="A599" s="2" t="s">
        <v>1017</v>
      </c>
      <c r="B599" s="2" t="s">
        <v>172</v>
      </c>
      <c r="C599" s="2" t="s">
        <v>31</v>
      </c>
      <c r="D599" s="3">
        <v>32969</v>
      </c>
      <c r="E599" s="3">
        <v>42534</v>
      </c>
      <c r="F599" s="2" t="s">
        <v>51</v>
      </c>
      <c r="G599" s="2" t="s">
        <v>52</v>
      </c>
      <c r="H599" s="2" t="s">
        <v>68</v>
      </c>
      <c r="I599" s="2" t="s">
        <v>24</v>
      </c>
      <c r="J599" s="4">
        <v>6990000</v>
      </c>
      <c r="K599" s="2">
        <v>4</v>
      </c>
      <c r="L599" s="2">
        <v>4</v>
      </c>
      <c r="M599" s="2">
        <v>10</v>
      </c>
      <c r="N599" s="2" t="s">
        <v>25</v>
      </c>
      <c r="O599" s="2" t="s">
        <v>26</v>
      </c>
      <c r="P599" s="2" t="s">
        <v>36</v>
      </c>
      <c r="Q599" s="3"/>
      <c r="R599" s="2"/>
    </row>
    <row r="600" spans="1:18" x14ac:dyDescent="0.3">
      <c r="A600" s="2" t="s">
        <v>1018</v>
      </c>
      <c r="B600" s="2" t="s">
        <v>1019</v>
      </c>
      <c r="C600" s="2" t="s">
        <v>31</v>
      </c>
      <c r="D600" s="3">
        <v>30625</v>
      </c>
      <c r="E600" s="3">
        <v>44120</v>
      </c>
      <c r="F600" s="2" t="s">
        <v>51</v>
      </c>
      <c r="G600" s="2" t="s">
        <v>93</v>
      </c>
      <c r="H600" s="2" t="s">
        <v>23</v>
      </c>
      <c r="I600" s="2" t="s">
        <v>44</v>
      </c>
      <c r="J600" s="4">
        <v>9170000</v>
      </c>
      <c r="K600" s="2">
        <v>1</v>
      </c>
      <c r="L600" s="2">
        <v>3</v>
      </c>
      <c r="M600" s="2">
        <v>8</v>
      </c>
      <c r="N600" s="2" t="s">
        <v>41</v>
      </c>
      <c r="O600" s="2" t="s">
        <v>26</v>
      </c>
      <c r="P600" s="2" t="s">
        <v>36</v>
      </c>
      <c r="Q600" s="3"/>
      <c r="R600" s="2"/>
    </row>
    <row r="601" spans="1:18" x14ac:dyDescent="0.3">
      <c r="A601" s="2" t="s">
        <v>1020</v>
      </c>
      <c r="B601" s="2" t="s">
        <v>384</v>
      </c>
      <c r="C601" s="2" t="s">
        <v>31</v>
      </c>
      <c r="D601" s="3">
        <v>36757</v>
      </c>
      <c r="E601" s="3">
        <v>45853</v>
      </c>
      <c r="F601" s="2" t="s">
        <v>114</v>
      </c>
      <c r="G601" s="2" t="s">
        <v>196</v>
      </c>
      <c r="H601" s="2" t="s">
        <v>33</v>
      </c>
      <c r="I601" s="2" t="s">
        <v>206</v>
      </c>
      <c r="J601" s="4">
        <v>3710000</v>
      </c>
      <c r="K601" s="2">
        <v>3</v>
      </c>
      <c r="L601" s="2">
        <v>2</v>
      </c>
      <c r="M601" s="2">
        <v>33</v>
      </c>
      <c r="N601" s="2" t="s">
        <v>88</v>
      </c>
      <c r="O601" s="2" t="s">
        <v>53</v>
      </c>
      <c r="P601" s="2" t="s">
        <v>27</v>
      </c>
      <c r="Q601" s="3">
        <v>46212</v>
      </c>
      <c r="R601" s="2" t="s">
        <v>111</v>
      </c>
    </row>
    <row r="602" spans="1:18" x14ac:dyDescent="0.3">
      <c r="A602" s="2" t="s">
        <v>1021</v>
      </c>
      <c r="B602" s="2" t="s">
        <v>254</v>
      </c>
      <c r="C602" s="2" t="s">
        <v>31</v>
      </c>
      <c r="D602" s="3">
        <v>36529</v>
      </c>
      <c r="E602" s="3">
        <v>45428</v>
      </c>
      <c r="F602" s="2" t="s">
        <v>21</v>
      </c>
      <c r="G602" s="2" t="s">
        <v>22</v>
      </c>
      <c r="H602" s="2" t="s">
        <v>68</v>
      </c>
      <c r="I602" s="2" t="s">
        <v>24</v>
      </c>
      <c r="J602" s="4">
        <v>12160000</v>
      </c>
      <c r="K602" s="2">
        <v>3</v>
      </c>
      <c r="L602" s="2">
        <v>3</v>
      </c>
      <c r="M602" s="2">
        <v>4</v>
      </c>
      <c r="N602" s="2" t="s">
        <v>25</v>
      </c>
      <c r="O602" s="2" t="s">
        <v>26</v>
      </c>
      <c r="P602" s="2" t="s">
        <v>36</v>
      </c>
      <c r="Q602" s="3"/>
      <c r="R602" s="2"/>
    </row>
    <row r="603" spans="1:18" x14ac:dyDescent="0.3">
      <c r="A603" s="2" t="s">
        <v>1022</v>
      </c>
      <c r="B603" s="2" t="s">
        <v>279</v>
      </c>
      <c r="C603" s="2" t="s">
        <v>20</v>
      </c>
      <c r="D603" s="3">
        <v>36970</v>
      </c>
      <c r="E603" s="3">
        <v>45454</v>
      </c>
      <c r="F603" s="2" t="s">
        <v>56</v>
      </c>
      <c r="G603" s="2" t="s">
        <v>57</v>
      </c>
      <c r="H603" s="2" t="s">
        <v>23</v>
      </c>
      <c r="I603" s="2" t="s">
        <v>34</v>
      </c>
      <c r="J603" s="4">
        <v>14850000</v>
      </c>
      <c r="K603" s="2">
        <v>5</v>
      </c>
      <c r="L603" s="2">
        <v>3</v>
      </c>
      <c r="M603" s="2">
        <v>8</v>
      </c>
      <c r="N603" s="2" t="s">
        <v>25</v>
      </c>
      <c r="O603" s="2" t="s">
        <v>26</v>
      </c>
      <c r="P603" s="2" t="s">
        <v>36</v>
      </c>
      <c r="Q603" s="3"/>
      <c r="R603" s="2"/>
    </row>
    <row r="604" spans="1:18" x14ac:dyDescent="0.3">
      <c r="A604" s="2" t="s">
        <v>1023</v>
      </c>
      <c r="B604" s="2" t="s">
        <v>625</v>
      </c>
      <c r="C604" s="2" t="s">
        <v>31</v>
      </c>
      <c r="D604" s="3">
        <v>34412</v>
      </c>
      <c r="E604" s="3">
        <v>45653</v>
      </c>
      <c r="F604" s="2" t="s">
        <v>47</v>
      </c>
      <c r="G604" s="2" t="s">
        <v>127</v>
      </c>
      <c r="H604" s="2" t="s">
        <v>68</v>
      </c>
      <c r="I604" s="2" t="s">
        <v>104</v>
      </c>
      <c r="J604" s="4">
        <v>6600000</v>
      </c>
      <c r="K604" s="2">
        <v>5</v>
      </c>
      <c r="L604" s="2">
        <v>1</v>
      </c>
      <c r="M604" s="2">
        <v>5</v>
      </c>
      <c r="N604" s="2" t="s">
        <v>41</v>
      </c>
      <c r="O604" s="2" t="s">
        <v>26</v>
      </c>
      <c r="P604" s="2" t="s">
        <v>36</v>
      </c>
      <c r="Q604" s="3"/>
      <c r="R604" s="2"/>
    </row>
    <row r="605" spans="1:18" x14ac:dyDescent="0.3">
      <c r="A605" s="2" t="s">
        <v>1024</v>
      </c>
      <c r="B605" s="2" t="s">
        <v>836</v>
      </c>
      <c r="C605" s="2" t="s">
        <v>31</v>
      </c>
      <c r="D605" s="3">
        <v>36726</v>
      </c>
      <c r="E605" s="3">
        <v>45821</v>
      </c>
      <c r="F605" s="2" t="s">
        <v>21</v>
      </c>
      <c r="G605" s="2" t="s">
        <v>103</v>
      </c>
      <c r="H605" s="2" t="s">
        <v>33</v>
      </c>
      <c r="I605" s="2" t="s">
        <v>24</v>
      </c>
      <c r="J605" s="4">
        <v>5790000</v>
      </c>
      <c r="K605" s="2">
        <v>3</v>
      </c>
      <c r="L605" s="2">
        <v>5</v>
      </c>
      <c r="M605" s="2">
        <v>9</v>
      </c>
      <c r="N605" s="2" t="s">
        <v>41</v>
      </c>
      <c r="O605" s="2"/>
      <c r="P605" s="2" t="s">
        <v>36</v>
      </c>
      <c r="Q605" s="3"/>
      <c r="R605" s="2"/>
    </row>
    <row r="606" spans="1:18" x14ac:dyDescent="0.3">
      <c r="A606" s="2" t="s">
        <v>1025</v>
      </c>
      <c r="B606" s="2" t="s">
        <v>265</v>
      </c>
      <c r="C606" s="2" t="s">
        <v>31</v>
      </c>
      <c r="D606" s="3">
        <v>31952</v>
      </c>
      <c r="E606" s="3">
        <v>43156</v>
      </c>
      <c r="F606" s="2" t="s">
        <v>56</v>
      </c>
      <c r="G606" s="2" t="s">
        <v>57</v>
      </c>
      <c r="H606" s="2" t="s">
        <v>68</v>
      </c>
      <c r="I606" s="2" t="s">
        <v>24</v>
      </c>
      <c r="J606" s="4">
        <v>7340000</v>
      </c>
      <c r="K606" s="2">
        <v>3</v>
      </c>
      <c r="L606" s="2">
        <v>3</v>
      </c>
      <c r="M606" s="2">
        <v>21</v>
      </c>
      <c r="N606" s="2" t="s">
        <v>25</v>
      </c>
      <c r="O606" s="2" t="s">
        <v>35</v>
      </c>
      <c r="P606" s="2" t="s">
        <v>36</v>
      </c>
      <c r="Q606" s="3"/>
      <c r="R606" s="2"/>
    </row>
    <row r="607" spans="1:18" x14ac:dyDescent="0.3">
      <c r="A607" s="2" t="s">
        <v>1026</v>
      </c>
      <c r="B607" s="2" t="s">
        <v>275</v>
      </c>
      <c r="C607" s="2" t="s">
        <v>20</v>
      </c>
      <c r="D607" s="3">
        <v>33899</v>
      </c>
      <c r="E607" s="3">
        <v>46149</v>
      </c>
      <c r="F607" s="2" t="s">
        <v>51</v>
      </c>
      <c r="G607" s="2" t="s">
        <v>52</v>
      </c>
      <c r="H607" s="2" t="s">
        <v>33</v>
      </c>
      <c r="I607" s="2" t="s">
        <v>44</v>
      </c>
      <c r="J607" s="4">
        <v>3850000</v>
      </c>
      <c r="K607" s="2">
        <v>3</v>
      </c>
      <c r="L607" s="2">
        <v>4</v>
      </c>
      <c r="M607" s="2">
        <v>13</v>
      </c>
      <c r="N607" s="2" t="s">
        <v>88</v>
      </c>
      <c r="O607" s="2" t="s">
        <v>26</v>
      </c>
      <c r="P607" s="2" t="s">
        <v>36</v>
      </c>
      <c r="Q607" s="3"/>
      <c r="R607" s="2"/>
    </row>
    <row r="608" spans="1:18" x14ac:dyDescent="0.3">
      <c r="A608" s="2" t="s">
        <v>1027</v>
      </c>
      <c r="B608" s="2" t="s">
        <v>154</v>
      </c>
      <c r="C608" s="2" t="s">
        <v>20</v>
      </c>
      <c r="D608" s="3">
        <v>34635</v>
      </c>
      <c r="E608" s="3">
        <v>45739</v>
      </c>
      <c r="F608" s="2" t="s">
        <v>47</v>
      </c>
      <c r="G608" s="2" t="s">
        <v>90</v>
      </c>
      <c r="H608" s="2" t="s">
        <v>23</v>
      </c>
      <c r="I608" s="2" t="s">
        <v>206</v>
      </c>
      <c r="J608" s="4">
        <v>14090000</v>
      </c>
      <c r="K608" s="2">
        <v>3</v>
      </c>
      <c r="L608" s="2">
        <v>1</v>
      </c>
      <c r="M608" s="2">
        <v>21</v>
      </c>
      <c r="N608" s="2" t="s">
        <v>41</v>
      </c>
      <c r="O608" s="2" t="s">
        <v>53</v>
      </c>
      <c r="P608" s="2" t="s">
        <v>36</v>
      </c>
      <c r="Q608" s="3"/>
      <c r="R608" s="2"/>
    </row>
    <row r="609" spans="1:18" x14ac:dyDescent="0.3">
      <c r="A609" s="2" t="s">
        <v>1028</v>
      </c>
      <c r="B609" s="2" t="s">
        <v>1029</v>
      </c>
      <c r="C609" s="2" t="s">
        <v>20</v>
      </c>
      <c r="D609" s="3">
        <v>32091</v>
      </c>
      <c r="E609" s="3">
        <v>43119</v>
      </c>
      <c r="F609" s="2" t="s">
        <v>51</v>
      </c>
      <c r="G609" s="2" t="s">
        <v>52</v>
      </c>
      <c r="H609" s="2" t="s">
        <v>33</v>
      </c>
      <c r="I609" s="2" t="s">
        <v>96</v>
      </c>
      <c r="J609" s="4">
        <v>2690000</v>
      </c>
      <c r="K609" s="2">
        <v>3</v>
      </c>
      <c r="L609" s="2">
        <v>2</v>
      </c>
      <c r="M609" s="2">
        <v>12</v>
      </c>
      <c r="N609" s="2" t="s">
        <v>41</v>
      </c>
      <c r="O609" s="2" t="s">
        <v>53</v>
      </c>
      <c r="P609" s="2" t="s">
        <v>36</v>
      </c>
      <c r="Q609" s="3"/>
      <c r="R609" s="2"/>
    </row>
    <row r="610" spans="1:18" x14ac:dyDescent="0.3">
      <c r="A610" s="2" t="s">
        <v>1030</v>
      </c>
      <c r="B610" s="2" t="s">
        <v>242</v>
      </c>
      <c r="C610" s="2" t="s">
        <v>31</v>
      </c>
      <c r="D610" s="3">
        <v>34956</v>
      </c>
      <c r="E610" s="3">
        <v>42579</v>
      </c>
      <c r="F610" s="2" t="s">
        <v>64</v>
      </c>
      <c r="G610" s="2" t="s">
        <v>65</v>
      </c>
      <c r="H610" s="2" t="s">
        <v>33</v>
      </c>
      <c r="I610" s="2" t="s">
        <v>206</v>
      </c>
      <c r="J610" s="4">
        <v>3950000</v>
      </c>
      <c r="K610" s="2">
        <v>3</v>
      </c>
      <c r="L610" s="2">
        <v>3</v>
      </c>
      <c r="M610" s="2">
        <v>13</v>
      </c>
      <c r="N610" s="2" t="s">
        <v>25</v>
      </c>
      <c r="O610" s="2" t="s">
        <v>26</v>
      </c>
      <c r="P610" s="2" t="s">
        <v>36</v>
      </c>
      <c r="Q610" s="3"/>
      <c r="R610" s="2"/>
    </row>
    <row r="611" spans="1:18" x14ac:dyDescent="0.3">
      <c r="A611" s="2" t="s">
        <v>1031</v>
      </c>
      <c r="B611" s="2" t="s">
        <v>695</v>
      </c>
      <c r="C611" s="2" t="s">
        <v>31</v>
      </c>
      <c r="D611" s="3">
        <v>34070</v>
      </c>
      <c r="E611" s="3">
        <v>45908</v>
      </c>
      <c r="F611" s="2" t="s">
        <v>21</v>
      </c>
      <c r="G611" s="2" t="s">
        <v>32</v>
      </c>
      <c r="H611" s="2" t="s">
        <v>33</v>
      </c>
      <c r="I611" s="2" t="s">
        <v>24</v>
      </c>
      <c r="J611" s="4">
        <v>5130000</v>
      </c>
      <c r="K611" s="2">
        <v>5</v>
      </c>
      <c r="L611" s="2">
        <v>4</v>
      </c>
      <c r="M611" s="2">
        <v>6</v>
      </c>
      <c r="N611" s="2" t="s">
        <v>25</v>
      </c>
      <c r="O611" s="2" t="s">
        <v>53</v>
      </c>
      <c r="P611" s="2" t="s">
        <v>36</v>
      </c>
      <c r="Q611" s="3"/>
      <c r="R611" s="2"/>
    </row>
    <row r="612" spans="1:18" x14ac:dyDescent="0.3">
      <c r="A612" s="2" t="s">
        <v>1032</v>
      </c>
      <c r="B612" s="2" t="s">
        <v>352</v>
      </c>
      <c r="C612" s="2" t="s">
        <v>20</v>
      </c>
      <c r="D612" s="3">
        <v>39004</v>
      </c>
      <c r="E612" s="3">
        <v>46283</v>
      </c>
      <c r="F612" s="2" t="s">
        <v>47</v>
      </c>
      <c r="G612" s="2" t="s">
        <v>48</v>
      </c>
      <c r="H612" s="2" t="s">
        <v>33</v>
      </c>
      <c r="I612" s="2" t="s">
        <v>34</v>
      </c>
      <c r="J612" s="4">
        <v>4050000</v>
      </c>
      <c r="K612" s="2">
        <v>3</v>
      </c>
      <c r="L612" s="2">
        <v>1</v>
      </c>
      <c r="M612" s="2">
        <v>0</v>
      </c>
      <c r="N612" s="2" t="s">
        <v>41</v>
      </c>
      <c r="O612" s="2" t="s">
        <v>35</v>
      </c>
      <c r="P612" s="2" t="s">
        <v>36</v>
      </c>
      <c r="Q612" s="3"/>
      <c r="R612" s="2"/>
    </row>
    <row r="613" spans="1:18" x14ac:dyDescent="0.3">
      <c r="A613" s="2" t="s">
        <v>1033</v>
      </c>
      <c r="B613" s="2" t="s">
        <v>135</v>
      </c>
      <c r="C613" s="2" t="s">
        <v>31</v>
      </c>
      <c r="D613" s="3">
        <v>34868</v>
      </c>
      <c r="E613" s="3">
        <v>45027</v>
      </c>
      <c r="F613" s="2" t="s">
        <v>21</v>
      </c>
      <c r="G613" s="2" t="s">
        <v>103</v>
      </c>
      <c r="H613" s="2" t="s">
        <v>68</v>
      </c>
      <c r="I613" s="2" t="s">
        <v>24</v>
      </c>
      <c r="J613" s="4">
        <v>9660000</v>
      </c>
      <c r="K613" s="2">
        <v>4</v>
      </c>
      <c r="L613" s="2">
        <v>4</v>
      </c>
      <c r="M613" s="2">
        <v>20</v>
      </c>
      <c r="N613" s="2" t="s">
        <v>41</v>
      </c>
      <c r="O613" s="2" t="s">
        <v>35</v>
      </c>
      <c r="P613" s="2" t="s">
        <v>36</v>
      </c>
      <c r="Q613" s="3"/>
      <c r="R613" s="2"/>
    </row>
    <row r="614" spans="1:18" x14ac:dyDescent="0.3">
      <c r="A614" s="2" t="s">
        <v>1034</v>
      </c>
      <c r="B614" s="2" t="s">
        <v>55</v>
      </c>
      <c r="C614" s="2" t="s">
        <v>31</v>
      </c>
      <c r="D614" s="3">
        <v>33861</v>
      </c>
      <c r="E614" s="3">
        <v>44824</v>
      </c>
      <c r="F614" s="2" t="s">
        <v>1035</v>
      </c>
      <c r="G614" s="2" t="s">
        <v>73</v>
      </c>
      <c r="H614" s="2" t="s">
        <v>33</v>
      </c>
      <c r="I614" s="2" t="s">
        <v>24</v>
      </c>
      <c r="J614" s="4">
        <v>3580000</v>
      </c>
      <c r="K614" s="2">
        <v>1</v>
      </c>
      <c r="L614" s="2">
        <v>5</v>
      </c>
      <c r="M614" s="2">
        <v>17</v>
      </c>
      <c r="N614" s="2" t="s">
        <v>25</v>
      </c>
      <c r="O614" s="2" t="s">
        <v>26</v>
      </c>
      <c r="P614" s="2" t="s">
        <v>27</v>
      </c>
      <c r="Q614" s="3">
        <v>46219</v>
      </c>
      <c r="R614" s="2" t="s">
        <v>401</v>
      </c>
    </row>
    <row r="615" spans="1:18" x14ac:dyDescent="0.3">
      <c r="A615" s="2" t="s">
        <v>1036</v>
      </c>
      <c r="B615" s="2" t="s">
        <v>386</v>
      </c>
      <c r="C615" s="2" t="s">
        <v>31</v>
      </c>
      <c r="D615" s="3">
        <v>35572</v>
      </c>
      <c r="E615" s="3">
        <v>44534</v>
      </c>
      <c r="F615" s="2" t="s">
        <v>51</v>
      </c>
      <c r="G615" s="2" t="s">
        <v>93</v>
      </c>
      <c r="H615" s="2" t="s">
        <v>23</v>
      </c>
      <c r="I615" s="2" t="s">
        <v>34</v>
      </c>
      <c r="J615" s="4">
        <v>9520000</v>
      </c>
      <c r="K615" s="2">
        <v>4</v>
      </c>
      <c r="L615" s="2">
        <v>2</v>
      </c>
      <c r="M615" s="2">
        <v>9</v>
      </c>
      <c r="N615" s="2" t="s">
        <v>41</v>
      </c>
      <c r="O615" s="2" t="s">
        <v>26</v>
      </c>
      <c r="P615" s="2" t="s">
        <v>27</v>
      </c>
      <c r="Q615" s="3">
        <v>45878</v>
      </c>
      <c r="R615" s="2" t="s">
        <v>155</v>
      </c>
    </row>
    <row r="616" spans="1:18" x14ac:dyDescent="0.3">
      <c r="A616" s="2" t="s">
        <v>1037</v>
      </c>
      <c r="B616" s="2" t="s">
        <v>819</v>
      </c>
      <c r="C616" s="2" t="s">
        <v>31</v>
      </c>
      <c r="D616" s="3">
        <v>34256</v>
      </c>
      <c r="E616" s="3">
        <v>45512</v>
      </c>
      <c r="F616" s="2" t="s">
        <v>21</v>
      </c>
      <c r="G616" s="2" t="s">
        <v>22</v>
      </c>
      <c r="H616" s="2" t="s">
        <v>33</v>
      </c>
      <c r="I616" s="2" t="s">
        <v>24</v>
      </c>
      <c r="J616" s="4">
        <v>6480000</v>
      </c>
      <c r="K616" s="2">
        <v>4</v>
      </c>
      <c r="L616" s="2">
        <v>4</v>
      </c>
      <c r="M616" s="2">
        <v>21</v>
      </c>
      <c r="N616" s="2" t="s">
        <v>25</v>
      </c>
      <c r="O616" s="2" t="s">
        <v>35</v>
      </c>
      <c r="P616" s="2" t="s">
        <v>36</v>
      </c>
      <c r="Q616" s="3"/>
      <c r="R616" s="2"/>
    </row>
    <row r="617" spans="1:18" x14ac:dyDescent="0.3">
      <c r="A617" s="2" t="s">
        <v>1038</v>
      </c>
      <c r="B617" s="2" t="s">
        <v>403</v>
      </c>
      <c r="C617" s="2" t="s">
        <v>20</v>
      </c>
      <c r="D617" s="3">
        <v>35584</v>
      </c>
      <c r="E617" s="3">
        <v>45252</v>
      </c>
      <c r="F617" s="2" t="s">
        <v>114</v>
      </c>
      <c r="G617" s="2" t="s">
        <v>150</v>
      </c>
      <c r="H617" s="2" t="s">
        <v>68</v>
      </c>
      <c r="I617" s="2" t="s">
        <v>24</v>
      </c>
      <c r="J617" s="4">
        <v>5170000</v>
      </c>
      <c r="K617" s="2">
        <v>3</v>
      </c>
      <c r="L617" s="2">
        <v>3</v>
      </c>
      <c r="M617" s="2">
        <v>9</v>
      </c>
      <c r="N617" s="2" t="s">
        <v>88</v>
      </c>
      <c r="O617" s="2" t="s">
        <v>53</v>
      </c>
      <c r="P617" s="2" t="s">
        <v>36</v>
      </c>
      <c r="Q617" s="3"/>
      <c r="R617" s="2"/>
    </row>
    <row r="618" spans="1:18" x14ac:dyDescent="0.3">
      <c r="A618" s="2" t="s">
        <v>1039</v>
      </c>
      <c r="B618" s="2" t="s">
        <v>871</v>
      </c>
      <c r="C618" s="2" t="s">
        <v>20</v>
      </c>
      <c r="D618" s="3">
        <v>29839</v>
      </c>
      <c r="E618" s="3">
        <v>44559</v>
      </c>
      <c r="F618" s="2" t="s">
        <v>47</v>
      </c>
      <c r="G618" s="2" t="s">
        <v>48</v>
      </c>
      <c r="H618" s="2" t="s">
        <v>68</v>
      </c>
      <c r="I618" s="2" t="s">
        <v>104</v>
      </c>
      <c r="J618" s="4">
        <v>7360000</v>
      </c>
      <c r="K618" s="2">
        <v>3</v>
      </c>
      <c r="L618" s="2">
        <v>3</v>
      </c>
      <c r="M618" s="2">
        <v>9</v>
      </c>
      <c r="N618" s="2" t="s">
        <v>25</v>
      </c>
      <c r="O618" s="2" t="s">
        <v>26</v>
      </c>
      <c r="P618" s="2" t="s">
        <v>36</v>
      </c>
      <c r="Q618" s="3"/>
      <c r="R618" s="2"/>
    </row>
    <row r="619" spans="1:18" x14ac:dyDescent="0.3">
      <c r="A619" s="2" t="s">
        <v>1040</v>
      </c>
      <c r="B619" s="2" t="s">
        <v>751</v>
      </c>
      <c r="C619" s="2" t="s">
        <v>31</v>
      </c>
      <c r="D619" s="3">
        <v>31733</v>
      </c>
      <c r="E619" s="3">
        <v>46120</v>
      </c>
      <c r="F619" s="2" t="s">
        <v>21</v>
      </c>
      <c r="G619" s="2" t="s">
        <v>32</v>
      </c>
      <c r="H619" s="2" t="s">
        <v>33</v>
      </c>
      <c r="I619" s="2" t="s">
        <v>82</v>
      </c>
      <c r="J619" s="4">
        <v>4590000</v>
      </c>
      <c r="K619" s="2">
        <v>4</v>
      </c>
      <c r="L619" s="2">
        <v>4</v>
      </c>
      <c r="M619" s="2">
        <v>14</v>
      </c>
      <c r="N619" s="2" t="s">
        <v>41</v>
      </c>
      <c r="O619" s="2" t="s">
        <v>26</v>
      </c>
      <c r="P619" s="2" t="s">
        <v>36</v>
      </c>
      <c r="Q619" s="3"/>
      <c r="R619" s="2"/>
    </row>
    <row r="620" spans="1:18" x14ac:dyDescent="0.3">
      <c r="A620" s="2" t="s">
        <v>1041</v>
      </c>
      <c r="B620" s="2" t="s">
        <v>914</v>
      </c>
      <c r="C620" s="2" t="s">
        <v>20</v>
      </c>
      <c r="D620" s="3">
        <v>35271</v>
      </c>
      <c r="E620" s="3">
        <v>44669</v>
      </c>
      <c r="F620" s="2" t="s">
        <v>64</v>
      </c>
      <c r="G620" s="2" t="s">
        <v>73</v>
      </c>
      <c r="H620" s="2" t="s">
        <v>23</v>
      </c>
      <c r="I620" s="2" t="s">
        <v>24</v>
      </c>
      <c r="J620" s="4">
        <v>10140000</v>
      </c>
      <c r="K620" s="2">
        <v>3</v>
      </c>
      <c r="L620" s="2">
        <v>5</v>
      </c>
      <c r="M620" s="2">
        <v>21</v>
      </c>
      <c r="N620" s="2" t="s">
        <v>41</v>
      </c>
      <c r="O620" s="2" t="s">
        <v>26</v>
      </c>
      <c r="P620" s="2" t="s">
        <v>36</v>
      </c>
      <c r="Q620" s="3"/>
      <c r="R620" s="2"/>
    </row>
    <row r="621" spans="1:18" x14ac:dyDescent="0.3">
      <c r="A621" s="2" t="s">
        <v>1042</v>
      </c>
      <c r="B621" s="2" t="s">
        <v>359</v>
      </c>
      <c r="C621" s="2" t="s">
        <v>31</v>
      </c>
      <c r="D621" s="3">
        <v>32934</v>
      </c>
      <c r="E621" s="3">
        <v>45499</v>
      </c>
      <c r="F621" s="2" t="s">
        <v>64</v>
      </c>
      <c r="G621" s="2" t="s">
        <v>79</v>
      </c>
      <c r="H621" s="2" t="s">
        <v>23</v>
      </c>
      <c r="I621" s="2" t="s">
        <v>82</v>
      </c>
      <c r="J621" s="4">
        <v>15150000</v>
      </c>
      <c r="K621" s="2">
        <v>5</v>
      </c>
      <c r="L621" s="2">
        <v>4</v>
      </c>
      <c r="M621" s="2">
        <v>20</v>
      </c>
      <c r="N621" s="2" t="s">
        <v>41</v>
      </c>
      <c r="O621" s="2" t="s">
        <v>26</v>
      </c>
      <c r="P621" s="2" t="s">
        <v>36</v>
      </c>
      <c r="Q621" s="3"/>
      <c r="R621" s="2"/>
    </row>
    <row r="622" spans="1:18" x14ac:dyDescent="0.3">
      <c r="A622" s="2" t="s">
        <v>1043</v>
      </c>
      <c r="B622" s="2" t="s">
        <v>922</v>
      </c>
      <c r="C622" s="2" t="s">
        <v>20</v>
      </c>
      <c r="D622" s="3">
        <v>31906</v>
      </c>
      <c r="E622" s="3">
        <v>43209</v>
      </c>
      <c r="F622" s="2" t="s">
        <v>21</v>
      </c>
      <c r="G622" s="2" t="s">
        <v>22</v>
      </c>
      <c r="H622" s="2" t="s">
        <v>33</v>
      </c>
      <c r="I622" s="2" t="s">
        <v>24</v>
      </c>
      <c r="J622" s="4">
        <v>6220000</v>
      </c>
      <c r="K622" s="2">
        <v>4</v>
      </c>
      <c r="L622" s="2">
        <v>2</v>
      </c>
      <c r="M622" s="2">
        <v>0</v>
      </c>
      <c r="N622" s="2" t="s">
        <v>41</v>
      </c>
      <c r="O622" s="2" t="s">
        <v>26</v>
      </c>
      <c r="P622" s="2" t="s">
        <v>36</v>
      </c>
      <c r="Q622" s="3"/>
      <c r="R622" s="2"/>
    </row>
    <row r="623" spans="1:18" x14ac:dyDescent="0.3">
      <c r="A623" s="2" t="s">
        <v>1044</v>
      </c>
      <c r="B623" s="2" t="s">
        <v>1045</v>
      </c>
      <c r="C623" s="2" t="s">
        <v>20</v>
      </c>
      <c r="D623" s="3">
        <v>37160</v>
      </c>
      <c r="E623" s="3">
        <v>45308</v>
      </c>
      <c r="F623" s="2" t="s">
        <v>21</v>
      </c>
      <c r="G623" s="2" t="s">
        <v>103</v>
      </c>
      <c r="H623" s="2" t="s">
        <v>68</v>
      </c>
      <c r="I623" s="2" t="s">
        <v>24</v>
      </c>
      <c r="J623" s="4">
        <v>9460000</v>
      </c>
      <c r="K623" s="2">
        <v>4</v>
      </c>
      <c r="L623" s="2">
        <v>2</v>
      </c>
      <c r="M623" s="2">
        <v>7</v>
      </c>
      <c r="N623" s="2" t="s">
        <v>41</v>
      </c>
      <c r="O623" s="2" t="s">
        <v>26</v>
      </c>
      <c r="P623" s="2" t="s">
        <v>27</v>
      </c>
      <c r="Q623" s="3">
        <v>45767</v>
      </c>
      <c r="R623" s="2" t="s">
        <v>61</v>
      </c>
    </row>
    <row r="624" spans="1:18" x14ac:dyDescent="0.3">
      <c r="A624" s="2" t="s">
        <v>1046</v>
      </c>
      <c r="B624" s="2" t="s">
        <v>1047</v>
      </c>
      <c r="C624" s="2" t="s">
        <v>20</v>
      </c>
      <c r="D624" s="3">
        <v>34562</v>
      </c>
      <c r="E624" s="3">
        <v>46183</v>
      </c>
      <c r="F624" s="2" t="s">
        <v>56</v>
      </c>
      <c r="G624" s="2" t="s">
        <v>142</v>
      </c>
      <c r="H624" s="2" t="s">
        <v>33</v>
      </c>
      <c r="I624" s="2" t="s">
        <v>34</v>
      </c>
      <c r="J624" s="4">
        <v>3590000</v>
      </c>
      <c r="K624" s="2">
        <v>5</v>
      </c>
      <c r="L624" s="2">
        <v>3</v>
      </c>
      <c r="M624" s="2">
        <v>0</v>
      </c>
      <c r="N624" s="2" t="s">
        <v>41</v>
      </c>
      <c r="O624" s="2"/>
      <c r="P624" s="2" t="s">
        <v>36</v>
      </c>
      <c r="Q624" s="3"/>
      <c r="R624" s="2"/>
    </row>
    <row r="625" spans="1:18" x14ac:dyDescent="0.3">
      <c r="A625" s="2" t="s">
        <v>1048</v>
      </c>
      <c r="B625" s="2" t="s">
        <v>556</v>
      </c>
      <c r="C625" s="2" t="s">
        <v>31</v>
      </c>
      <c r="D625" s="3">
        <v>38756</v>
      </c>
      <c r="E625" s="3">
        <v>46177</v>
      </c>
      <c r="F625" s="2" t="s">
        <v>51</v>
      </c>
      <c r="G625" s="2" t="s">
        <v>93</v>
      </c>
      <c r="H625" s="2" t="s">
        <v>68</v>
      </c>
      <c r="I625" s="2" t="s">
        <v>24</v>
      </c>
      <c r="J625" s="4">
        <v>6160000</v>
      </c>
      <c r="K625" s="2">
        <v>4</v>
      </c>
      <c r="L625" s="2">
        <v>3</v>
      </c>
      <c r="M625" s="2">
        <v>15</v>
      </c>
      <c r="N625" s="2" t="s">
        <v>41</v>
      </c>
      <c r="O625" s="2" t="s">
        <v>26</v>
      </c>
      <c r="P625" s="2" t="s">
        <v>36</v>
      </c>
      <c r="Q625" s="3"/>
      <c r="R625" s="2"/>
    </row>
    <row r="626" spans="1:18" x14ac:dyDescent="0.3">
      <c r="A626" s="2" t="s">
        <v>1049</v>
      </c>
      <c r="B626" s="2" t="s">
        <v>1050</v>
      </c>
      <c r="C626" s="2" t="s">
        <v>20</v>
      </c>
      <c r="D626" s="3">
        <v>33949</v>
      </c>
      <c r="E626" s="3">
        <v>45763</v>
      </c>
      <c r="F626" s="2" t="s">
        <v>51</v>
      </c>
      <c r="G626" s="2" t="s">
        <v>93</v>
      </c>
      <c r="H626" s="2" t="s">
        <v>33</v>
      </c>
      <c r="I626" s="2" t="s">
        <v>24</v>
      </c>
      <c r="J626" s="4">
        <v>3900000</v>
      </c>
      <c r="K626" s="2">
        <v>4</v>
      </c>
      <c r="L626" s="2">
        <v>4</v>
      </c>
      <c r="M626" s="2">
        <v>9</v>
      </c>
      <c r="N626" s="2" t="s">
        <v>88</v>
      </c>
      <c r="O626" s="2" t="s">
        <v>35</v>
      </c>
      <c r="P626" s="2" t="s">
        <v>36</v>
      </c>
      <c r="Q626" s="3"/>
      <c r="R626" s="2"/>
    </row>
    <row r="627" spans="1:18" x14ac:dyDescent="0.3">
      <c r="A627" s="2" t="s">
        <v>1051</v>
      </c>
      <c r="B627" s="2" t="s">
        <v>1052</v>
      </c>
      <c r="C627" s="2" t="s">
        <v>20</v>
      </c>
      <c r="D627" s="3">
        <v>33007</v>
      </c>
      <c r="E627" s="3">
        <v>44924</v>
      </c>
      <c r="F627" s="2" t="s">
        <v>114</v>
      </c>
      <c r="G627" s="2" t="s">
        <v>115</v>
      </c>
      <c r="H627" s="2" t="s">
        <v>68</v>
      </c>
      <c r="I627" s="2" t="s">
        <v>34</v>
      </c>
      <c r="J627" s="4">
        <v>5320000</v>
      </c>
      <c r="K627" s="2">
        <v>3</v>
      </c>
      <c r="L627" s="2">
        <v>3</v>
      </c>
      <c r="M627" s="2">
        <v>7</v>
      </c>
      <c r="N627" s="2" t="s">
        <v>25</v>
      </c>
      <c r="O627" s="2" t="s">
        <v>26</v>
      </c>
      <c r="P627" s="2" t="s">
        <v>36</v>
      </c>
      <c r="Q627" s="3"/>
      <c r="R627" s="2"/>
    </row>
    <row r="628" spans="1:18" x14ac:dyDescent="0.3">
      <c r="A628" s="2" t="s">
        <v>1053</v>
      </c>
      <c r="B628" s="2" t="s">
        <v>713</v>
      </c>
      <c r="C628" s="2" t="s">
        <v>20</v>
      </c>
      <c r="D628" s="3">
        <v>34375</v>
      </c>
      <c r="E628" s="3">
        <v>45686</v>
      </c>
      <c r="F628" s="2" t="s">
        <v>114</v>
      </c>
      <c r="G628" s="2" t="s">
        <v>196</v>
      </c>
      <c r="H628" s="2" t="s">
        <v>33</v>
      </c>
      <c r="I628" s="2" t="s">
        <v>24</v>
      </c>
      <c r="J628" s="4">
        <v>4090000</v>
      </c>
      <c r="K628" s="2">
        <v>3</v>
      </c>
      <c r="L628" s="2">
        <v>1</v>
      </c>
      <c r="M628" s="2">
        <v>4</v>
      </c>
      <c r="N628" s="2" t="s">
        <v>41</v>
      </c>
      <c r="O628" s="2" t="s">
        <v>26</v>
      </c>
      <c r="P628" s="2" t="s">
        <v>36</v>
      </c>
      <c r="Q628" s="3"/>
      <c r="R628" s="2"/>
    </row>
    <row r="629" spans="1:18" x14ac:dyDescent="0.3">
      <c r="A629" s="2" t="s">
        <v>1054</v>
      </c>
      <c r="B629" s="2" t="s">
        <v>431</v>
      </c>
      <c r="C629" s="2" t="s">
        <v>20</v>
      </c>
      <c r="D629" s="3">
        <v>32517</v>
      </c>
      <c r="E629" s="3">
        <v>45325</v>
      </c>
      <c r="F629" s="2" t="s">
        <v>64</v>
      </c>
      <c r="G629" s="2" t="s">
        <v>65</v>
      </c>
      <c r="H629" s="2" t="s">
        <v>68</v>
      </c>
      <c r="I629" s="2" t="s">
        <v>24</v>
      </c>
      <c r="J629" s="4">
        <v>7590000</v>
      </c>
      <c r="K629" s="2">
        <v>3</v>
      </c>
      <c r="L629" s="2">
        <v>4</v>
      </c>
      <c r="M629" s="2">
        <v>31</v>
      </c>
      <c r="N629" s="2" t="s">
        <v>41</v>
      </c>
      <c r="O629" s="2" t="s">
        <v>35</v>
      </c>
      <c r="P629" s="2" t="s">
        <v>36</v>
      </c>
      <c r="Q629" s="3"/>
      <c r="R629" s="2"/>
    </row>
    <row r="630" spans="1:18" x14ac:dyDescent="0.3">
      <c r="A630" s="2" t="s">
        <v>1055</v>
      </c>
      <c r="B630" s="2" t="s">
        <v>318</v>
      </c>
      <c r="C630" s="2" t="s">
        <v>31</v>
      </c>
      <c r="D630" s="3">
        <v>32180</v>
      </c>
      <c r="E630" s="3">
        <v>46262</v>
      </c>
      <c r="F630" s="2" t="s">
        <v>51</v>
      </c>
      <c r="G630" s="2" t="s">
        <v>52</v>
      </c>
      <c r="H630" s="2" t="s">
        <v>68</v>
      </c>
      <c r="I630" s="2" t="s">
        <v>24</v>
      </c>
      <c r="J630" s="4">
        <v>6170000</v>
      </c>
      <c r="K630" s="2">
        <v>5</v>
      </c>
      <c r="L630" s="2">
        <v>4</v>
      </c>
      <c r="M630" s="2">
        <v>25</v>
      </c>
      <c r="N630" s="2" t="s">
        <v>25</v>
      </c>
      <c r="O630" s="2" t="s">
        <v>35</v>
      </c>
      <c r="P630" s="2" t="s">
        <v>36</v>
      </c>
      <c r="Q630" s="3"/>
      <c r="R630" s="2"/>
    </row>
    <row r="631" spans="1:18" x14ac:dyDescent="0.3">
      <c r="A631" s="2" t="s">
        <v>1056</v>
      </c>
      <c r="B631" s="2" t="s">
        <v>217</v>
      </c>
      <c r="C631" s="2" t="s">
        <v>31</v>
      </c>
      <c r="D631" s="3">
        <v>33524</v>
      </c>
      <c r="E631" s="3">
        <v>44408</v>
      </c>
      <c r="F631" s="2" t="s">
        <v>114</v>
      </c>
      <c r="G631" s="2" t="s">
        <v>150</v>
      </c>
      <c r="H631" s="2" t="s">
        <v>23</v>
      </c>
      <c r="I631" s="2" t="s">
        <v>104</v>
      </c>
      <c r="J631" s="4">
        <v>11180000</v>
      </c>
      <c r="K631" s="2">
        <v>5</v>
      </c>
      <c r="L631" s="2">
        <v>4</v>
      </c>
      <c r="M631" s="2">
        <v>25</v>
      </c>
      <c r="N631" s="2" t="s">
        <v>88</v>
      </c>
      <c r="O631" s="2" t="s">
        <v>26</v>
      </c>
      <c r="P631" s="2" t="s">
        <v>36</v>
      </c>
      <c r="Q631" s="3"/>
      <c r="R631" s="2"/>
    </row>
    <row r="632" spans="1:18" x14ac:dyDescent="0.3">
      <c r="A632" s="2" t="s">
        <v>1057</v>
      </c>
      <c r="B632" s="2" t="s">
        <v>569</v>
      </c>
      <c r="C632" s="2" t="s">
        <v>31</v>
      </c>
      <c r="D632" s="3">
        <v>32032</v>
      </c>
      <c r="E632" s="3">
        <v>44480</v>
      </c>
      <c r="F632" s="2" t="s">
        <v>47</v>
      </c>
      <c r="G632" s="2" t="s">
        <v>90</v>
      </c>
      <c r="H632" s="2" t="s">
        <v>68</v>
      </c>
      <c r="I632" s="2" t="s">
        <v>24</v>
      </c>
      <c r="J632" s="4">
        <v>7180000</v>
      </c>
      <c r="K632" s="2">
        <v>2</v>
      </c>
      <c r="L632" s="2">
        <v>2</v>
      </c>
      <c r="M632" s="2">
        <v>20</v>
      </c>
      <c r="N632" s="2" t="s">
        <v>25</v>
      </c>
      <c r="O632" s="2" t="s">
        <v>53</v>
      </c>
      <c r="P632" s="2" t="s">
        <v>36</v>
      </c>
      <c r="Q632" s="3"/>
      <c r="R632" s="2"/>
    </row>
    <row r="633" spans="1:18" x14ac:dyDescent="0.3">
      <c r="A633" s="2" t="s">
        <v>1058</v>
      </c>
      <c r="B633" s="2" t="s">
        <v>697</v>
      </c>
      <c r="C633" s="2" t="s">
        <v>20</v>
      </c>
      <c r="D633" s="3">
        <v>38160</v>
      </c>
      <c r="E633" s="3">
        <v>46059</v>
      </c>
      <c r="F633" s="2" t="s">
        <v>21</v>
      </c>
      <c r="G633" s="2" t="s">
        <v>32</v>
      </c>
      <c r="H633" s="2" t="s">
        <v>68</v>
      </c>
      <c r="I633" s="2" t="s">
        <v>24</v>
      </c>
      <c r="J633" s="4">
        <v>9680000</v>
      </c>
      <c r="K633" s="2">
        <v>3</v>
      </c>
      <c r="L633" s="2">
        <v>1</v>
      </c>
      <c r="M633" s="2">
        <v>8</v>
      </c>
      <c r="N633" s="2" t="s">
        <v>41</v>
      </c>
      <c r="O633" s="2" t="s">
        <v>26</v>
      </c>
      <c r="P633" s="2" t="s">
        <v>36</v>
      </c>
      <c r="Q633" s="3"/>
      <c r="R633" s="2"/>
    </row>
    <row r="634" spans="1:18" x14ac:dyDescent="0.3">
      <c r="A634" s="2" t="s">
        <v>1059</v>
      </c>
      <c r="B634" s="2" t="s">
        <v>871</v>
      </c>
      <c r="C634" s="2" t="s">
        <v>20</v>
      </c>
      <c r="D634" s="3">
        <v>37719</v>
      </c>
      <c r="E634" s="3">
        <v>45878</v>
      </c>
      <c r="F634" s="2" t="s">
        <v>64</v>
      </c>
      <c r="G634" s="2" t="s">
        <v>79</v>
      </c>
      <c r="H634" s="2" t="s">
        <v>23</v>
      </c>
      <c r="I634" s="2" t="s">
        <v>24</v>
      </c>
      <c r="J634" s="4">
        <v>12160000</v>
      </c>
      <c r="K634" s="2">
        <v>3</v>
      </c>
      <c r="L634" s="2">
        <v>2</v>
      </c>
      <c r="M634" s="2">
        <v>1</v>
      </c>
      <c r="N634" s="2" t="s">
        <v>25</v>
      </c>
      <c r="O634" s="2" t="s">
        <v>26</v>
      </c>
      <c r="P634" s="2" t="s">
        <v>36</v>
      </c>
      <c r="Q634" s="3"/>
      <c r="R634" s="2"/>
    </row>
    <row r="635" spans="1:18" x14ac:dyDescent="0.3">
      <c r="A635" s="2" t="s">
        <v>1060</v>
      </c>
      <c r="B635" s="2" t="s">
        <v>1016</v>
      </c>
      <c r="C635" s="2" t="s">
        <v>20</v>
      </c>
      <c r="D635" s="3">
        <v>37752</v>
      </c>
      <c r="E635" s="3">
        <v>45670</v>
      </c>
      <c r="F635" s="2" t="s">
        <v>51</v>
      </c>
      <c r="G635" s="2" t="s">
        <v>52</v>
      </c>
      <c r="H635" s="2" t="s">
        <v>33</v>
      </c>
      <c r="I635" s="2" t="s">
        <v>24</v>
      </c>
      <c r="J635" s="4">
        <v>2540000</v>
      </c>
      <c r="K635" s="2">
        <v>4</v>
      </c>
      <c r="L635" s="2">
        <v>4</v>
      </c>
      <c r="M635" s="2">
        <v>14</v>
      </c>
      <c r="N635" s="2" t="s">
        <v>25</v>
      </c>
      <c r="O635" s="2" t="s">
        <v>35</v>
      </c>
      <c r="P635" s="2" t="s">
        <v>27</v>
      </c>
      <c r="Q635" s="3">
        <v>45819</v>
      </c>
      <c r="R635" s="2" t="s">
        <v>28</v>
      </c>
    </row>
    <row r="636" spans="1:18" x14ac:dyDescent="0.3">
      <c r="A636" s="2" t="s">
        <v>1061</v>
      </c>
      <c r="B636" s="2" t="s">
        <v>124</v>
      </c>
      <c r="C636" s="2" t="s">
        <v>31</v>
      </c>
      <c r="D636" s="3">
        <v>33492</v>
      </c>
      <c r="E636" s="3">
        <v>43958</v>
      </c>
      <c r="F636" s="2" t="s">
        <v>114</v>
      </c>
      <c r="G636" s="2" t="s">
        <v>150</v>
      </c>
      <c r="H636" s="2" t="s">
        <v>33</v>
      </c>
      <c r="I636" s="2" t="s">
        <v>34</v>
      </c>
      <c r="J636" s="4">
        <v>3040000</v>
      </c>
      <c r="K636" s="2"/>
      <c r="L636" s="2">
        <v>3</v>
      </c>
      <c r="M636" s="2">
        <v>22</v>
      </c>
      <c r="N636" s="2" t="s">
        <v>41</v>
      </c>
      <c r="O636" s="2" t="s">
        <v>53</v>
      </c>
      <c r="P636" s="2" t="s">
        <v>36</v>
      </c>
      <c r="Q636" s="3"/>
      <c r="R636" s="2"/>
    </row>
    <row r="637" spans="1:18" x14ac:dyDescent="0.3">
      <c r="A637" s="2" t="s">
        <v>1061</v>
      </c>
      <c r="B637" s="2" t="s">
        <v>124</v>
      </c>
      <c r="C637" s="2" t="s">
        <v>31</v>
      </c>
      <c r="D637" s="3">
        <v>33492</v>
      </c>
      <c r="E637" s="3">
        <v>43958</v>
      </c>
      <c r="F637" s="2" t="s">
        <v>114</v>
      </c>
      <c r="G637" s="2" t="s">
        <v>150</v>
      </c>
      <c r="H637" s="2" t="s">
        <v>33</v>
      </c>
      <c r="I637" s="2" t="s">
        <v>34</v>
      </c>
      <c r="J637" s="4">
        <v>3040000</v>
      </c>
      <c r="K637" s="2"/>
      <c r="L637" s="2">
        <v>3</v>
      </c>
      <c r="M637" s="2">
        <v>22</v>
      </c>
      <c r="N637" s="2" t="s">
        <v>41</v>
      </c>
      <c r="O637" s="2" t="s">
        <v>53</v>
      </c>
      <c r="P637" s="2" t="s">
        <v>36</v>
      </c>
      <c r="Q637" s="3"/>
      <c r="R637" s="2"/>
    </row>
    <row r="638" spans="1:18" x14ac:dyDescent="0.3">
      <c r="A638" s="2" t="s">
        <v>1062</v>
      </c>
      <c r="B638" s="2" t="s">
        <v>86</v>
      </c>
      <c r="C638" s="2" t="s">
        <v>20</v>
      </c>
      <c r="D638" s="3">
        <v>32509</v>
      </c>
      <c r="E638" s="3">
        <v>45372</v>
      </c>
      <c r="F638" s="2" t="s">
        <v>21</v>
      </c>
      <c r="G638" s="2" t="s">
        <v>32</v>
      </c>
      <c r="H638" s="2" t="s">
        <v>33</v>
      </c>
      <c r="I638" s="2" t="s">
        <v>34</v>
      </c>
      <c r="J638" s="4">
        <v>6470000</v>
      </c>
      <c r="K638" s="2"/>
      <c r="L638" s="2">
        <v>1</v>
      </c>
      <c r="M638" s="2">
        <v>0</v>
      </c>
      <c r="N638" s="2" t="s">
        <v>41</v>
      </c>
      <c r="O638" s="2" t="s">
        <v>53</v>
      </c>
      <c r="P638" s="2" t="s">
        <v>36</v>
      </c>
      <c r="Q638" s="3"/>
      <c r="R638" s="2"/>
    </row>
    <row r="639" spans="1:18" x14ac:dyDescent="0.3">
      <c r="A639" s="2" t="s">
        <v>1063</v>
      </c>
      <c r="B639" s="2" t="s">
        <v>784</v>
      </c>
      <c r="C639" s="2" t="s">
        <v>31</v>
      </c>
      <c r="D639" s="3">
        <v>36943</v>
      </c>
      <c r="E639" s="3">
        <v>45113</v>
      </c>
      <c r="F639" s="2" t="s">
        <v>21</v>
      </c>
      <c r="G639" s="2" t="s">
        <v>103</v>
      </c>
      <c r="H639" s="2" t="s">
        <v>33</v>
      </c>
      <c r="I639" s="2" t="s">
        <v>24</v>
      </c>
      <c r="J639" s="4">
        <v>6360000</v>
      </c>
      <c r="K639" s="2">
        <v>3</v>
      </c>
      <c r="L639" s="2">
        <v>1</v>
      </c>
      <c r="M639" s="2">
        <v>12</v>
      </c>
      <c r="N639" s="2" t="s">
        <v>41</v>
      </c>
      <c r="O639" s="2" t="s">
        <v>26</v>
      </c>
      <c r="P639" s="2" t="s">
        <v>36</v>
      </c>
      <c r="Q639" s="3"/>
      <c r="R639" s="2"/>
    </row>
    <row r="640" spans="1:18" x14ac:dyDescent="0.3">
      <c r="A640" s="2" t="s">
        <v>1064</v>
      </c>
      <c r="B640" s="2" t="s">
        <v>1029</v>
      </c>
      <c r="C640" s="2" t="s">
        <v>20</v>
      </c>
      <c r="D640" s="3">
        <v>35937</v>
      </c>
      <c r="E640" s="3">
        <v>44909</v>
      </c>
      <c r="F640" s="2" t="s">
        <v>56</v>
      </c>
      <c r="G640" s="2" t="s">
        <v>57</v>
      </c>
      <c r="H640" s="2" t="s">
        <v>33</v>
      </c>
      <c r="I640" s="2" t="s">
        <v>24</v>
      </c>
      <c r="J640" s="4">
        <v>4690000</v>
      </c>
      <c r="K640" s="2">
        <v>2</v>
      </c>
      <c r="L640" s="2">
        <v>1</v>
      </c>
      <c r="M640" s="2">
        <v>2</v>
      </c>
      <c r="N640" s="2" t="s">
        <v>88</v>
      </c>
      <c r="O640" s="2" t="s">
        <v>35</v>
      </c>
      <c r="P640" s="2" t="s">
        <v>36</v>
      </c>
      <c r="Q640" s="3"/>
      <c r="R640" s="2"/>
    </row>
    <row r="641" spans="1:18" x14ac:dyDescent="0.3">
      <c r="A641" s="2" t="s">
        <v>1065</v>
      </c>
      <c r="B641" s="2" t="s">
        <v>1066</v>
      </c>
      <c r="C641" s="2" t="s">
        <v>31</v>
      </c>
      <c r="D641" s="3">
        <v>37768</v>
      </c>
      <c r="E641" s="3">
        <v>45783</v>
      </c>
      <c r="F641" s="2" t="s">
        <v>56</v>
      </c>
      <c r="G641" s="2" t="s">
        <v>60</v>
      </c>
      <c r="H641" s="2" t="s">
        <v>33</v>
      </c>
      <c r="I641" s="2" t="s">
        <v>24</v>
      </c>
      <c r="J641" s="4">
        <v>5280000</v>
      </c>
      <c r="K641" s="2">
        <v>5</v>
      </c>
      <c r="L641" s="2">
        <v>4</v>
      </c>
      <c r="M641" s="2">
        <v>5</v>
      </c>
      <c r="N641" s="2" t="s">
        <v>88</v>
      </c>
      <c r="O641" s="2" t="s">
        <v>26</v>
      </c>
      <c r="P641" s="2" t="s">
        <v>36</v>
      </c>
      <c r="Q641" s="3"/>
      <c r="R641" s="2"/>
    </row>
    <row r="642" spans="1:18" x14ac:dyDescent="0.3">
      <c r="A642" s="2" t="s">
        <v>1067</v>
      </c>
      <c r="B642" s="2" t="s">
        <v>826</v>
      </c>
      <c r="C642" s="2" t="s">
        <v>31</v>
      </c>
      <c r="D642" s="3">
        <v>37168</v>
      </c>
      <c r="E642" s="3">
        <v>45671</v>
      </c>
      <c r="F642" s="2" t="s">
        <v>21</v>
      </c>
      <c r="G642" s="2" t="s">
        <v>32</v>
      </c>
      <c r="H642" s="2" t="s">
        <v>68</v>
      </c>
      <c r="I642" s="2" t="s">
        <v>24</v>
      </c>
      <c r="J642" s="4">
        <v>12030000</v>
      </c>
      <c r="K642" s="2">
        <v>3</v>
      </c>
      <c r="L642" s="2">
        <v>5</v>
      </c>
      <c r="M642" s="2">
        <v>0</v>
      </c>
      <c r="N642" s="2" t="s">
        <v>41</v>
      </c>
      <c r="O642" s="2" t="s">
        <v>26</v>
      </c>
      <c r="P642" s="2" t="s">
        <v>36</v>
      </c>
      <c r="Q642" s="3"/>
      <c r="R642" s="2"/>
    </row>
    <row r="643" spans="1:18" x14ac:dyDescent="0.3">
      <c r="A643" s="2" t="s">
        <v>1068</v>
      </c>
      <c r="B643" s="2" t="s">
        <v>680</v>
      </c>
      <c r="C643" s="2" t="s">
        <v>31</v>
      </c>
      <c r="D643" s="3">
        <v>34003</v>
      </c>
      <c r="E643" s="3">
        <v>46082</v>
      </c>
      <c r="F643" s="2" t="s">
        <v>51</v>
      </c>
      <c r="G643" s="2" t="s">
        <v>93</v>
      </c>
      <c r="H643" s="2" t="s">
        <v>23</v>
      </c>
      <c r="I643" s="2" t="s">
        <v>34</v>
      </c>
      <c r="J643" s="4">
        <v>8260000</v>
      </c>
      <c r="K643" s="2">
        <v>4</v>
      </c>
      <c r="L643" s="2">
        <v>4</v>
      </c>
      <c r="M643" s="2">
        <v>31</v>
      </c>
      <c r="N643" s="2" t="s">
        <v>88</v>
      </c>
      <c r="O643" s="2" t="s">
        <v>26</v>
      </c>
      <c r="P643" s="2" t="s">
        <v>36</v>
      </c>
      <c r="Q643" s="3"/>
      <c r="R643" s="2"/>
    </row>
    <row r="644" spans="1:18" x14ac:dyDescent="0.3">
      <c r="A644" s="2" t="s">
        <v>1069</v>
      </c>
      <c r="B644" s="2" t="s">
        <v>984</v>
      </c>
      <c r="C644" s="2" t="s">
        <v>31</v>
      </c>
      <c r="D644" s="3">
        <v>35404</v>
      </c>
      <c r="E644" s="3">
        <v>43224</v>
      </c>
      <c r="F644" s="2" t="s">
        <v>64</v>
      </c>
      <c r="G644" s="2" t="s">
        <v>73</v>
      </c>
      <c r="H644" s="2" t="s">
        <v>68</v>
      </c>
      <c r="I644" s="2" t="s">
        <v>24</v>
      </c>
      <c r="J644" s="4">
        <v>8180000</v>
      </c>
      <c r="K644" s="2">
        <v>2</v>
      </c>
      <c r="L644" s="2">
        <v>4</v>
      </c>
      <c r="M644" s="2">
        <v>4</v>
      </c>
      <c r="N644" s="2" t="s">
        <v>41</v>
      </c>
      <c r="O644" s="2" t="s">
        <v>53</v>
      </c>
      <c r="P644" s="2" t="s">
        <v>36</v>
      </c>
      <c r="Q644" s="3"/>
      <c r="R644" s="2"/>
    </row>
    <row r="645" spans="1:18" x14ac:dyDescent="0.3">
      <c r="A645" s="2" t="s">
        <v>1070</v>
      </c>
      <c r="B645" s="2" t="s">
        <v>161</v>
      </c>
      <c r="C645" s="2" t="s">
        <v>20</v>
      </c>
      <c r="D645" s="3">
        <v>31880</v>
      </c>
      <c r="E645" s="3">
        <v>45260</v>
      </c>
      <c r="F645" s="2" t="s">
        <v>39</v>
      </c>
      <c r="G645" s="2" t="s">
        <v>40</v>
      </c>
      <c r="H645" s="2" t="s">
        <v>68</v>
      </c>
      <c r="I645" s="2" t="s">
        <v>24</v>
      </c>
      <c r="J645" s="4">
        <v>7430000</v>
      </c>
      <c r="K645" s="2">
        <v>3</v>
      </c>
      <c r="L645" s="2">
        <v>4</v>
      </c>
      <c r="M645" s="2">
        <v>15</v>
      </c>
      <c r="N645" s="2" t="s">
        <v>25</v>
      </c>
      <c r="O645" s="2" t="s">
        <v>26</v>
      </c>
      <c r="P645" s="2" t="s">
        <v>36</v>
      </c>
      <c r="Q645" s="3"/>
      <c r="R645" s="2"/>
    </row>
    <row r="646" spans="1:18" x14ac:dyDescent="0.3">
      <c r="A646" s="2" t="s">
        <v>1071</v>
      </c>
      <c r="B646" s="2" t="s">
        <v>1072</v>
      </c>
      <c r="C646" s="2" t="s">
        <v>20</v>
      </c>
      <c r="D646" s="3">
        <v>33637</v>
      </c>
      <c r="E646" s="3">
        <v>43422</v>
      </c>
      <c r="F646" s="2" t="s">
        <v>51</v>
      </c>
      <c r="G646" s="2" t="s">
        <v>52</v>
      </c>
      <c r="H646" s="2" t="s">
        <v>33</v>
      </c>
      <c r="I646" s="2" t="s">
        <v>24</v>
      </c>
      <c r="J646" s="4">
        <v>3860000</v>
      </c>
      <c r="K646" s="2">
        <v>4</v>
      </c>
      <c r="L646" s="2">
        <v>3</v>
      </c>
      <c r="M646" s="2">
        <v>35</v>
      </c>
      <c r="N646" s="2" t="s">
        <v>25</v>
      </c>
      <c r="O646" s="2" t="s">
        <v>26</v>
      </c>
      <c r="P646" s="2" t="s">
        <v>27</v>
      </c>
      <c r="Q646" s="3">
        <v>46082</v>
      </c>
      <c r="R646" s="2" t="s">
        <v>155</v>
      </c>
    </row>
    <row r="647" spans="1:18" x14ac:dyDescent="0.3">
      <c r="A647" s="2" t="s">
        <v>1073</v>
      </c>
      <c r="B647" s="2" t="s">
        <v>311</v>
      </c>
      <c r="C647" s="2" t="s">
        <v>234</v>
      </c>
      <c r="D647" s="3">
        <v>32972</v>
      </c>
      <c r="E647" s="3">
        <v>43042</v>
      </c>
      <c r="F647" s="2" t="s">
        <v>56</v>
      </c>
      <c r="G647" s="2" t="s">
        <v>57</v>
      </c>
      <c r="H647" s="2" t="s">
        <v>23</v>
      </c>
      <c r="I647" s="2" t="s">
        <v>24</v>
      </c>
      <c r="J647" s="4">
        <v>12660000</v>
      </c>
      <c r="K647" s="2">
        <v>3</v>
      </c>
      <c r="L647" s="2">
        <v>5</v>
      </c>
      <c r="M647" s="2">
        <v>20</v>
      </c>
      <c r="N647" s="2" t="s">
        <v>88</v>
      </c>
      <c r="O647" s="2" t="s">
        <v>35</v>
      </c>
      <c r="P647" s="2" t="s">
        <v>27</v>
      </c>
      <c r="Q647" s="3">
        <v>45700</v>
      </c>
      <c r="R647" s="2" t="s">
        <v>28</v>
      </c>
    </row>
    <row r="648" spans="1:18" x14ac:dyDescent="0.3">
      <c r="A648" s="2" t="s">
        <v>1074</v>
      </c>
      <c r="B648" s="2" t="s">
        <v>437</v>
      </c>
      <c r="C648" s="2" t="s">
        <v>20</v>
      </c>
      <c r="D648" s="3">
        <v>32132</v>
      </c>
      <c r="E648" s="3">
        <v>46209</v>
      </c>
      <c r="F648" s="2" t="s">
        <v>64</v>
      </c>
      <c r="G648" s="2" t="s">
        <v>73</v>
      </c>
      <c r="H648" s="2" t="s">
        <v>33</v>
      </c>
      <c r="I648" s="2" t="s">
        <v>34</v>
      </c>
      <c r="J648" s="4">
        <v>3260000</v>
      </c>
      <c r="K648" s="2">
        <v>5</v>
      </c>
      <c r="L648" s="2">
        <v>3</v>
      </c>
      <c r="M648" s="2">
        <v>17</v>
      </c>
      <c r="N648" s="2" t="s">
        <v>88</v>
      </c>
      <c r="O648" s="2" t="s">
        <v>53</v>
      </c>
      <c r="P648" s="2" t="s">
        <v>36</v>
      </c>
      <c r="Q648" s="3"/>
      <c r="R648" s="2"/>
    </row>
    <row r="649" spans="1:18" x14ac:dyDescent="0.3">
      <c r="A649" s="2" t="s">
        <v>1075</v>
      </c>
      <c r="B649" s="2" t="s">
        <v>1076</v>
      </c>
      <c r="C649" s="2" t="s">
        <v>20</v>
      </c>
      <c r="D649" s="3">
        <v>33222</v>
      </c>
      <c r="E649" s="3">
        <v>44688</v>
      </c>
      <c r="F649" s="2" t="s">
        <v>39</v>
      </c>
      <c r="G649" s="2" t="s">
        <v>170</v>
      </c>
      <c r="H649" s="2" t="s">
        <v>33</v>
      </c>
      <c r="I649" s="2" t="s">
        <v>24</v>
      </c>
      <c r="J649" s="4">
        <v>4390000</v>
      </c>
      <c r="K649" s="2">
        <v>3</v>
      </c>
      <c r="L649" s="2">
        <v>3</v>
      </c>
      <c r="M649" s="2">
        <v>8</v>
      </c>
      <c r="N649" s="2" t="s">
        <v>25</v>
      </c>
      <c r="O649" s="2" t="s">
        <v>35</v>
      </c>
      <c r="P649" s="2" t="s">
        <v>36</v>
      </c>
      <c r="Q649" s="3"/>
      <c r="R649" s="2"/>
    </row>
    <row r="650" spans="1:18" x14ac:dyDescent="0.3">
      <c r="A650" s="2" t="s">
        <v>1077</v>
      </c>
      <c r="B650" s="2" t="s">
        <v>1078</v>
      </c>
      <c r="C650" s="2" t="s">
        <v>20</v>
      </c>
      <c r="D650" s="3">
        <v>35457</v>
      </c>
      <c r="E650" s="3">
        <v>45525</v>
      </c>
      <c r="F650" s="2" t="s">
        <v>47</v>
      </c>
      <c r="G650" s="2" t="s">
        <v>127</v>
      </c>
      <c r="H650" s="2" t="s">
        <v>23</v>
      </c>
      <c r="I650" s="2" t="s">
        <v>24</v>
      </c>
      <c r="J650" s="4">
        <v>11520000</v>
      </c>
      <c r="K650" s="2">
        <v>3</v>
      </c>
      <c r="L650" s="2">
        <v>5</v>
      </c>
      <c r="M650" s="2">
        <v>16</v>
      </c>
      <c r="N650" s="2" t="s">
        <v>41</v>
      </c>
      <c r="O650" s="2" t="s">
        <v>35</v>
      </c>
      <c r="P650" s="2" t="s">
        <v>36</v>
      </c>
      <c r="Q650" s="3"/>
      <c r="R650" s="2"/>
    </row>
    <row r="651" spans="1:18" x14ac:dyDescent="0.3">
      <c r="A651" s="2" t="s">
        <v>1079</v>
      </c>
      <c r="B651" s="2" t="s">
        <v>415</v>
      </c>
      <c r="C651" s="2" t="s">
        <v>20</v>
      </c>
      <c r="D651" s="3">
        <v>36630</v>
      </c>
      <c r="E651" s="3">
        <v>45515</v>
      </c>
      <c r="F651" s="2" t="s">
        <v>21</v>
      </c>
      <c r="G651" s="2" t="s">
        <v>32</v>
      </c>
      <c r="H651" s="2" t="s">
        <v>33</v>
      </c>
      <c r="I651" s="2" t="s">
        <v>24</v>
      </c>
      <c r="J651" s="4">
        <v>5180000</v>
      </c>
      <c r="K651" s="2">
        <v>3</v>
      </c>
      <c r="L651" s="2">
        <v>2</v>
      </c>
      <c r="M651" s="2">
        <v>13</v>
      </c>
      <c r="N651" s="2" t="s">
        <v>41</v>
      </c>
      <c r="O651" s="2" t="s">
        <v>26</v>
      </c>
      <c r="P651" s="2" t="s">
        <v>36</v>
      </c>
      <c r="Q651" s="3"/>
      <c r="R651" s="2"/>
    </row>
    <row r="652" spans="1:18" x14ac:dyDescent="0.3">
      <c r="A652" s="2" t="s">
        <v>1080</v>
      </c>
      <c r="B652" s="2" t="s">
        <v>208</v>
      </c>
      <c r="C652" s="2" t="s">
        <v>20</v>
      </c>
      <c r="D652" s="3">
        <v>31811</v>
      </c>
      <c r="E652" s="3">
        <v>44505</v>
      </c>
      <c r="F652" s="2" t="s">
        <v>64</v>
      </c>
      <c r="G652" s="2" t="s">
        <v>73</v>
      </c>
      <c r="H652" s="2" t="s">
        <v>33</v>
      </c>
      <c r="I652" s="2" t="s">
        <v>44</v>
      </c>
      <c r="J652" s="4">
        <v>3710000</v>
      </c>
      <c r="K652" s="2">
        <v>4</v>
      </c>
      <c r="L652" s="2">
        <v>5</v>
      </c>
      <c r="M652" s="2">
        <v>25</v>
      </c>
      <c r="N652" s="2" t="s">
        <v>41</v>
      </c>
      <c r="O652" s="2" t="s">
        <v>26</v>
      </c>
      <c r="P652" s="2" t="s">
        <v>36</v>
      </c>
      <c r="Q652" s="3"/>
      <c r="R652" s="2"/>
    </row>
    <row r="653" spans="1:18" x14ac:dyDescent="0.3">
      <c r="A653" s="2" t="s">
        <v>1081</v>
      </c>
      <c r="B653" s="2" t="s">
        <v>167</v>
      </c>
      <c r="C653" s="2" t="s">
        <v>31</v>
      </c>
      <c r="D653" s="3">
        <v>32542</v>
      </c>
      <c r="E653" s="3">
        <v>44160</v>
      </c>
      <c r="F653" s="2" t="s">
        <v>114</v>
      </c>
      <c r="G653" s="2" t="s">
        <v>115</v>
      </c>
      <c r="H653" s="2" t="s">
        <v>23</v>
      </c>
      <c r="I653" s="2" t="s">
        <v>96</v>
      </c>
      <c r="J653" s="4">
        <v>13040000</v>
      </c>
      <c r="K653" s="2">
        <v>3</v>
      </c>
      <c r="L653" s="2">
        <v>4</v>
      </c>
      <c r="M653" s="2">
        <v>5</v>
      </c>
      <c r="N653" s="2" t="s">
        <v>41</v>
      </c>
      <c r="O653" s="2" t="s">
        <v>26</v>
      </c>
      <c r="P653" s="2" t="s">
        <v>36</v>
      </c>
      <c r="Q653" s="3"/>
      <c r="R653" s="2"/>
    </row>
    <row r="654" spans="1:18" x14ac:dyDescent="0.3">
      <c r="A654" s="2" t="s">
        <v>1082</v>
      </c>
      <c r="B654" s="2" t="s">
        <v>1083</v>
      </c>
      <c r="C654" s="2" t="s">
        <v>20</v>
      </c>
      <c r="D654" s="3">
        <v>38407</v>
      </c>
      <c r="E654" s="3">
        <v>45958</v>
      </c>
      <c r="F654" s="2" t="s">
        <v>56</v>
      </c>
      <c r="G654" s="2" t="s">
        <v>57</v>
      </c>
      <c r="H654" s="2" t="s">
        <v>33</v>
      </c>
      <c r="I654" s="2" t="s">
        <v>24</v>
      </c>
      <c r="J654" s="4">
        <v>4860000</v>
      </c>
      <c r="K654" s="2">
        <v>4</v>
      </c>
      <c r="L654" s="2">
        <v>5</v>
      </c>
      <c r="M654" s="2">
        <v>0</v>
      </c>
      <c r="N654" s="2" t="s">
        <v>25</v>
      </c>
      <c r="O654" s="2" t="s">
        <v>26</v>
      </c>
      <c r="P654" s="2" t="s">
        <v>36</v>
      </c>
      <c r="Q654" s="3"/>
      <c r="R654" s="2"/>
    </row>
    <row r="655" spans="1:18" x14ac:dyDescent="0.3">
      <c r="A655" s="2" t="s">
        <v>1084</v>
      </c>
      <c r="B655" s="2" t="s">
        <v>824</v>
      </c>
      <c r="C655" s="2" t="s">
        <v>31</v>
      </c>
      <c r="D655" s="3">
        <v>35024</v>
      </c>
      <c r="E655" s="3">
        <v>46008</v>
      </c>
      <c r="F655" s="2" t="s">
        <v>64</v>
      </c>
      <c r="G655" s="2" t="s">
        <v>73</v>
      </c>
      <c r="H655" s="2" t="s">
        <v>33</v>
      </c>
      <c r="I655" s="2" t="s">
        <v>24</v>
      </c>
      <c r="J655" s="4">
        <v>4410000</v>
      </c>
      <c r="K655" s="2">
        <v>5</v>
      </c>
      <c r="L655" s="2">
        <v>4</v>
      </c>
      <c r="M655" s="2">
        <v>31</v>
      </c>
      <c r="N655" s="2" t="s">
        <v>88</v>
      </c>
      <c r="O655" s="2" t="s">
        <v>35</v>
      </c>
      <c r="P655" s="2" t="s">
        <v>27</v>
      </c>
      <c r="Q655" s="3">
        <v>46272</v>
      </c>
      <c r="R655" s="2" t="s">
        <v>111</v>
      </c>
    </row>
    <row r="656" spans="1:18" x14ac:dyDescent="0.3">
      <c r="A656" s="2" t="s">
        <v>1085</v>
      </c>
      <c r="B656" s="2" t="s">
        <v>347</v>
      </c>
      <c r="C656" s="2" t="s">
        <v>20</v>
      </c>
      <c r="D656" s="3">
        <v>32684</v>
      </c>
      <c r="E656" s="3">
        <v>43664</v>
      </c>
      <c r="F656" s="2" t="s">
        <v>47</v>
      </c>
      <c r="G656" s="2" t="s">
        <v>90</v>
      </c>
      <c r="H656" s="2" t="s">
        <v>33</v>
      </c>
      <c r="I656" s="2" t="s">
        <v>24</v>
      </c>
      <c r="J656" s="4">
        <v>4720000</v>
      </c>
      <c r="K656" s="2">
        <v>3</v>
      </c>
      <c r="L656" s="2">
        <v>5</v>
      </c>
      <c r="M656" s="2">
        <v>10</v>
      </c>
      <c r="N656" s="2" t="s">
        <v>41</v>
      </c>
      <c r="O656" s="2" t="s">
        <v>35</v>
      </c>
      <c r="P656" s="2" t="s">
        <v>36</v>
      </c>
      <c r="Q656" s="3"/>
      <c r="R656" s="2"/>
    </row>
    <row r="657" spans="1:18" x14ac:dyDescent="0.3">
      <c r="A657" s="2" t="s">
        <v>1086</v>
      </c>
      <c r="B657" s="2" t="s">
        <v>1087</v>
      </c>
      <c r="C657" s="2" t="s">
        <v>31</v>
      </c>
      <c r="D657" s="3">
        <v>34808</v>
      </c>
      <c r="E657" s="3">
        <v>45939</v>
      </c>
      <c r="F657" s="2" t="s">
        <v>51</v>
      </c>
      <c r="G657" s="2" t="s">
        <v>52</v>
      </c>
      <c r="H657" s="2" t="s">
        <v>68</v>
      </c>
      <c r="I657" s="2" t="s">
        <v>24</v>
      </c>
      <c r="J657" s="4">
        <v>6940000</v>
      </c>
      <c r="K657" s="2">
        <v>4</v>
      </c>
      <c r="L657" s="2">
        <v>4</v>
      </c>
      <c r="M657" s="2">
        <v>22</v>
      </c>
      <c r="N657" s="2" t="s">
        <v>25</v>
      </c>
      <c r="O657" s="2" t="s">
        <v>53</v>
      </c>
      <c r="P657" s="2" t="s">
        <v>36</v>
      </c>
      <c r="Q657" s="3"/>
      <c r="R657" s="2"/>
    </row>
    <row r="658" spans="1:18" x14ac:dyDescent="0.3">
      <c r="A658" s="2" t="s">
        <v>1088</v>
      </c>
      <c r="B658" s="2" t="s">
        <v>50</v>
      </c>
      <c r="C658" s="2" t="s">
        <v>31</v>
      </c>
      <c r="D658" s="3">
        <v>33374</v>
      </c>
      <c r="E658" s="3">
        <v>46079</v>
      </c>
      <c r="F658" s="2" t="s">
        <v>21</v>
      </c>
      <c r="G658" s="2" t="s">
        <v>32</v>
      </c>
      <c r="H658" s="2" t="s">
        <v>33</v>
      </c>
      <c r="I658" s="2" t="s">
        <v>82</v>
      </c>
      <c r="J658" s="4">
        <v>4650000</v>
      </c>
      <c r="K658" s="2"/>
      <c r="L658" s="2">
        <v>3</v>
      </c>
      <c r="M658" s="2">
        <v>6</v>
      </c>
      <c r="N658" s="2" t="s">
        <v>41</v>
      </c>
      <c r="O658" s="2" t="s">
        <v>26</v>
      </c>
      <c r="P658" s="2" t="s">
        <v>27</v>
      </c>
      <c r="Q658" s="3">
        <v>46222</v>
      </c>
      <c r="R658" s="2" t="s">
        <v>111</v>
      </c>
    </row>
    <row r="659" spans="1:18" x14ac:dyDescent="0.3">
      <c r="A659" s="2" t="s">
        <v>1089</v>
      </c>
      <c r="B659" s="2" t="s">
        <v>627</v>
      </c>
      <c r="C659" s="2" t="s">
        <v>31</v>
      </c>
      <c r="D659" s="3">
        <v>33726</v>
      </c>
      <c r="E659" s="3">
        <v>44461</v>
      </c>
      <c r="F659" s="2" t="s">
        <v>64</v>
      </c>
      <c r="G659" s="2" t="s">
        <v>73</v>
      </c>
      <c r="H659" s="2" t="s">
        <v>68</v>
      </c>
      <c r="I659" s="2" t="s">
        <v>24</v>
      </c>
      <c r="J659" s="4">
        <v>7940000</v>
      </c>
      <c r="K659" s="2">
        <v>4</v>
      </c>
      <c r="L659" s="2">
        <v>3</v>
      </c>
      <c r="M659" s="2">
        <v>20</v>
      </c>
      <c r="N659" s="2" t="s">
        <v>88</v>
      </c>
      <c r="O659" s="2" t="s">
        <v>35</v>
      </c>
      <c r="P659" s="2" t="s">
        <v>36</v>
      </c>
      <c r="Q659" s="3"/>
      <c r="R659" s="2"/>
    </row>
    <row r="660" spans="1:18" x14ac:dyDescent="0.3">
      <c r="A660" s="2" t="s">
        <v>1090</v>
      </c>
      <c r="B660" s="2" t="s">
        <v>352</v>
      </c>
      <c r="C660" s="2" t="s">
        <v>20</v>
      </c>
      <c r="D660" s="3">
        <v>34628</v>
      </c>
      <c r="E660" s="3">
        <v>44866</v>
      </c>
      <c r="F660" s="2" t="s">
        <v>47</v>
      </c>
      <c r="G660" s="2" t="s">
        <v>48</v>
      </c>
      <c r="H660" s="2" t="s">
        <v>68</v>
      </c>
      <c r="I660" s="2" t="s">
        <v>104</v>
      </c>
      <c r="J660" s="4">
        <v>7410000</v>
      </c>
      <c r="K660" s="2">
        <v>4</v>
      </c>
      <c r="L660" s="2">
        <v>1</v>
      </c>
      <c r="M660" s="2">
        <v>9</v>
      </c>
      <c r="N660" s="2" t="s">
        <v>88</v>
      </c>
      <c r="O660" s="2" t="s">
        <v>35</v>
      </c>
      <c r="P660" s="2" t="s">
        <v>27</v>
      </c>
      <c r="Q660" s="3">
        <v>45847</v>
      </c>
      <c r="R660" s="2" t="s">
        <v>155</v>
      </c>
    </row>
    <row r="661" spans="1:18" x14ac:dyDescent="0.3">
      <c r="A661" s="2" t="s">
        <v>1091</v>
      </c>
      <c r="B661" s="2" t="s">
        <v>1092</v>
      </c>
      <c r="C661" s="2" t="s">
        <v>31</v>
      </c>
      <c r="D661" s="3">
        <v>33125</v>
      </c>
      <c r="E661" s="3">
        <v>45729</v>
      </c>
      <c r="F661" s="2" t="s">
        <v>78</v>
      </c>
      <c r="G661" s="2" t="s">
        <v>65</v>
      </c>
      <c r="H661" s="2" t="s">
        <v>33</v>
      </c>
      <c r="I661" s="2" t="s">
        <v>34</v>
      </c>
      <c r="J661" s="4">
        <v>4470000</v>
      </c>
      <c r="K661" s="2">
        <v>4</v>
      </c>
      <c r="L661" s="2">
        <v>4</v>
      </c>
      <c r="M661" s="2">
        <v>12</v>
      </c>
      <c r="N661" s="2" t="s">
        <v>88</v>
      </c>
      <c r="O661" s="2" t="s">
        <v>26</v>
      </c>
      <c r="P661" s="2" t="s">
        <v>36</v>
      </c>
      <c r="Q661" s="3"/>
      <c r="R661" s="2"/>
    </row>
    <row r="662" spans="1:18" x14ac:dyDescent="0.3">
      <c r="A662" s="2" t="s">
        <v>1093</v>
      </c>
      <c r="B662" s="2" t="s">
        <v>810</v>
      </c>
      <c r="C662" s="2" t="s">
        <v>20</v>
      </c>
      <c r="D662" s="3">
        <v>34503</v>
      </c>
      <c r="E662" s="3">
        <v>45514</v>
      </c>
      <c r="F662" s="2" t="s">
        <v>47</v>
      </c>
      <c r="G662" s="2" t="s">
        <v>48</v>
      </c>
      <c r="H662" s="2" t="s">
        <v>23</v>
      </c>
      <c r="I662" s="2" t="s">
        <v>104</v>
      </c>
      <c r="J662" s="4">
        <v>15030000</v>
      </c>
      <c r="K662" s="2">
        <v>3</v>
      </c>
      <c r="L662" s="2">
        <v>3</v>
      </c>
      <c r="M662" s="2">
        <v>38</v>
      </c>
      <c r="N662" s="2" t="s">
        <v>41</v>
      </c>
      <c r="O662" s="2" t="s">
        <v>26</v>
      </c>
      <c r="P662" s="2" t="s">
        <v>36</v>
      </c>
      <c r="Q662" s="3"/>
      <c r="R662" s="2"/>
    </row>
    <row r="663" spans="1:18" x14ac:dyDescent="0.3">
      <c r="A663" s="2" t="s">
        <v>1094</v>
      </c>
      <c r="B663" s="2" t="s">
        <v>1095</v>
      </c>
      <c r="C663" s="2" t="s">
        <v>20</v>
      </c>
      <c r="D663" s="3">
        <v>33956</v>
      </c>
      <c r="E663" s="3">
        <v>42622</v>
      </c>
      <c r="F663" s="2" t="s">
        <v>64</v>
      </c>
      <c r="G663" s="2" t="s">
        <v>79</v>
      </c>
      <c r="H663" s="2" t="s">
        <v>23</v>
      </c>
      <c r="I663" s="2" t="s">
        <v>44</v>
      </c>
      <c r="J663" s="4">
        <v>14290000</v>
      </c>
      <c r="K663" s="2">
        <v>3</v>
      </c>
      <c r="L663" s="2">
        <v>3</v>
      </c>
      <c r="M663" s="2">
        <v>12</v>
      </c>
      <c r="N663" s="2" t="s">
        <v>25</v>
      </c>
      <c r="O663" s="2" t="s">
        <v>26</v>
      </c>
      <c r="P663" s="2" t="s">
        <v>36</v>
      </c>
      <c r="Q663" s="3"/>
      <c r="R663" s="2"/>
    </row>
    <row r="664" spans="1:18" x14ac:dyDescent="0.3">
      <c r="A664" s="2" t="s">
        <v>1096</v>
      </c>
      <c r="B664" s="2" t="s">
        <v>1097</v>
      </c>
      <c r="C664" s="2" t="s">
        <v>20</v>
      </c>
      <c r="D664" s="3">
        <v>31113</v>
      </c>
      <c r="E664" s="3">
        <v>44205</v>
      </c>
      <c r="F664" s="2" t="s">
        <v>51</v>
      </c>
      <c r="G664" s="2" t="s">
        <v>52</v>
      </c>
      <c r="H664" s="2" t="s">
        <v>68</v>
      </c>
      <c r="I664" s="2" t="s">
        <v>44</v>
      </c>
      <c r="J664" s="4">
        <v>7030000</v>
      </c>
      <c r="K664" s="2">
        <v>3</v>
      </c>
      <c r="L664" s="2">
        <v>4</v>
      </c>
      <c r="M664" s="2">
        <v>15</v>
      </c>
      <c r="N664" s="2" t="s">
        <v>41</v>
      </c>
      <c r="O664" s="2" t="s">
        <v>26</v>
      </c>
      <c r="P664" s="2" t="s">
        <v>36</v>
      </c>
      <c r="Q664" s="3"/>
      <c r="R664" s="2"/>
    </row>
    <row r="665" spans="1:18" x14ac:dyDescent="0.3">
      <c r="A665" s="2" t="s">
        <v>1098</v>
      </c>
      <c r="B665" s="2" t="s">
        <v>124</v>
      </c>
      <c r="C665" s="2" t="s">
        <v>31</v>
      </c>
      <c r="D665" s="3">
        <v>33533</v>
      </c>
      <c r="E665" s="3">
        <v>44804</v>
      </c>
      <c r="F665" s="2" t="s">
        <v>39</v>
      </c>
      <c r="G665" s="2" t="s">
        <v>170</v>
      </c>
      <c r="H665" s="2" t="s">
        <v>33</v>
      </c>
      <c r="I665" s="2" t="s">
        <v>24</v>
      </c>
      <c r="J665" s="4">
        <v>2860000</v>
      </c>
      <c r="K665" s="2">
        <v>3</v>
      </c>
      <c r="L665" s="2">
        <v>4</v>
      </c>
      <c r="M665" s="2">
        <v>18</v>
      </c>
      <c r="N665" s="2" t="s">
        <v>41</v>
      </c>
      <c r="O665" s="2" t="s">
        <v>26</v>
      </c>
      <c r="P665" s="2" t="s">
        <v>36</v>
      </c>
      <c r="Q665" s="3"/>
      <c r="R665" s="2"/>
    </row>
    <row r="666" spans="1:18" x14ac:dyDescent="0.3">
      <c r="A666" s="2" t="s">
        <v>1099</v>
      </c>
      <c r="B666" s="2" t="s">
        <v>179</v>
      </c>
      <c r="C666" s="2" t="s">
        <v>31</v>
      </c>
      <c r="D666" s="3">
        <v>35456</v>
      </c>
      <c r="E666" s="3">
        <v>43734</v>
      </c>
      <c r="F666" s="2" t="s">
        <v>64</v>
      </c>
      <c r="G666" s="2" t="s">
        <v>79</v>
      </c>
      <c r="H666" s="2" t="s">
        <v>33</v>
      </c>
      <c r="I666" s="2" t="s">
        <v>34</v>
      </c>
      <c r="J666" s="4">
        <v>4510000</v>
      </c>
      <c r="K666" s="2">
        <v>2</v>
      </c>
      <c r="L666" s="2">
        <v>5</v>
      </c>
      <c r="M666" s="2">
        <v>7</v>
      </c>
      <c r="N666" s="2" t="s">
        <v>25</v>
      </c>
      <c r="O666" s="2" t="s">
        <v>35</v>
      </c>
      <c r="P666" s="2" t="s">
        <v>36</v>
      </c>
      <c r="Q666" s="3"/>
      <c r="R666" s="2"/>
    </row>
    <row r="667" spans="1:18" x14ac:dyDescent="0.3">
      <c r="A667" s="2" t="s">
        <v>1100</v>
      </c>
      <c r="B667" s="2" t="s">
        <v>501</v>
      </c>
      <c r="C667" s="2" t="s">
        <v>31</v>
      </c>
      <c r="D667" s="3">
        <v>32282</v>
      </c>
      <c r="E667" s="3">
        <v>45989</v>
      </c>
      <c r="F667" s="2" t="s">
        <v>21</v>
      </c>
      <c r="G667" s="2" t="s">
        <v>103</v>
      </c>
      <c r="H667" s="2" t="s">
        <v>33</v>
      </c>
      <c r="I667" s="2" t="s">
        <v>104</v>
      </c>
      <c r="J667" s="4">
        <v>6540000</v>
      </c>
      <c r="K667" s="2">
        <v>3</v>
      </c>
      <c r="L667" s="2">
        <v>4</v>
      </c>
      <c r="M667" s="2">
        <v>18</v>
      </c>
      <c r="N667" s="2" t="s">
        <v>41</v>
      </c>
      <c r="O667" s="2" t="s">
        <v>26</v>
      </c>
      <c r="P667" s="2" t="s">
        <v>27</v>
      </c>
      <c r="Q667" s="3">
        <v>46105</v>
      </c>
      <c r="R667" s="2" t="s">
        <v>111</v>
      </c>
    </row>
    <row r="668" spans="1:18" x14ac:dyDescent="0.3">
      <c r="A668" s="2" t="s">
        <v>1101</v>
      </c>
      <c r="B668" s="2" t="s">
        <v>1102</v>
      </c>
      <c r="C668" s="2" t="s">
        <v>20</v>
      </c>
      <c r="D668" s="3">
        <v>33605</v>
      </c>
      <c r="E668" s="3">
        <v>42932</v>
      </c>
      <c r="F668" s="2" t="s">
        <v>51</v>
      </c>
      <c r="G668" s="2" t="s">
        <v>52</v>
      </c>
      <c r="H668" s="2" t="s">
        <v>68</v>
      </c>
      <c r="I668" s="2" t="s">
        <v>96</v>
      </c>
      <c r="J668" s="4">
        <v>5000000</v>
      </c>
      <c r="K668" s="2">
        <v>2</v>
      </c>
      <c r="L668" s="2">
        <v>1</v>
      </c>
      <c r="M668" s="2">
        <v>13</v>
      </c>
      <c r="N668" s="2" t="s">
        <v>41</v>
      </c>
      <c r="O668" s="2" t="s">
        <v>35</v>
      </c>
      <c r="P668" s="2" t="s">
        <v>36</v>
      </c>
      <c r="Q668" s="3"/>
      <c r="R668" s="2"/>
    </row>
    <row r="669" spans="1:18" x14ac:dyDescent="0.3">
      <c r="A669" s="2" t="s">
        <v>1103</v>
      </c>
      <c r="B669" s="2" t="s">
        <v>627</v>
      </c>
      <c r="C669" s="2" t="s">
        <v>31</v>
      </c>
      <c r="D669" s="3">
        <v>32364</v>
      </c>
      <c r="E669" s="3">
        <v>45762</v>
      </c>
      <c r="F669" s="2" t="s">
        <v>114</v>
      </c>
      <c r="G669" s="2" t="s">
        <v>196</v>
      </c>
      <c r="H669" s="2" t="s">
        <v>68</v>
      </c>
      <c r="I669" s="2" t="s">
        <v>206</v>
      </c>
      <c r="J669" s="4">
        <v>5390000</v>
      </c>
      <c r="K669" s="2">
        <v>3</v>
      </c>
      <c r="L669" s="2">
        <v>4</v>
      </c>
      <c r="M669" s="2">
        <v>23</v>
      </c>
      <c r="N669" s="2" t="s">
        <v>25</v>
      </c>
      <c r="O669" s="2" t="s">
        <v>26</v>
      </c>
      <c r="P669" s="2" t="s">
        <v>27</v>
      </c>
      <c r="Q669" s="3">
        <v>45967</v>
      </c>
      <c r="R669" s="2" t="s">
        <v>145</v>
      </c>
    </row>
    <row r="670" spans="1:18" x14ac:dyDescent="0.3">
      <c r="A670" s="2" t="s">
        <v>1104</v>
      </c>
      <c r="B670" s="2" t="s">
        <v>664</v>
      </c>
      <c r="C670" s="2" t="s">
        <v>20</v>
      </c>
      <c r="D670" s="3">
        <v>36451</v>
      </c>
      <c r="E670" s="3">
        <v>45097</v>
      </c>
      <c r="F670" s="2" t="s">
        <v>51</v>
      </c>
      <c r="G670" s="2" t="s">
        <v>93</v>
      </c>
      <c r="H670" s="2" t="s">
        <v>23</v>
      </c>
      <c r="I670" s="2" t="s">
        <v>24</v>
      </c>
      <c r="J670" s="4">
        <v>8630000</v>
      </c>
      <c r="K670" s="2">
        <v>3</v>
      </c>
      <c r="L670" s="2">
        <v>2</v>
      </c>
      <c r="M670" s="2">
        <v>11</v>
      </c>
      <c r="N670" s="2" t="s">
        <v>25</v>
      </c>
      <c r="O670" s="2" t="s">
        <v>26</v>
      </c>
      <c r="P670" s="2" t="s">
        <v>27</v>
      </c>
      <c r="Q670" s="3">
        <v>45968</v>
      </c>
      <c r="R670" s="2" t="s">
        <v>61</v>
      </c>
    </row>
    <row r="671" spans="1:18" x14ac:dyDescent="0.3">
      <c r="A671" s="2" t="s">
        <v>1105</v>
      </c>
      <c r="B671" s="2" t="s">
        <v>658</v>
      </c>
      <c r="C671" s="2" t="s">
        <v>765</v>
      </c>
      <c r="D671" s="3">
        <v>35446</v>
      </c>
      <c r="E671" s="3">
        <v>44459</v>
      </c>
      <c r="F671" s="2" t="s">
        <v>51</v>
      </c>
      <c r="G671" s="2" t="s">
        <v>52</v>
      </c>
      <c r="H671" s="2" t="s">
        <v>23</v>
      </c>
      <c r="I671" s="2" t="s">
        <v>24</v>
      </c>
      <c r="J671" s="4">
        <v>8290000</v>
      </c>
      <c r="K671" s="2">
        <v>5</v>
      </c>
      <c r="L671" s="2">
        <v>2</v>
      </c>
      <c r="M671" s="2">
        <v>20</v>
      </c>
      <c r="N671" s="2" t="s">
        <v>41</v>
      </c>
      <c r="O671" s="2" t="s">
        <v>35</v>
      </c>
      <c r="P671" s="2" t="s">
        <v>36</v>
      </c>
      <c r="Q671" s="3"/>
      <c r="R671" s="2"/>
    </row>
    <row r="672" spans="1:18" x14ac:dyDescent="0.3">
      <c r="A672" s="2" t="s">
        <v>1106</v>
      </c>
      <c r="B672" s="2" t="s">
        <v>119</v>
      </c>
      <c r="C672" s="2" t="s">
        <v>31</v>
      </c>
      <c r="D672" s="3">
        <v>29328</v>
      </c>
      <c r="E672" s="3">
        <v>45111</v>
      </c>
      <c r="F672" s="2" t="s">
        <v>64</v>
      </c>
      <c r="G672" s="2" t="s">
        <v>65</v>
      </c>
      <c r="H672" s="2" t="s">
        <v>68</v>
      </c>
      <c r="I672" s="2" t="s">
        <v>96</v>
      </c>
      <c r="J672" s="4">
        <v>7710000</v>
      </c>
      <c r="K672" s="2">
        <v>3</v>
      </c>
      <c r="L672" s="2">
        <v>1</v>
      </c>
      <c r="M672" s="2">
        <v>12</v>
      </c>
      <c r="N672" s="2" t="s">
        <v>41</v>
      </c>
      <c r="O672" s="2" t="s">
        <v>26</v>
      </c>
      <c r="P672" s="2" t="s">
        <v>27</v>
      </c>
      <c r="Q672" s="3">
        <v>45916</v>
      </c>
      <c r="R672" s="2" t="s">
        <v>111</v>
      </c>
    </row>
    <row r="673" spans="1:18" x14ac:dyDescent="0.3">
      <c r="A673" s="2" t="s">
        <v>1107</v>
      </c>
      <c r="B673" s="2" t="s">
        <v>658</v>
      </c>
      <c r="C673" s="2" t="s">
        <v>31</v>
      </c>
      <c r="D673" s="3">
        <v>34977</v>
      </c>
      <c r="E673" s="3">
        <v>44191</v>
      </c>
      <c r="F673" s="2" t="s">
        <v>56</v>
      </c>
      <c r="G673" s="2" t="s">
        <v>142</v>
      </c>
      <c r="H673" s="2" t="s">
        <v>33</v>
      </c>
      <c r="I673" s="2" t="s">
        <v>24</v>
      </c>
      <c r="J673" s="4">
        <v>3760000</v>
      </c>
      <c r="K673" s="2">
        <v>5</v>
      </c>
      <c r="L673" s="2">
        <v>4</v>
      </c>
      <c r="M673" s="2">
        <v>16</v>
      </c>
      <c r="N673" s="2" t="s">
        <v>41</v>
      </c>
      <c r="O673" s="2" t="s">
        <v>26</v>
      </c>
      <c r="P673" s="2" t="s">
        <v>36</v>
      </c>
      <c r="Q673" s="3"/>
      <c r="R673" s="2"/>
    </row>
    <row r="674" spans="1:18" x14ac:dyDescent="0.3">
      <c r="A674" s="2" t="s">
        <v>1108</v>
      </c>
      <c r="B674" s="2" t="s">
        <v>754</v>
      </c>
      <c r="C674" s="2" t="s">
        <v>20</v>
      </c>
      <c r="D674" s="3">
        <v>34225</v>
      </c>
      <c r="E674" s="3">
        <v>44972</v>
      </c>
      <c r="F674" s="2" t="s">
        <v>51</v>
      </c>
      <c r="G674" s="2" t="s">
        <v>52</v>
      </c>
      <c r="H674" s="2" t="s">
        <v>23</v>
      </c>
      <c r="I674" s="2" t="s">
        <v>24</v>
      </c>
      <c r="J674" s="4">
        <v>12540000</v>
      </c>
      <c r="K674" s="2">
        <v>1</v>
      </c>
      <c r="L674" s="2">
        <v>4</v>
      </c>
      <c r="M674" s="2">
        <v>27</v>
      </c>
      <c r="N674" s="2" t="s">
        <v>25</v>
      </c>
      <c r="O674" s="2" t="s">
        <v>53</v>
      </c>
      <c r="P674" s="2" t="s">
        <v>36</v>
      </c>
      <c r="Q674" s="3"/>
      <c r="R674" s="2"/>
    </row>
    <row r="675" spans="1:18" x14ac:dyDescent="0.3">
      <c r="A675" s="2" t="s">
        <v>1109</v>
      </c>
      <c r="B675" s="2" t="s">
        <v>1110</v>
      </c>
      <c r="C675" s="2" t="s">
        <v>20</v>
      </c>
      <c r="D675" s="3">
        <v>31668</v>
      </c>
      <c r="E675" s="3">
        <v>45137</v>
      </c>
      <c r="F675" s="2" t="s">
        <v>21</v>
      </c>
      <c r="G675" s="2" t="s">
        <v>22</v>
      </c>
      <c r="H675" s="2" t="s">
        <v>33</v>
      </c>
      <c r="I675" s="2" t="s">
        <v>24</v>
      </c>
      <c r="J675" s="4">
        <v>4960000</v>
      </c>
      <c r="K675" s="2">
        <v>3</v>
      </c>
      <c r="L675" s="2">
        <v>3</v>
      </c>
      <c r="M675" s="2">
        <v>30</v>
      </c>
      <c r="N675" s="2" t="s">
        <v>41</v>
      </c>
      <c r="O675" s="2" t="s">
        <v>53</v>
      </c>
      <c r="P675" s="2" t="s">
        <v>36</v>
      </c>
      <c r="Q675" s="3"/>
      <c r="R675" s="2"/>
    </row>
    <row r="676" spans="1:18" x14ac:dyDescent="0.3">
      <c r="A676" s="2" t="s">
        <v>1111</v>
      </c>
      <c r="B676" s="2" t="s">
        <v>172</v>
      </c>
      <c r="C676" s="2" t="s">
        <v>31</v>
      </c>
      <c r="D676" s="3">
        <v>38243</v>
      </c>
      <c r="E676" s="3">
        <v>46093</v>
      </c>
      <c r="F676" s="2" t="s">
        <v>114</v>
      </c>
      <c r="G676" s="2" t="s">
        <v>115</v>
      </c>
      <c r="H676" s="2" t="s">
        <v>23</v>
      </c>
      <c r="I676" s="2" t="s">
        <v>24</v>
      </c>
      <c r="J676" s="4">
        <v>12900000</v>
      </c>
      <c r="K676" s="2">
        <v>3</v>
      </c>
      <c r="L676" s="2">
        <v>4</v>
      </c>
      <c r="M676" s="2">
        <v>3</v>
      </c>
      <c r="N676" s="2" t="s">
        <v>25</v>
      </c>
      <c r="O676" s="2" t="s">
        <v>26</v>
      </c>
      <c r="P676" s="2" t="s">
        <v>36</v>
      </c>
      <c r="Q676" s="3"/>
      <c r="R676" s="2"/>
    </row>
    <row r="677" spans="1:18" x14ac:dyDescent="0.3">
      <c r="A677" s="2" t="s">
        <v>1112</v>
      </c>
      <c r="B677" s="2" t="s">
        <v>576</v>
      </c>
      <c r="C677" s="2" t="s">
        <v>20</v>
      </c>
      <c r="D677" s="3">
        <v>32603</v>
      </c>
      <c r="E677" s="3">
        <v>44512</v>
      </c>
      <c r="F677" s="2" t="s">
        <v>64</v>
      </c>
      <c r="G677" s="2" t="s">
        <v>73</v>
      </c>
      <c r="H677" s="2" t="s">
        <v>33</v>
      </c>
      <c r="I677" s="2" t="s">
        <v>96</v>
      </c>
      <c r="J677" s="4">
        <v>4100000</v>
      </c>
      <c r="K677" s="2">
        <v>4</v>
      </c>
      <c r="L677" s="2">
        <v>5</v>
      </c>
      <c r="M677" s="2">
        <v>20</v>
      </c>
      <c r="N677" s="2" t="s">
        <v>41</v>
      </c>
      <c r="O677" s="2" t="s">
        <v>26</v>
      </c>
      <c r="P677" s="2" t="s">
        <v>27</v>
      </c>
      <c r="Q677" s="3">
        <v>46110</v>
      </c>
      <c r="R677" s="2" t="s">
        <v>61</v>
      </c>
    </row>
    <row r="678" spans="1:18" x14ac:dyDescent="0.3">
      <c r="A678" s="2" t="s">
        <v>1113</v>
      </c>
      <c r="B678" s="2" t="s">
        <v>165</v>
      </c>
      <c r="C678" s="2" t="s">
        <v>20</v>
      </c>
      <c r="D678" s="3">
        <v>33523</v>
      </c>
      <c r="E678" s="3">
        <v>44651</v>
      </c>
      <c r="F678" s="2" t="s">
        <v>51</v>
      </c>
      <c r="G678" s="2" t="s">
        <v>52</v>
      </c>
      <c r="H678" s="2" t="s">
        <v>33</v>
      </c>
      <c r="I678" s="2" t="s">
        <v>82</v>
      </c>
      <c r="J678" s="4">
        <v>3490000</v>
      </c>
      <c r="K678" s="2">
        <v>3</v>
      </c>
      <c r="L678" s="2">
        <v>4</v>
      </c>
      <c r="M678" s="2">
        <v>21</v>
      </c>
      <c r="N678" s="2" t="s">
        <v>25</v>
      </c>
      <c r="O678" s="2" t="s">
        <v>53</v>
      </c>
      <c r="P678" s="2" t="s">
        <v>36</v>
      </c>
      <c r="Q678" s="3"/>
      <c r="R678" s="2"/>
    </row>
    <row r="679" spans="1:18" x14ac:dyDescent="0.3">
      <c r="A679" s="2" t="s">
        <v>1114</v>
      </c>
      <c r="B679" s="2" t="s">
        <v>384</v>
      </c>
      <c r="C679" s="2" t="s">
        <v>31</v>
      </c>
      <c r="D679" s="3">
        <v>33415</v>
      </c>
      <c r="E679" s="3">
        <v>44727</v>
      </c>
      <c r="F679" s="2" t="s">
        <v>47</v>
      </c>
      <c r="G679" s="2" t="s">
        <v>127</v>
      </c>
      <c r="H679" s="2" t="s">
        <v>33</v>
      </c>
      <c r="I679" s="2" t="s">
        <v>24</v>
      </c>
      <c r="J679" s="4">
        <v>3460000</v>
      </c>
      <c r="K679" s="2">
        <v>1</v>
      </c>
      <c r="L679" s="2">
        <v>1</v>
      </c>
      <c r="M679" s="2">
        <v>0</v>
      </c>
      <c r="N679" s="2" t="s">
        <v>41</v>
      </c>
      <c r="O679" s="2" t="s">
        <v>35</v>
      </c>
      <c r="P679" s="2" t="s">
        <v>36</v>
      </c>
      <c r="Q679" s="3"/>
      <c r="R679" s="2"/>
    </row>
    <row r="680" spans="1:18" x14ac:dyDescent="0.3">
      <c r="A680" s="2" t="s">
        <v>1115</v>
      </c>
      <c r="B680" s="2" t="s">
        <v>839</v>
      </c>
      <c r="C680" s="2" t="s">
        <v>20</v>
      </c>
      <c r="D680" s="3">
        <v>32094</v>
      </c>
      <c r="E680" s="3">
        <v>45709</v>
      </c>
      <c r="F680" s="2" t="s">
        <v>51</v>
      </c>
      <c r="G680" s="2" t="s">
        <v>93</v>
      </c>
      <c r="H680" s="2" t="s">
        <v>33</v>
      </c>
      <c r="I680" s="2" t="s">
        <v>24</v>
      </c>
      <c r="J680" s="4">
        <v>3460000</v>
      </c>
      <c r="K680" s="2">
        <v>3</v>
      </c>
      <c r="L680" s="2">
        <v>2</v>
      </c>
      <c r="M680" s="2">
        <v>23</v>
      </c>
      <c r="N680" s="2" t="s">
        <v>41</v>
      </c>
      <c r="O680" s="2" t="s">
        <v>53</v>
      </c>
      <c r="P680" s="2" t="s">
        <v>36</v>
      </c>
      <c r="Q680" s="3"/>
      <c r="R680" s="2"/>
    </row>
    <row r="681" spans="1:18" x14ac:dyDescent="0.3">
      <c r="A681" s="2" t="s">
        <v>1116</v>
      </c>
      <c r="B681" s="2" t="s">
        <v>425</v>
      </c>
      <c r="C681" s="2" t="s">
        <v>31</v>
      </c>
      <c r="D681" s="3">
        <v>35528</v>
      </c>
      <c r="E681" s="3">
        <v>44234</v>
      </c>
      <c r="F681" s="2" t="s">
        <v>56</v>
      </c>
      <c r="G681" s="2" t="s">
        <v>57</v>
      </c>
      <c r="H681" s="2" t="s">
        <v>33</v>
      </c>
      <c r="I681" s="2" t="s">
        <v>24</v>
      </c>
      <c r="J681" s="4">
        <v>4220000</v>
      </c>
      <c r="K681" s="2">
        <v>3</v>
      </c>
      <c r="L681" s="2">
        <v>4</v>
      </c>
      <c r="M681" s="2">
        <v>0</v>
      </c>
      <c r="N681" s="2" t="s">
        <v>41</v>
      </c>
      <c r="O681" s="2" t="s">
        <v>35</v>
      </c>
      <c r="P681" s="2" t="s">
        <v>36</v>
      </c>
      <c r="Q681" s="3"/>
      <c r="R681" s="2"/>
    </row>
    <row r="682" spans="1:18" x14ac:dyDescent="0.3">
      <c r="A682" s="2" t="s">
        <v>1117</v>
      </c>
      <c r="B682" s="2" t="s">
        <v>167</v>
      </c>
      <c r="C682" s="2" t="s">
        <v>31</v>
      </c>
      <c r="D682" s="3">
        <v>35917</v>
      </c>
      <c r="E682" s="3">
        <v>45492</v>
      </c>
      <c r="F682" s="2" t="s">
        <v>47</v>
      </c>
      <c r="G682" s="2" t="s">
        <v>90</v>
      </c>
      <c r="H682" s="2" t="s">
        <v>23</v>
      </c>
      <c r="I682" s="2" t="s">
        <v>34</v>
      </c>
      <c r="J682" s="4">
        <v>12430000</v>
      </c>
      <c r="K682" s="2">
        <v>3</v>
      </c>
      <c r="L682" s="2">
        <v>3</v>
      </c>
      <c r="M682" s="2">
        <v>13</v>
      </c>
      <c r="N682" s="2" t="s">
        <v>41</v>
      </c>
      <c r="O682" s="2" t="s">
        <v>26</v>
      </c>
      <c r="P682" s="2" t="s">
        <v>27</v>
      </c>
      <c r="Q682" s="3">
        <v>45818</v>
      </c>
      <c r="R682" s="2" t="s">
        <v>28</v>
      </c>
    </row>
    <row r="683" spans="1:18" x14ac:dyDescent="0.3">
      <c r="A683" s="2" t="s">
        <v>1118</v>
      </c>
      <c r="B683" s="2" t="s">
        <v>1119</v>
      </c>
      <c r="C683" s="2" t="s">
        <v>20</v>
      </c>
      <c r="D683" s="3">
        <v>33839</v>
      </c>
      <c r="E683" s="3">
        <v>45675</v>
      </c>
      <c r="F683" s="2" t="s">
        <v>114</v>
      </c>
      <c r="G683" s="2" t="s">
        <v>196</v>
      </c>
      <c r="H683" s="2" t="s">
        <v>68</v>
      </c>
      <c r="I683" s="2" t="s">
        <v>24</v>
      </c>
      <c r="J683" s="4">
        <v>6360000</v>
      </c>
      <c r="K683" s="2">
        <v>3</v>
      </c>
      <c r="L683" s="2">
        <v>1</v>
      </c>
      <c r="M683" s="2">
        <v>20</v>
      </c>
      <c r="N683" s="2" t="s">
        <v>41</v>
      </c>
      <c r="O683" s="2" t="s">
        <v>35</v>
      </c>
      <c r="P683" s="2" t="s">
        <v>36</v>
      </c>
      <c r="Q683" s="3"/>
      <c r="R683" s="2"/>
    </row>
    <row r="684" spans="1:18" x14ac:dyDescent="0.3">
      <c r="A684" s="2" t="s">
        <v>1120</v>
      </c>
      <c r="B684" s="2" t="s">
        <v>1078</v>
      </c>
      <c r="C684" s="2" t="s">
        <v>20</v>
      </c>
      <c r="D684" s="3">
        <v>31508</v>
      </c>
      <c r="E684" s="3">
        <v>45719</v>
      </c>
      <c r="F684" s="2" t="s">
        <v>64</v>
      </c>
      <c r="G684" s="2" t="s">
        <v>73</v>
      </c>
      <c r="H684" s="2" t="s">
        <v>33</v>
      </c>
      <c r="I684" s="2" t="s">
        <v>82</v>
      </c>
      <c r="J684" s="4">
        <v>4870000</v>
      </c>
      <c r="K684" s="2">
        <v>3</v>
      </c>
      <c r="L684" s="2">
        <v>2</v>
      </c>
      <c r="M684" s="2">
        <v>6</v>
      </c>
      <c r="N684" s="2" t="s">
        <v>88</v>
      </c>
      <c r="O684" s="2" t="s">
        <v>35</v>
      </c>
      <c r="P684" s="2" t="s">
        <v>36</v>
      </c>
      <c r="Q684" s="3"/>
      <c r="R684" s="2"/>
    </row>
    <row r="685" spans="1:18" x14ac:dyDescent="0.3">
      <c r="A685" s="2" t="s">
        <v>1121</v>
      </c>
      <c r="B685" s="2" t="s">
        <v>30</v>
      </c>
      <c r="C685" s="2" t="s">
        <v>31</v>
      </c>
      <c r="D685" s="3">
        <v>33516</v>
      </c>
      <c r="E685" s="3">
        <v>44484</v>
      </c>
      <c r="F685" s="2" t="s">
        <v>51</v>
      </c>
      <c r="G685" s="2" t="s">
        <v>93</v>
      </c>
      <c r="H685" s="2" t="s">
        <v>68</v>
      </c>
      <c r="I685" s="2" t="s">
        <v>96</v>
      </c>
      <c r="J685" s="4">
        <v>6630000</v>
      </c>
      <c r="K685" s="2">
        <v>4</v>
      </c>
      <c r="L685" s="2">
        <v>2</v>
      </c>
      <c r="M685" s="2">
        <v>28</v>
      </c>
      <c r="N685" s="2" t="s">
        <v>25</v>
      </c>
      <c r="O685" s="2" t="s">
        <v>26</v>
      </c>
      <c r="P685" s="2" t="s">
        <v>27</v>
      </c>
      <c r="Q685" s="3">
        <v>45848</v>
      </c>
      <c r="R685" s="2" t="s">
        <v>111</v>
      </c>
    </row>
    <row r="686" spans="1:18" x14ac:dyDescent="0.3">
      <c r="A686" s="2" t="s">
        <v>1122</v>
      </c>
      <c r="B686" s="2" t="s">
        <v>812</v>
      </c>
      <c r="C686" s="2" t="s">
        <v>31</v>
      </c>
      <c r="D686" s="3">
        <v>38338</v>
      </c>
      <c r="E686" s="3">
        <v>46183</v>
      </c>
      <c r="F686" s="2" t="s">
        <v>64</v>
      </c>
      <c r="G686" s="2" t="s">
        <v>73</v>
      </c>
      <c r="H686" s="2" t="s">
        <v>68</v>
      </c>
      <c r="I686" s="2" t="s">
        <v>44</v>
      </c>
      <c r="J686" s="4">
        <v>8330000</v>
      </c>
      <c r="K686" s="2">
        <v>3</v>
      </c>
      <c r="L686" s="2">
        <v>4</v>
      </c>
      <c r="M686" s="2">
        <v>23</v>
      </c>
      <c r="N686" s="2" t="s">
        <v>41</v>
      </c>
      <c r="O686" s="2" t="s">
        <v>53</v>
      </c>
      <c r="P686" s="2" t="s">
        <v>36</v>
      </c>
      <c r="Q686" s="3"/>
      <c r="R686" s="2"/>
    </row>
    <row r="687" spans="1:18" x14ac:dyDescent="0.3">
      <c r="A687" s="2" t="s">
        <v>1123</v>
      </c>
      <c r="B687" s="2" t="s">
        <v>157</v>
      </c>
      <c r="C687" s="2" t="s">
        <v>229</v>
      </c>
      <c r="D687" s="3">
        <v>35772</v>
      </c>
      <c r="E687" s="3">
        <v>45871</v>
      </c>
      <c r="F687" s="2" t="s">
        <v>21</v>
      </c>
      <c r="G687" s="2" t="s">
        <v>103</v>
      </c>
      <c r="H687" s="2" t="s">
        <v>33</v>
      </c>
      <c r="I687" s="2" t="s">
        <v>82</v>
      </c>
      <c r="J687" s="4">
        <v>6190000</v>
      </c>
      <c r="K687" s="2">
        <v>1</v>
      </c>
      <c r="L687" s="2">
        <v>2</v>
      </c>
      <c r="M687" s="2">
        <v>0</v>
      </c>
      <c r="N687" s="2" t="s">
        <v>41</v>
      </c>
      <c r="O687" s="2" t="s">
        <v>26</v>
      </c>
      <c r="P687" s="2" t="s">
        <v>36</v>
      </c>
      <c r="Q687" s="3"/>
      <c r="R687" s="2"/>
    </row>
    <row r="688" spans="1:18" x14ac:dyDescent="0.3">
      <c r="A688" s="2" t="s">
        <v>1124</v>
      </c>
      <c r="B688" s="2" t="s">
        <v>248</v>
      </c>
      <c r="C688" s="2" t="s">
        <v>31</v>
      </c>
      <c r="D688" s="3">
        <v>35286</v>
      </c>
      <c r="E688" s="3">
        <v>45834</v>
      </c>
      <c r="F688" s="2" t="s">
        <v>51</v>
      </c>
      <c r="G688" s="2" t="s">
        <v>52</v>
      </c>
      <c r="H688" s="2" t="s">
        <v>33</v>
      </c>
      <c r="I688" s="2" t="s">
        <v>24</v>
      </c>
      <c r="J688" s="4">
        <v>3010000</v>
      </c>
      <c r="K688" s="2">
        <v>4</v>
      </c>
      <c r="L688" s="2">
        <v>3</v>
      </c>
      <c r="M688" s="2">
        <v>17</v>
      </c>
      <c r="N688" s="2" t="s">
        <v>41</v>
      </c>
      <c r="O688" s="2" t="s">
        <v>26</v>
      </c>
      <c r="P688" s="2" t="s">
        <v>36</v>
      </c>
      <c r="Q688" s="3"/>
      <c r="R688" s="2"/>
    </row>
    <row r="689" spans="1:18" x14ac:dyDescent="0.3">
      <c r="A689" s="2" t="s">
        <v>1125</v>
      </c>
      <c r="B689" s="2" t="s">
        <v>1126</v>
      </c>
      <c r="C689" s="2" t="s">
        <v>31</v>
      </c>
      <c r="D689" s="3">
        <v>33077</v>
      </c>
      <c r="E689" s="3">
        <v>43345</v>
      </c>
      <c r="F689" s="2" t="s">
        <v>51</v>
      </c>
      <c r="G689" s="2" t="s">
        <v>52</v>
      </c>
      <c r="H689" s="2" t="s">
        <v>68</v>
      </c>
      <c r="I689" s="2" t="s">
        <v>104</v>
      </c>
      <c r="J689" s="4">
        <v>5450000</v>
      </c>
      <c r="K689" s="2">
        <v>2</v>
      </c>
      <c r="L689" s="2">
        <v>3</v>
      </c>
      <c r="M689" s="2">
        <v>24</v>
      </c>
      <c r="N689" s="2" t="s">
        <v>25</v>
      </c>
      <c r="O689" s="2" t="s">
        <v>26</v>
      </c>
      <c r="P689" s="2" t="s">
        <v>36</v>
      </c>
      <c r="Q689" s="3"/>
      <c r="R689" s="2"/>
    </row>
    <row r="690" spans="1:18" x14ac:dyDescent="0.3">
      <c r="A690" s="2" t="s">
        <v>1127</v>
      </c>
      <c r="B690" s="2" t="s">
        <v>221</v>
      </c>
      <c r="C690" s="2" t="s">
        <v>20</v>
      </c>
      <c r="D690" s="3">
        <v>32284</v>
      </c>
      <c r="E690" s="3">
        <v>45449</v>
      </c>
      <c r="F690" s="2" t="s">
        <v>47</v>
      </c>
      <c r="G690" s="2" t="s">
        <v>48</v>
      </c>
      <c r="H690" s="2" t="s">
        <v>33</v>
      </c>
      <c r="I690" s="2" t="s">
        <v>24</v>
      </c>
      <c r="J690" s="4">
        <v>4690000</v>
      </c>
      <c r="K690" s="2">
        <v>1</v>
      </c>
      <c r="L690" s="2">
        <v>5</v>
      </c>
      <c r="M690" s="2">
        <v>17</v>
      </c>
      <c r="N690" s="2" t="s">
        <v>25</v>
      </c>
      <c r="O690" s="2" t="s">
        <v>53</v>
      </c>
      <c r="P690" s="2" t="s">
        <v>36</v>
      </c>
      <c r="Q690" s="3"/>
      <c r="R690" s="2"/>
    </row>
    <row r="691" spans="1:18" x14ac:dyDescent="0.3">
      <c r="A691" s="2" t="s">
        <v>1128</v>
      </c>
      <c r="B691" s="2" t="s">
        <v>1129</v>
      </c>
      <c r="C691" s="2" t="s">
        <v>20</v>
      </c>
      <c r="D691" s="3">
        <v>34605</v>
      </c>
      <c r="E691" s="3">
        <v>46153</v>
      </c>
      <c r="F691" s="2" t="s">
        <v>56</v>
      </c>
      <c r="G691" s="2" t="s">
        <v>142</v>
      </c>
      <c r="H691" s="2" t="s">
        <v>68</v>
      </c>
      <c r="I691" s="2" t="s">
        <v>96</v>
      </c>
      <c r="J691" s="4">
        <v>7010000</v>
      </c>
      <c r="K691" s="2">
        <v>4</v>
      </c>
      <c r="L691" s="2">
        <v>2</v>
      </c>
      <c r="M691" s="2">
        <v>0</v>
      </c>
      <c r="N691" s="2" t="s">
        <v>41</v>
      </c>
      <c r="O691" s="2" t="s">
        <v>26</v>
      </c>
      <c r="P691" s="2" t="s">
        <v>36</v>
      </c>
      <c r="Q691" s="3"/>
      <c r="R691" s="2"/>
    </row>
    <row r="692" spans="1:18" x14ac:dyDescent="0.3">
      <c r="A692" s="2" t="s">
        <v>1130</v>
      </c>
      <c r="B692" s="2" t="s">
        <v>1131</v>
      </c>
      <c r="C692" s="2" t="s">
        <v>20</v>
      </c>
      <c r="D692" s="3">
        <v>33889</v>
      </c>
      <c r="E692" s="3">
        <v>44093</v>
      </c>
      <c r="F692" s="2" t="s">
        <v>64</v>
      </c>
      <c r="G692" s="2" t="s">
        <v>73</v>
      </c>
      <c r="H692" s="2" t="s">
        <v>68</v>
      </c>
      <c r="I692" s="2" t="s">
        <v>34</v>
      </c>
      <c r="J692" s="4">
        <v>8170000</v>
      </c>
      <c r="K692" s="2">
        <v>3</v>
      </c>
      <c r="L692" s="2">
        <v>5</v>
      </c>
      <c r="M692" s="2">
        <v>23</v>
      </c>
      <c r="N692" s="2" t="s">
        <v>88</v>
      </c>
      <c r="O692" s="2"/>
      <c r="P692" s="2" t="s">
        <v>36</v>
      </c>
      <c r="Q692" s="3"/>
      <c r="R692" s="2"/>
    </row>
    <row r="693" spans="1:18" x14ac:dyDescent="0.3">
      <c r="A693" s="2" t="s">
        <v>1132</v>
      </c>
      <c r="B693" s="2" t="s">
        <v>801</v>
      </c>
      <c r="C693" s="2" t="s">
        <v>20</v>
      </c>
      <c r="D693" s="3">
        <v>39008</v>
      </c>
      <c r="E693" s="3">
        <v>46267</v>
      </c>
      <c r="F693" s="2" t="s">
        <v>64</v>
      </c>
      <c r="G693" s="2" t="s">
        <v>65</v>
      </c>
      <c r="H693" s="2" t="s">
        <v>33</v>
      </c>
      <c r="I693" s="2" t="s">
        <v>206</v>
      </c>
      <c r="J693" s="4">
        <v>3350000</v>
      </c>
      <c r="K693" s="2">
        <v>4</v>
      </c>
      <c r="L693" s="2">
        <v>5</v>
      </c>
      <c r="M693" s="2">
        <v>26</v>
      </c>
      <c r="N693" s="2" t="s">
        <v>25</v>
      </c>
      <c r="O693" s="2" t="s">
        <v>35</v>
      </c>
      <c r="P693" s="2" t="s">
        <v>36</v>
      </c>
      <c r="Q693" s="3"/>
      <c r="R693" s="2"/>
    </row>
    <row r="694" spans="1:18" x14ac:dyDescent="0.3">
      <c r="A694" s="2" t="s">
        <v>1133</v>
      </c>
      <c r="B694" s="2" t="s">
        <v>510</v>
      </c>
      <c r="C694" s="2" t="s">
        <v>31</v>
      </c>
      <c r="D694" s="3">
        <v>27975</v>
      </c>
      <c r="E694" s="3">
        <v>43480</v>
      </c>
      <c r="F694" s="2" t="s">
        <v>56</v>
      </c>
      <c r="G694" s="2" t="s">
        <v>57</v>
      </c>
      <c r="H694" s="2" t="s">
        <v>68</v>
      </c>
      <c r="I694" s="2" t="s">
        <v>44</v>
      </c>
      <c r="J694" s="4">
        <v>7730000</v>
      </c>
      <c r="K694" s="2">
        <v>2</v>
      </c>
      <c r="L694" s="2">
        <v>2</v>
      </c>
      <c r="M694" s="2">
        <v>25</v>
      </c>
      <c r="N694" s="2" t="s">
        <v>41</v>
      </c>
      <c r="O694" s="2" t="s">
        <v>35</v>
      </c>
      <c r="P694" s="2" t="s">
        <v>36</v>
      </c>
      <c r="Q694" s="3"/>
      <c r="R694" s="2"/>
    </row>
    <row r="695" spans="1:18" x14ac:dyDescent="0.3">
      <c r="A695" s="2" t="s">
        <v>1134</v>
      </c>
      <c r="B695" s="2" t="s">
        <v>110</v>
      </c>
      <c r="C695" s="2" t="s">
        <v>20</v>
      </c>
      <c r="D695" s="3">
        <v>35596</v>
      </c>
      <c r="E695" s="3">
        <v>44631</v>
      </c>
      <c r="F695" s="2" t="s">
        <v>51</v>
      </c>
      <c r="G695" s="2" t="s">
        <v>93</v>
      </c>
      <c r="H695" s="2" t="s">
        <v>68</v>
      </c>
      <c r="I695" s="2" t="s">
        <v>34</v>
      </c>
      <c r="J695" s="4">
        <v>7180000</v>
      </c>
      <c r="K695" s="2">
        <v>4</v>
      </c>
      <c r="L695" s="2">
        <v>2</v>
      </c>
      <c r="M695" s="2">
        <v>13</v>
      </c>
      <c r="N695" s="2" t="s">
        <v>41</v>
      </c>
      <c r="O695" s="2" t="s">
        <v>26</v>
      </c>
      <c r="P695" s="2" t="s">
        <v>36</v>
      </c>
      <c r="Q695" s="3"/>
      <c r="R695" s="2"/>
    </row>
    <row r="696" spans="1:18" x14ac:dyDescent="0.3">
      <c r="A696" s="2" t="s">
        <v>1135</v>
      </c>
      <c r="B696" s="2" t="s">
        <v>708</v>
      </c>
      <c r="C696" s="2" t="s">
        <v>31</v>
      </c>
      <c r="D696" s="3">
        <v>38736</v>
      </c>
      <c r="E696" s="3">
        <v>46093</v>
      </c>
      <c r="F696" s="2" t="s">
        <v>21</v>
      </c>
      <c r="G696" s="2" t="s">
        <v>22</v>
      </c>
      <c r="H696" s="2" t="s">
        <v>33</v>
      </c>
      <c r="I696" s="2" t="s">
        <v>206</v>
      </c>
      <c r="J696" s="4">
        <v>6490000</v>
      </c>
      <c r="K696" s="2">
        <v>5</v>
      </c>
      <c r="L696" s="2">
        <v>3</v>
      </c>
      <c r="M696" s="2">
        <v>10</v>
      </c>
      <c r="N696" s="2" t="s">
        <v>41</v>
      </c>
      <c r="O696" s="2" t="s">
        <v>53</v>
      </c>
      <c r="P696" s="2" t="s">
        <v>36</v>
      </c>
      <c r="Q696" s="3"/>
      <c r="R696" s="2"/>
    </row>
    <row r="697" spans="1:18" x14ac:dyDescent="0.3">
      <c r="A697" s="2" t="s">
        <v>1136</v>
      </c>
      <c r="B697" s="2" t="s">
        <v>548</v>
      </c>
      <c r="C697" s="2" t="s">
        <v>31</v>
      </c>
      <c r="D697" s="3">
        <v>31123</v>
      </c>
      <c r="E697" s="3">
        <v>43147</v>
      </c>
      <c r="F697" s="2" t="s">
        <v>51</v>
      </c>
      <c r="G697" s="2" t="s">
        <v>93</v>
      </c>
      <c r="H697" s="2" t="s">
        <v>23</v>
      </c>
      <c r="I697" s="2" t="s">
        <v>34</v>
      </c>
      <c r="J697" s="4">
        <v>9160000</v>
      </c>
      <c r="K697" s="2">
        <v>3</v>
      </c>
      <c r="L697" s="2">
        <v>3</v>
      </c>
      <c r="M697" s="2">
        <v>8</v>
      </c>
      <c r="N697" s="2" t="s">
        <v>88</v>
      </c>
      <c r="O697" s="2" t="s">
        <v>26</v>
      </c>
      <c r="P697" s="2" t="s">
        <v>36</v>
      </c>
      <c r="Q697" s="3"/>
      <c r="R697" s="2"/>
    </row>
    <row r="698" spans="1:18" x14ac:dyDescent="0.3">
      <c r="A698" s="2" t="s">
        <v>1137</v>
      </c>
      <c r="B698" s="2" t="s">
        <v>1138</v>
      </c>
      <c r="C698" s="2" t="s">
        <v>20</v>
      </c>
      <c r="D698" s="3">
        <v>34327</v>
      </c>
      <c r="E698" s="3">
        <v>44611</v>
      </c>
      <c r="F698" s="2" t="s">
        <v>47</v>
      </c>
      <c r="G698" s="2" t="s">
        <v>48</v>
      </c>
      <c r="H698" s="2" t="s">
        <v>68</v>
      </c>
      <c r="I698" s="2" t="s">
        <v>24</v>
      </c>
      <c r="J698" s="4">
        <v>7290000</v>
      </c>
      <c r="K698" s="2">
        <v>3</v>
      </c>
      <c r="L698" s="2">
        <v>2</v>
      </c>
      <c r="M698" s="2">
        <v>21</v>
      </c>
      <c r="N698" s="2" t="s">
        <v>88</v>
      </c>
      <c r="O698" s="2"/>
      <c r="P698" s="2" t="s">
        <v>36</v>
      </c>
      <c r="Q698" s="3"/>
      <c r="R698" s="2"/>
    </row>
    <row r="699" spans="1:18" x14ac:dyDescent="0.3">
      <c r="A699" s="2" t="s">
        <v>1139</v>
      </c>
      <c r="B699" s="2" t="s">
        <v>1110</v>
      </c>
      <c r="C699" s="2" t="s">
        <v>20</v>
      </c>
      <c r="D699" s="3">
        <v>33890</v>
      </c>
      <c r="E699" s="3">
        <v>45158</v>
      </c>
      <c r="F699" s="2" t="s">
        <v>47</v>
      </c>
      <c r="G699" s="2" t="s">
        <v>127</v>
      </c>
      <c r="H699" s="2" t="s">
        <v>33</v>
      </c>
      <c r="I699" s="2" t="s">
        <v>44</v>
      </c>
      <c r="J699" s="4">
        <v>5090000</v>
      </c>
      <c r="K699" s="2">
        <v>3</v>
      </c>
      <c r="L699" s="2">
        <v>4</v>
      </c>
      <c r="M699" s="2">
        <v>10</v>
      </c>
      <c r="N699" s="2" t="s">
        <v>41</v>
      </c>
      <c r="O699" s="2" t="s">
        <v>35</v>
      </c>
      <c r="P699" s="2" t="s">
        <v>36</v>
      </c>
      <c r="Q699" s="3"/>
      <c r="R699" s="2"/>
    </row>
    <row r="700" spans="1:18" x14ac:dyDescent="0.3">
      <c r="A700" s="2" t="s">
        <v>1140</v>
      </c>
      <c r="B700" s="2" t="s">
        <v>283</v>
      </c>
      <c r="C700" s="2" t="s">
        <v>31</v>
      </c>
      <c r="D700" s="3">
        <v>36187</v>
      </c>
      <c r="E700" s="3">
        <v>44297</v>
      </c>
      <c r="F700" s="2" t="s">
        <v>47</v>
      </c>
      <c r="G700" s="2" t="s">
        <v>127</v>
      </c>
      <c r="H700" s="2" t="s">
        <v>23</v>
      </c>
      <c r="I700" s="2" t="s">
        <v>24</v>
      </c>
      <c r="J700" s="4">
        <v>11300000</v>
      </c>
      <c r="K700" s="2">
        <v>3</v>
      </c>
      <c r="L700" s="2">
        <v>3</v>
      </c>
      <c r="M700" s="2">
        <v>13</v>
      </c>
      <c r="N700" s="2" t="s">
        <v>41</v>
      </c>
      <c r="O700" s="2" t="s">
        <v>53</v>
      </c>
      <c r="P700" s="2" t="s">
        <v>36</v>
      </c>
      <c r="Q700" s="3"/>
      <c r="R700" s="2"/>
    </row>
    <row r="701" spans="1:18" x14ac:dyDescent="0.3">
      <c r="A701" s="2" t="s">
        <v>1141</v>
      </c>
      <c r="B701" s="2" t="s">
        <v>754</v>
      </c>
      <c r="C701" s="2" t="s">
        <v>20</v>
      </c>
      <c r="D701" s="3">
        <v>32253</v>
      </c>
      <c r="E701" s="3">
        <v>46071</v>
      </c>
      <c r="F701" s="2" t="s">
        <v>51</v>
      </c>
      <c r="G701" s="2" t="s">
        <v>52</v>
      </c>
      <c r="H701" s="2" t="s">
        <v>68</v>
      </c>
      <c r="I701" s="2" t="s">
        <v>96</v>
      </c>
      <c r="J701" s="4">
        <v>4540000</v>
      </c>
      <c r="K701" s="2">
        <v>5</v>
      </c>
      <c r="L701" s="2">
        <v>3</v>
      </c>
      <c r="M701" s="2">
        <v>8</v>
      </c>
      <c r="N701" s="2" t="s">
        <v>88</v>
      </c>
      <c r="O701" s="2" t="s">
        <v>35</v>
      </c>
      <c r="P701" s="2" t="s">
        <v>36</v>
      </c>
      <c r="Q701" s="3"/>
      <c r="R701" s="2"/>
    </row>
    <row r="702" spans="1:18" x14ac:dyDescent="0.3">
      <c r="A702" s="2" t="s">
        <v>1142</v>
      </c>
      <c r="B702" s="2" t="s">
        <v>121</v>
      </c>
      <c r="C702" s="2" t="s">
        <v>31</v>
      </c>
      <c r="D702" s="3">
        <v>33651</v>
      </c>
      <c r="E702" s="3">
        <v>44689</v>
      </c>
      <c r="F702" s="2" t="s">
        <v>51</v>
      </c>
      <c r="G702" s="2" t="s">
        <v>52</v>
      </c>
      <c r="H702" s="2" t="s">
        <v>33</v>
      </c>
      <c r="I702" s="2" t="s">
        <v>34</v>
      </c>
      <c r="J702" s="4">
        <v>2800000</v>
      </c>
      <c r="K702" s="2">
        <v>4</v>
      </c>
      <c r="L702" s="2">
        <v>4</v>
      </c>
      <c r="M702" s="2">
        <v>31</v>
      </c>
      <c r="N702" s="2" t="s">
        <v>25</v>
      </c>
      <c r="O702" s="2" t="s">
        <v>26</v>
      </c>
      <c r="P702" s="2" t="s">
        <v>36</v>
      </c>
      <c r="Q702" s="3"/>
      <c r="R702" s="2"/>
    </row>
    <row r="703" spans="1:18" x14ac:dyDescent="0.3">
      <c r="A703" s="2" t="s">
        <v>1143</v>
      </c>
      <c r="B703" s="2" t="s">
        <v>443</v>
      </c>
      <c r="C703" s="2" t="s">
        <v>31</v>
      </c>
      <c r="D703" s="3">
        <v>35166</v>
      </c>
      <c r="E703" s="3">
        <v>44101</v>
      </c>
      <c r="F703" s="2" t="s">
        <v>51</v>
      </c>
      <c r="G703" s="2" t="s">
        <v>52</v>
      </c>
      <c r="H703" s="2" t="s">
        <v>68</v>
      </c>
      <c r="I703" s="2" t="s">
        <v>24</v>
      </c>
      <c r="J703" s="4">
        <v>5420000</v>
      </c>
      <c r="K703" s="2">
        <v>4</v>
      </c>
      <c r="L703" s="2">
        <v>3</v>
      </c>
      <c r="M703" s="2">
        <v>17</v>
      </c>
      <c r="N703" s="2" t="s">
        <v>25</v>
      </c>
      <c r="O703" s="2" t="s">
        <v>26</v>
      </c>
      <c r="P703" s="2" t="s">
        <v>36</v>
      </c>
      <c r="Q703" s="3"/>
      <c r="R703" s="2"/>
    </row>
    <row r="704" spans="1:18" x14ac:dyDescent="0.3">
      <c r="A704" s="2" t="s">
        <v>1144</v>
      </c>
      <c r="B704" s="2" t="s">
        <v>440</v>
      </c>
      <c r="C704" s="2" t="s">
        <v>20</v>
      </c>
      <c r="D704" s="3">
        <v>31324</v>
      </c>
      <c r="E704" s="3">
        <v>44326</v>
      </c>
      <c r="F704" s="2" t="s">
        <v>47</v>
      </c>
      <c r="G704" s="2" t="s">
        <v>48</v>
      </c>
      <c r="H704" s="2" t="s">
        <v>68</v>
      </c>
      <c r="I704" s="2" t="s">
        <v>44</v>
      </c>
      <c r="J704" s="4">
        <v>7090000</v>
      </c>
      <c r="K704" s="2">
        <v>1</v>
      </c>
      <c r="L704" s="2">
        <v>4</v>
      </c>
      <c r="M704" s="2">
        <v>11</v>
      </c>
      <c r="N704" s="2" t="s">
        <v>41</v>
      </c>
      <c r="O704" s="2" t="s">
        <v>26</v>
      </c>
      <c r="P704" s="2" t="s">
        <v>36</v>
      </c>
      <c r="Q704" s="3"/>
      <c r="R704" s="2"/>
    </row>
    <row r="705" spans="1:18" x14ac:dyDescent="0.3">
      <c r="A705" s="2" t="s">
        <v>1145</v>
      </c>
      <c r="B705" s="2" t="s">
        <v>513</v>
      </c>
      <c r="C705" s="2" t="s">
        <v>20</v>
      </c>
      <c r="D705" s="3">
        <v>35867</v>
      </c>
      <c r="E705" s="3">
        <v>44429</v>
      </c>
      <c r="F705" s="2" t="s">
        <v>47</v>
      </c>
      <c r="G705" s="2" t="s">
        <v>90</v>
      </c>
      <c r="H705" s="2" t="s">
        <v>33</v>
      </c>
      <c r="I705" s="2" t="s">
        <v>104</v>
      </c>
      <c r="J705" s="4">
        <v>4600000</v>
      </c>
      <c r="K705" s="2">
        <v>5</v>
      </c>
      <c r="L705" s="2">
        <v>3</v>
      </c>
      <c r="M705" s="2">
        <v>6</v>
      </c>
      <c r="N705" s="2" t="s">
        <v>41</v>
      </c>
      <c r="O705" s="2" t="s">
        <v>26</v>
      </c>
      <c r="P705" s="2" t="s">
        <v>36</v>
      </c>
      <c r="Q705" s="3"/>
      <c r="R705" s="2"/>
    </row>
    <row r="706" spans="1:18" x14ac:dyDescent="0.3">
      <c r="A706" s="2" t="s">
        <v>1146</v>
      </c>
      <c r="B706" s="2" t="s">
        <v>1147</v>
      </c>
      <c r="C706" s="2" t="s">
        <v>20</v>
      </c>
      <c r="D706" s="3">
        <v>32702</v>
      </c>
      <c r="E706" s="3">
        <v>45350</v>
      </c>
      <c r="F706" s="2" t="s">
        <v>51</v>
      </c>
      <c r="G706" s="2" t="s">
        <v>93</v>
      </c>
      <c r="H706" s="2" t="s">
        <v>23</v>
      </c>
      <c r="I706" s="2" t="s">
        <v>24</v>
      </c>
      <c r="J706" s="4">
        <v>9360000</v>
      </c>
      <c r="K706" s="2">
        <v>3</v>
      </c>
      <c r="L706" s="2">
        <v>4</v>
      </c>
      <c r="M706" s="2">
        <v>24</v>
      </c>
      <c r="N706" s="2" t="s">
        <v>88</v>
      </c>
      <c r="O706" s="2" t="s">
        <v>26</v>
      </c>
      <c r="P706" s="2" t="s">
        <v>36</v>
      </c>
      <c r="Q706" s="3"/>
      <c r="R706" s="2"/>
    </row>
    <row r="707" spans="1:18" x14ac:dyDescent="0.3">
      <c r="A707" s="2" t="s">
        <v>1148</v>
      </c>
      <c r="B707" s="2" t="s">
        <v>59</v>
      </c>
      <c r="C707" s="2" t="s">
        <v>31</v>
      </c>
      <c r="D707" s="3">
        <v>33721</v>
      </c>
      <c r="E707" s="3">
        <v>45798</v>
      </c>
      <c r="F707" s="2" t="s">
        <v>64</v>
      </c>
      <c r="G707" s="2" t="s">
        <v>73</v>
      </c>
      <c r="H707" s="2" t="s">
        <v>68</v>
      </c>
      <c r="I707" s="2" t="s">
        <v>96</v>
      </c>
      <c r="J707" s="4">
        <v>6650000</v>
      </c>
      <c r="K707" s="2">
        <v>4</v>
      </c>
      <c r="L707" s="2">
        <v>5</v>
      </c>
      <c r="M707" s="2">
        <v>4</v>
      </c>
      <c r="N707" s="2" t="s">
        <v>25</v>
      </c>
      <c r="O707" s="2" t="s">
        <v>35</v>
      </c>
      <c r="P707" s="2" t="s">
        <v>36</v>
      </c>
      <c r="Q707" s="3"/>
      <c r="R707" s="2"/>
    </row>
    <row r="708" spans="1:18" x14ac:dyDescent="0.3">
      <c r="A708" s="2" t="s">
        <v>1149</v>
      </c>
      <c r="B708" s="2" t="s">
        <v>524</v>
      </c>
      <c r="C708" s="2" t="s">
        <v>31</v>
      </c>
      <c r="D708" s="3">
        <v>33490</v>
      </c>
      <c r="E708" s="3">
        <v>42881</v>
      </c>
      <c r="F708" s="2" t="s">
        <v>51</v>
      </c>
      <c r="G708" s="2" t="s">
        <v>93</v>
      </c>
      <c r="H708" s="2" t="s">
        <v>33</v>
      </c>
      <c r="I708" s="2" t="s">
        <v>24</v>
      </c>
      <c r="J708" s="4">
        <v>3570000</v>
      </c>
      <c r="K708" s="2">
        <v>4</v>
      </c>
      <c r="L708" s="2">
        <v>1</v>
      </c>
      <c r="M708" s="2">
        <v>25</v>
      </c>
      <c r="N708" s="2" t="s">
        <v>41</v>
      </c>
      <c r="O708" s="2" t="s">
        <v>35</v>
      </c>
      <c r="P708" s="2" t="s">
        <v>27</v>
      </c>
      <c r="Q708" s="3">
        <v>45986</v>
      </c>
      <c r="R708" s="2" t="s">
        <v>61</v>
      </c>
    </row>
    <row r="709" spans="1:18" x14ac:dyDescent="0.3">
      <c r="A709" s="2" t="s">
        <v>1150</v>
      </c>
      <c r="B709" s="2" t="s">
        <v>886</v>
      </c>
      <c r="C709" s="2" t="s">
        <v>20</v>
      </c>
      <c r="D709" s="3">
        <v>34805</v>
      </c>
      <c r="E709" s="3">
        <v>45161</v>
      </c>
      <c r="F709" s="2" t="s">
        <v>51</v>
      </c>
      <c r="G709" s="2" t="s">
        <v>52</v>
      </c>
      <c r="H709" s="2" t="s">
        <v>68</v>
      </c>
      <c r="I709" s="2" t="s">
        <v>24</v>
      </c>
      <c r="J709" s="4">
        <v>6610000</v>
      </c>
      <c r="K709" s="2">
        <v>4</v>
      </c>
      <c r="L709" s="2">
        <v>5</v>
      </c>
      <c r="M709" s="2">
        <v>14</v>
      </c>
      <c r="N709" s="2" t="s">
        <v>25</v>
      </c>
      <c r="O709" s="2" t="s">
        <v>26</v>
      </c>
      <c r="P709" s="2" t="s">
        <v>36</v>
      </c>
      <c r="Q709" s="3"/>
      <c r="R709" s="2"/>
    </row>
    <row r="710" spans="1:18" x14ac:dyDescent="0.3">
      <c r="A710" s="2" t="s">
        <v>1151</v>
      </c>
      <c r="B710" s="2" t="s">
        <v>1050</v>
      </c>
      <c r="C710" s="2" t="s">
        <v>20</v>
      </c>
      <c r="D710" s="3">
        <v>37119</v>
      </c>
      <c r="E710" s="3">
        <v>46250</v>
      </c>
      <c r="F710" s="2" t="s">
        <v>47</v>
      </c>
      <c r="G710" s="2" t="s">
        <v>90</v>
      </c>
      <c r="H710" s="2" t="s">
        <v>23</v>
      </c>
      <c r="I710" s="2" t="s">
        <v>24</v>
      </c>
      <c r="J710" s="4">
        <v>16440000</v>
      </c>
      <c r="K710" s="2">
        <v>4</v>
      </c>
      <c r="L710" s="2">
        <v>3</v>
      </c>
      <c r="M710" s="2">
        <v>18</v>
      </c>
      <c r="N710" s="2" t="s">
        <v>41</v>
      </c>
      <c r="O710" s="2" t="s">
        <v>26</v>
      </c>
      <c r="P710" s="2" t="s">
        <v>36</v>
      </c>
      <c r="Q710" s="3"/>
      <c r="R710" s="2"/>
    </row>
    <row r="711" spans="1:18" x14ac:dyDescent="0.3">
      <c r="A711" s="2" t="s">
        <v>1152</v>
      </c>
      <c r="B711" s="2" t="s">
        <v>124</v>
      </c>
      <c r="C711" s="2" t="s">
        <v>31</v>
      </c>
      <c r="D711" s="3">
        <v>35833</v>
      </c>
      <c r="E711" s="3">
        <v>46046</v>
      </c>
      <c r="F711" s="2" t="s">
        <v>56</v>
      </c>
      <c r="G711" s="2" t="s">
        <v>60</v>
      </c>
      <c r="H711" s="2" t="s">
        <v>33</v>
      </c>
      <c r="I711" s="2" t="s">
        <v>24</v>
      </c>
      <c r="J711" s="4">
        <v>5340000</v>
      </c>
      <c r="K711" s="2">
        <v>4</v>
      </c>
      <c r="L711" s="2">
        <v>3</v>
      </c>
      <c r="M711" s="2">
        <v>19</v>
      </c>
      <c r="N711" s="2" t="s">
        <v>25</v>
      </c>
      <c r="O711" s="2" t="s">
        <v>26</v>
      </c>
      <c r="P711" s="2" t="s">
        <v>36</v>
      </c>
      <c r="Q711" s="3"/>
      <c r="R711" s="2"/>
    </row>
    <row r="712" spans="1:18" x14ac:dyDescent="0.3">
      <c r="A712" s="2" t="s">
        <v>1153</v>
      </c>
      <c r="B712" s="2" t="s">
        <v>179</v>
      </c>
      <c r="C712" s="2" t="s">
        <v>31</v>
      </c>
      <c r="D712" s="3">
        <v>37594</v>
      </c>
      <c r="E712" s="3">
        <v>46239</v>
      </c>
      <c r="F712" s="2" t="s">
        <v>51</v>
      </c>
      <c r="G712" s="2" t="s">
        <v>52</v>
      </c>
      <c r="H712" s="2" t="s">
        <v>33</v>
      </c>
      <c r="I712" s="2" t="s">
        <v>24</v>
      </c>
      <c r="J712" s="4">
        <v>2750000</v>
      </c>
      <c r="K712" s="2">
        <v>5</v>
      </c>
      <c r="L712" s="2">
        <v>3</v>
      </c>
      <c r="M712" s="2">
        <v>3</v>
      </c>
      <c r="N712" s="2" t="s">
        <v>25</v>
      </c>
      <c r="O712" s="2" t="s">
        <v>26</v>
      </c>
      <c r="P712" s="2" t="s">
        <v>36</v>
      </c>
      <c r="Q712" s="3"/>
      <c r="R712" s="2"/>
    </row>
    <row r="713" spans="1:18" x14ac:dyDescent="0.3">
      <c r="A713" s="2" t="s">
        <v>1154</v>
      </c>
      <c r="B713" s="2" t="s">
        <v>271</v>
      </c>
      <c r="C713" s="2" t="s">
        <v>31</v>
      </c>
      <c r="D713" s="3">
        <v>31853</v>
      </c>
      <c r="E713" s="3">
        <v>44625</v>
      </c>
      <c r="F713" s="2" t="s">
        <v>47</v>
      </c>
      <c r="G713" s="2" t="s">
        <v>90</v>
      </c>
      <c r="H713" s="2" t="s">
        <v>68</v>
      </c>
      <c r="I713" s="2" t="s">
        <v>24</v>
      </c>
      <c r="J713" s="4">
        <v>8790000</v>
      </c>
      <c r="K713" s="2">
        <v>4</v>
      </c>
      <c r="L713" s="2">
        <v>3</v>
      </c>
      <c r="M713" s="2">
        <v>19</v>
      </c>
      <c r="N713" s="2" t="s">
        <v>25</v>
      </c>
      <c r="O713" s="2" t="s">
        <v>35</v>
      </c>
      <c r="P713" s="2" t="s">
        <v>27</v>
      </c>
      <c r="Q713" s="3">
        <v>45898</v>
      </c>
      <c r="R713" s="2" t="s">
        <v>28</v>
      </c>
    </row>
    <row r="714" spans="1:18" x14ac:dyDescent="0.3">
      <c r="A714" s="2" t="s">
        <v>1155</v>
      </c>
      <c r="B714" s="2" t="s">
        <v>1156</v>
      </c>
      <c r="C714" s="2" t="s">
        <v>31</v>
      </c>
      <c r="D714" s="3">
        <v>33958</v>
      </c>
      <c r="E714" s="3">
        <v>45691</v>
      </c>
      <c r="F714" s="2" t="s">
        <v>51</v>
      </c>
      <c r="G714" s="2" t="s">
        <v>52</v>
      </c>
      <c r="H714" s="2" t="s">
        <v>23</v>
      </c>
      <c r="I714" s="2" t="s">
        <v>34</v>
      </c>
      <c r="J714" s="4">
        <v>9780000</v>
      </c>
      <c r="K714" s="2">
        <v>4</v>
      </c>
      <c r="L714" s="2">
        <v>3</v>
      </c>
      <c r="M714" s="2">
        <v>19</v>
      </c>
      <c r="N714" s="2" t="s">
        <v>41</v>
      </c>
      <c r="O714" s="2"/>
      <c r="P714" s="2" t="s">
        <v>36</v>
      </c>
      <c r="Q714" s="3"/>
      <c r="R714" s="2"/>
    </row>
    <row r="715" spans="1:18" x14ac:dyDescent="0.3">
      <c r="A715" s="2" t="s">
        <v>1157</v>
      </c>
      <c r="B715" s="2" t="s">
        <v>503</v>
      </c>
      <c r="C715" s="2" t="s">
        <v>31</v>
      </c>
      <c r="D715" s="3">
        <v>35510</v>
      </c>
      <c r="E715" s="3">
        <v>43244</v>
      </c>
      <c r="F715" s="2" t="s">
        <v>56</v>
      </c>
      <c r="G715" s="2" t="s">
        <v>142</v>
      </c>
      <c r="H715" s="2" t="s">
        <v>33</v>
      </c>
      <c r="I715" s="2" t="s">
        <v>24</v>
      </c>
      <c r="J715" s="4">
        <v>3580000</v>
      </c>
      <c r="K715" s="2">
        <v>5</v>
      </c>
      <c r="L715" s="2">
        <v>5</v>
      </c>
      <c r="M715" s="2">
        <v>26</v>
      </c>
      <c r="N715" s="2" t="s">
        <v>41</v>
      </c>
      <c r="O715" s="2" t="s">
        <v>53</v>
      </c>
      <c r="P715" s="2" t="s">
        <v>36</v>
      </c>
      <c r="Q715" s="3"/>
      <c r="R715" s="2"/>
    </row>
    <row r="716" spans="1:18" x14ac:dyDescent="0.3">
      <c r="A716" s="2" t="s">
        <v>1158</v>
      </c>
      <c r="B716" s="2" t="s">
        <v>738</v>
      </c>
      <c r="C716" s="2" t="s">
        <v>31</v>
      </c>
      <c r="D716" s="3">
        <v>33405</v>
      </c>
      <c r="E716" s="3">
        <v>43438</v>
      </c>
      <c r="F716" s="2" t="s">
        <v>51</v>
      </c>
      <c r="G716" s="2" t="s">
        <v>52</v>
      </c>
      <c r="H716" s="2" t="s">
        <v>33</v>
      </c>
      <c r="I716" s="2" t="s">
        <v>206</v>
      </c>
      <c r="J716" s="4">
        <v>3510000</v>
      </c>
      <c r="K716" s="2">
        <v>4</v>
      </c>
      <c r="L716" s="2">
        <v>3</v>
      </c>
      <c r="M716" s="2">
        <v>15</v>
      </c>
      <c r="N716" s="2" t="s">
        <v>88</v>
      </c>
      <c r="O716" s="2" t="s">
        <v>26</v>
      </c>
      <c r="P716" s="2" t="s">
        <v>36</v>
      </c>
      <c r="Q716" s="3"/>
      <c r="R716" s="2"/>
    </row>
    <row r="717" spans="1:18" x14ac:dyDescent="0.3">
      <c r="A717" s="2" t="s">
        <v>1159</v>
      </c>
      <c r="B717" s="2" t="s">
        <v>713</v>
      </c>
      <c r="C717" s="2" t="s">
        <v>20</v>
      </c>
      <c r="D717" s="3">
        <v>38986</v>
      </c>
      <c r="E717" s="3">
        <v>46270</v>
      </c>
      <c r="F717" s="2" t="s">
        <v>995</v>
      </c>
      <c r="G717" s="2" t="s">
        <v>150</v>
      </c>
      <c r="H717" s="2" t="s">
        <v>68</v>
      </c>
      <c r="I717" s="2" t="s">
        <v>24</v>
      </c>
      <c r="J717" s="4">
        <v>7160000</v>
      </c>
      <c r="K717" s="2">
        <v>3</v>
      </c>
      <c r="L717" s="2">
        <v>3</v>
      </c>
      <c r="M717" s="2">
        <v>15</v>
      </c>
      <c r="N717" s="2" t="s">
        <v>41</v>
      </c>
      <c r="O717" s="2" t="s">
        <v>35</v>
      </c>
      <c r="P717" s="2" t="s">
        <v>36</v>
      </c>
      <c r="Q717" s="3"/>
      <c r="R717" s="2"/>
    </row>
    <row r="718" spans="1:18" x14ac:dyDescent="0.3">
      <c r="A718" s="2" t="s">
        <v>1160</v>
      </c>
      <c r="B718" s="2" t="s">
        <v>541</v>
      </c>
      <c r="C718" s="2" t="s">
        <v>31</v>
      </c>
      <c r="D718" s="3">
        <v>35316</v>
      </c>
      <c r="E718" s="3">
        <v>45092</v>
      </c>
      <c r="F718" s="2" t="s">
        <v>114</v>
      </c>
      <c r="G718" s="2" t="s">
        <v>196</v>
      </c>
      <c r="H718" s="2" t="s">
        <v>23</v>
      </c>
      <c r="I718" s="2" t="s">
        <v>24</v>
      </c>
      <c r="J718" s="4">
        <v>9070000</v>
      </c>
      <c r="K718" s="2">
        <v>4</v>
      </c>
      <c r="L718" s="2">
        <v>5</v>
      </c>
      <c r="M718" s="2">
        <v>6</v>
      </c>
      <c r="N718" s="2" t="s">
        <v>25</v>
      </c>
      <c r="O718" s="2" t="s">
        <v>26</v>
      </c>
      <c r="P718" s="2" t="s">
        <v>36</v>
      </c>
      <c r="Q718" s="3"/>
      <c r="R718" s="2"/>
    </row>
    <row r="719" spans="1:18" x14ac:dyDescent="0.3">
      <c r="A719" s="2" t="s">
        <v>1161</v>
      </c>
      <c r="B719" s="2" t="s">
        <v>95</v>
      </c>
      <c r="C719" s="2" t="s">
        <v>20</v>
      </c>
      <c r="D719" s="3">
        <v>34207</v>
      </c>
      <c r="E719" s="3">
        <v>45093</v>
      </c>
      <c r="F719" s="2" t="s">
        <v>64</v>
      </c>
      <c r="G719" s="2" t="s">
        <v>65</v>
      </c>
      <c r="H719" s="2" t="s">
        <v>33</v>
      </c>
      <c r="I719" s="2" t="s">
        <v>24</v>
      </c>
      <c r="J719" s="4">
        <v>4320000</v>
      </c>
      <c r="K719" s="2">
        <v>3</v>
      </c>
      <c r="L719" s="2">
        <v>3</v>
      </c>
      <c r="M719" s="2">
        <v>19</v>
      </c>
      <c r="N719" s="2" t="s">
        <v>88</v>
      </c>
      <c r="O719" s="2"/>
      <c r="P719" s="2" t="s">
        <v>36</v>
      </c>
      <c r="Q719" s="3"/>
      <c r="R719" s="2"/>
    </row>
    <row r="720" spans="1:18" x14ac:dyDescent="0.3">
      <c r="A720" s="2" t="s">
        <v>1162</v>
      </c>
      <c r="B720" s="2" t="s">
        <v>526</v>
      </c>
      <c r="C720" s="2" t="s">
        <v>20</v>
      </c>
      <c r="D720" s="3">
        <v>36233</v>
      </c>
      <c r="E720" s="3">
        <v>45569</v>
      </c>
      <c r="F720" s="2" t="s">
        <v>51</v>
      </c>
      <c r="G720" s="2" t="s">
        <v>52</v>
      </c>
      <c r="H720" s="2" t="s">
        <v>33</v>
      </c>
      <c r="I720" s="2" t="s">
        <v>34</v>
      </c>
      <c r="J720" s="4">
        <v>3380000</v>
      </c>
      <c r="K720" s="2">
        <v>3</v>
      </c>
      <c r="L720" s="2">
        <v>4</v>
      </c>
      <c r="M720" s="2">
        <v>32</v>
      </c>
      <c r="N720" s="2" t="s">
        <v>88</v>
      </c>
      <c r="O720" s="2" t="s">
        <v>26</v>
      </c>
      <c r="P720" s="2" t="s">
        <v>36</v>
      </c>
      <c r="Q720" s="3"/>
      <c r="R720" s="2"/>
    </row>
    <row r="721" spans="1:18" x14ac:dyDescent="0.3">
      <c r="A721" s="2" t="s">
        <v>1163</v>
      </c>
      <c r="B721" s="2" t="s">
        <v>269</v>
      </c>
      <c r="C721" s="2" t="s">
        <v>20</v>
      </c>
      <c r="D721" s="3">
        <v>35056</v>
      </c>
      <c r="E721" s="3">
        <v>43506</v>
      </c>
      <c r="F721" s="2" t="s">
        <v>39</v>
      </c>
      <c r="G721" s="2" t="s">
        <v>40</v>
      </c>
      <c r="H721" s="2" t="s">
        <v>23</v>
      </c>
      <c r="I721" s="2" t="s">
        <v>24</v>
      </c>
      <c r="J721" s="4">
        <v>9790000</v>
      </c>
      <c r="K721" s="2">
        <v>4</v>
      </c>
      <c r="L721" s="2">
        <v>5</v>
      </c>
      <c r="M721" s="2">
        <v>6</v>
      </c>
      <c r="N721" s="2" t="s">
        <v>41</v>
      </c>
      <c r="O721" s="2" t="s">
        <v>53</v>
      </c>
      <c r="P721" s="2" t="s">
        <v>36</v>
      </c>
      <c r="Q721" s="3"/>
      <c r="R721" s="2"/>
    </row>
    <row r="722" spans="1:18" x14ac:dyDescent="0.3">
      <c r="A722" s="2" t="s">
        <v>1164</v>
      </c>
      <c r="B722" s="2" t="s">
        <v>563</v>
      </c>
      <c r="C722" s="2" t="s">
        <v>31</v>
      </c>
      <c r="D722" s="3">
        <v>37147</v>
      </c>
      <c r="E722" s="3">
        <v>45676</v>
      </c>
      <c r="F722" s="2" t="s">
        <v>114</v>
      </c>
      <c r="G722" s="2" t="s">
        <v>196</v>
      </c>
      <c r="H722" s="2" t="s">
        <v>33</v>
      </c>
      <c r="I722" s="2" t="s">
        <v>96</v>
      </c>
      <c r="J722" s="4">
        <v>3830000</v>
      </c>
      <c r="K722" s="2">
        <v>5</v>
      </c>
      <c r="L722" s="2">
        <v>4</v>
      </c>
      <c r="M722" s="2">
        <v>33</v>
      </c>
      <c r="N722" s="2" t="s">
        <v>25</v>
      </c>
      <c r="O722" s="2" t="s">
        <v>26</v>
      </c>
      <c r="P722" s="2" t="s">
        <v>27</v>
      </c>
      <c r="Q722" s="3">
        <v>46265</v>
      </c>
      <c r="R722" s="2" t="s">
        <v>155</v>
      </c>
    </row>
    <row r="723" spans="1:18" x14ac:dyDescent="0.3">
      <c r="A723" s="2" t="s">
        <v>1165</v>
      </c>
      <c r="B723" s="2" t="s">
        <v>1166</v>
      </c>
      <c r="C723" s="2" t="s">
        <v>20</v>
      </c>
      <c r="D723" s="3">
        <v>34390</v>
      </c>
      <c r="E723" s="3">
        <v>43778</v>
      </c>
      <c r="F723" s="2" t="s">
        <v>64</v>
      </c>
      <c r="G723" s="2" t="s">
        <v>79</v>
      </c>
      <c r="H723" s="2" t="s">
        <v>33</v>
      </c>
      <c r="I723" s="2" t="s">
        <v>24</v>
      </c>
      <c r="J723" s="4">
        <v>4800000</v>
      </c>
      <c r="K723" s="2">
        <v>3</v>
      </c>
      <c r="L723" s="2">
        <v>2</v>
      </c>
      <c r="M723" s="2">
        <v>30</v>
      </c>
      <c r="N723" s="2" t="s">
        <v>41</v>
      </c>
      <c r="O723" s="2" t="s">
        <v>35</v>
      </c>
      <c r="P723" s="2" t="s">
        <v>27</v>
      </c>
      <c r="Q723" s="3">
        <v>45916</v>
      </c>
      <c r="R723" s="2" t="s">
        <v>111</v>
      </c>
    </row>
    <row r="724" spans="1:18" x14ac:dyDescent="0.3">
      <c r="A724" s="2" t="s">
        <v>1167</v>
      </c>
      <c r="B724" s="2" t="s">
        <v>328</v>
      </c>
      <c r="C724" s="2" t="s">
        <v>20</v>
      </c>
      <c r="D724" s="3">
        <v>34823</v>
      </c>
      <c r="E724" s="3">
        <v>46227</v>
      </c>
      <c r="F724" s="2" t="s">
        <v>21</v>
      </c>
      <c r="G724" s="2" t="s">
        <v>32</v>
      </c>
      <c r="H724" s="2" t="s">
        <v>68</v>
      </c>
      <c r="I724" s="2" t="s">
        <v>206</v>
      </c>
      <c r="J724" s="4">
        <v>9860000</v>
      </c>
      <c r="K724" s="2"/>
      <c r="L724" s="2">
        <v>1</v>
      </c>
      <c r="M724" s="2">
        <v>11</v>
      </c>
      <c r="N724" s="2" t="s">
        <v>25</v>
      </c>
      <c r="O724" s="2" t="s">
        <v>35</v>
      </c>
      <c r="P724" s="2" t="s">
        <v>27</v>
      </c>
      <c r="Q724" s="3">
        <v>46290</v>
      </c>
      <c r="R724" s="2" t="s">
        <v>155</v>
      </c>
    </row>
    <row r="725" spans="1:18" x14ac:dyDescent="0.3">
      <c r="A725" s="2" t="s">
        <v>1168</v>
      </c>
      <c r="B725" s="2" t="s">
        <v>190</v>
      </c>
      <c r="C725" s="2" t="s">
        <v>31</v>
      </c>
      <c r="D725" s="3">
        <v>34366</v>
      </c>
      <c r="E725" s="3">
        <v>45484</v>
      </c>
      <c r="F725" s="2" t="s">
        <v>47</v>
      </c>
      <c r="G725" s="2" t="s">
        <v>127</v>
      </c>
      <c r="H725" s="2" t="s">
        <v>23</v>
      </c>
      <c r="I725" s="2" t="s">
        <v>24</v>
      </c>
      <c r="J725" s="4">
        <v>12000000</v>
      </c>
      <c r="K725" s="2">
        <v>4</v>
      </c>
      <c r="L725" s="2">
        <v>4</v>
      </c>
      <c r="M725" s="2">
        <v>19</v>
      </c>
      <c r="N725" s="2" t="s">
        <v>41</v>
      </c>
      <c r="O725" s="2" t="s">
        <v>35</v>
      </c>
      <c r="P725" s="2" t="s">
        <v>36</v>
      </c>
      <c r="Q725" s="3"/>
      <c r="R725" s="2"/>
    </row>
    <row r="726" spans="1:18" x14ac:dyDescent="0.3">
      <c r="A726" s="2" t="s">
        <v>1169</v>
      </c>
      <c r="B726" s="2" t="s">
        <v>254</v>
      </c>
      <c r="C726" s="2" t="s">
        <v>31</v>
      </c>
      <c r="D726" s="3">
        <v>32982</v>
      </c>
      <c r="E726" s="3">
        <v>46263</v>
      </c>
      <c r="F726" s="2" t="s">
        <v>64</v>
      </c>
      <c r="G726" s="2" t="s">
        <v>65</v>
      </c>
      <c r="H726" s="2" t="s">
        <v>68</v>
      </c>
      <c r="I726" s="2" t="s">
        <v>24</v>
      </c>
      <c r="J726" s="4">
        <v>7960000</v>
      </c>
      <c r="K726" s="2">
        <v>3</v>
      </c>
      <c r="L726" s="2">
        <v>2</v>
      </c>
      <c r="M726" s="2">
        <v>22</v>
      </c>
      <c r="N726" s="2" t="s">
        <v>41</v>
      </c>
      <c r="O726" s="2" t="s">
        <v>35</v>
      </c>
      <c r="P726" s="2" t="s">
        <v>36</v>
      </c>
      <c r="Q726" s="3"/>
      <c r="R726" s="2"/>
    </row>
    <row r="727" spans="1:18" x14ac:dyDescent="0.3">
      <c r="A727" s="2" t="s">
        <v>1170</v>
      </c>
      <c r="B727" s="2" t="s">
        <v>1171</v>
      </c>
      <c r="C727" s="2" t="s">
        <v>31</v>
      </c>
      <c r="D727" s="3">
        <v>37489</v>
      </c>
      <c r="E727" s="3">
        <v>46142</v>
      </c>
      <c r="F727" s="2" t="s">
        <v>64</v>
      </c>
      <c r="G727" s="2" t="s">
        <v>65</v>
      </c>
      <c r="H727" s="2" t="s">
        <v>33</v>
      </c>
      <c r="I727" s="2" t="s">
        <v>104</v>
      </c>
      <c r="J727" s="4">
        <v>43500000</v>
      </c>
      <c r="K727" s="2">
        <v>1</v>
      </c>
      <c r="L727" s="2">
        <v>2</v>
      </c>
      <c r="M727" s="2">
        <v>25</v>
      </c>
      <c r="N727" s="2" t="s">
        <v>25</v>
      </c>
      <c r="O727" s="2" t="s">
        <v>35</v>
      </c>
      <c r="P727" s="2" t="s">
        <v>27</v>
      </c>
      <c r="Q727" s="3">
        <v>46276</v>
      </c>
      <c r="R727" s="2" t="s">
        <v>61</v>
      </c>
    </row>
    <row r="728" spans="1:18" x14ac:dyDescent="0.3">
      <c r="A728" s="2" t="s">
        <v>1172</v>
      </c>
      <c r="B728" s="2" t="s">
        <v>1173</v>
      </c>
      <c r="C728" s="2" t="s">
        <v>31</v>
      </c>
      <c r="D728" s="3">
        <v>33843</v>
      </c>
      <c r="E728" s="3">
        <v>45326</v>
      </c>
      <c r="F728" s="2" t="s">
        <v>64</v>
      </c>
      <c r="G728" s="2" t="s">
        <v>73</v>
      </c>
      <c r="H728" s="2" t="s">
        <v>33</v>
      </c>
      <c r="I728" s="2" t="s">
        <v>82</v>
      </c>
      <c r="J728" s="4">
        <v>3480000</v>
      </c>
      <c r="K728" s="2">
        <v>4</v>
      </c>
      <c r="L728" s="2">
        <v>4</v>
      </c>
      <c r="M728" s="2">
        <v>27</v>
      </c>
      <c r="N728" s="2" t="s">
        <v>41</v>
      </c>
      <c r="O728" s="2" t="s">
        <v>35</v>
      </c>
      <c r="P728" s="2" t="s">
        <v>36</v>
      </c>
      <c r="Q728" s="3"/>
      <c r="R728" s="2"/>
    </row>
    <row r="729" spans="1:18" x14ac:dyDescent="0.3">
      <c r="A729" s="2" t="s">
        <v>1174</v>
      </c>
      <c r="B729" s="2" t="s">
        <v>388</v>
      </c>
      <c r="C729" s="2" t="s">
        <v>20</v>
      </c>
      <c r="D729" s="3">
        <v>31155</v>
      </c>
      <c r="E729" s="3">
        <v>46014</v>
      </c>
      <c r="F729" s="2" t="s">
        <v>51</v>
      </c>
      <c r="G729" s="2" t="s">
        <v>93</v>
      </c>
      <c r="H729" s="2" t="s">
        <v>23</v>
      </c>
      <c r="I729" s="2" t="s">
        <v>24</v>
      </c>
      <c r="J729" s="4">
        <v>11490000</v>
      </c>
      <c r="K729" s="2">
        <v>3</v>
      </c>
      <c r="L729" s="2">
        <v>4</v>
      </c>
      <c r="M729" s="2">
        <v>24</v>
      </c>
      <c r="N729" s="2" t="s">
        <v>41</v>
      </c>
      <c r="O729" s="2" t="s">
        <v>26</v>
      </c>
      <c r="P729" s="2" t="s">
        <v>27</v>
      </c>
      <c r="Q729" s="3">
        <v>46181</v>
      </c>
      <c r="R729" s="2" t="s">
        <v>235</v>
      </c>
    </row>
    <row r="730" spans="1:18" x14ac:dyDescent="0.3">
      <c r="A730" s="2" t="s">
        <v>1175</v>
      </c>
      <c r="B730" s="2" t="s">
        <v>273</v>
      </c>
      <c r="C730" s="2" t="s">
        <v>20</v>
      </c>
      <c r="D730" s="3">
        <v>37220</v>
      </c>
      <c r="E730" s="3">
        <v>46022</v>
      </c>
      <c r="F730" s="2" t="s">
        <v>64</v>
      </c>
      <c r="G730" s="2" t="s">
        <v>79</v>
      </c>
      <c r="H730" s="2" t="s">
        <v>23</v>
      </c>
      <c r="I730" s="2" t="s">
        <v>44</v>
      </c>
      <c r="J730" s="4">
        <v>11790000</v>
      </c>
      <c r="K730" s="2">
        <v>2</v>
      </c>
      <c r="L730" s="2">
        <v>3</v>
      </c>
      <c r="M730" s="2">
        <v>29</v>
      </c>
      <c r="N730" s="2" t="s">
        <v>25</v>
      </c>
      <c r="O730" s="2" t="s">
        <v>26</v>
      </c>
      <c r="P730" s="2" t="s">
        <v>36</v>
      </c>
      <c r="Q730" s="3"/>
      <c r="R730" s="2"/>
    </row>
    <row r="731" spans="1:18" x14ac:dyDescent="0.3">
      <c r="A731" s="2" t="s">
        <v>1176</v>
      </c>
      <c r="B731" s="2" t="s">
        <v>558</v>
      </c>
      <c r="C731" s="2" t="s">
        <v>20</v>
      </c>
      <c r="D731" s="3">
        <v>30226</v>
      </c>
      <c r="E731" s="3">
        <v>46256</v>
      </c>
      <c r="F731" s="2" t="s">
        <v>51</v>
      </c>
      <c r="G731" s="2" t="s">
        <v>93</v>
      </c>
      <c r="H731" s="2" t="s">
        <v>23</v>
      </c>
      <c r="I731" s="2" t="s">
        <v>24</v>
      </c>
      <c r="J731" s="4">
        <v>11610000</v>
      </c>
      <c r="K731" s="2">
        <v>3</v>
      </c>
      <c r="L731" s="2">
        <v>4</v>
      </c>
      <c r="M731" s="2">
        <v>8</v>
      </c>
      <c r="N731" s="2" t="s">
        <v>41</v>
      </c>
      <c r="O731" s="2" t="s">
        <v>26</v>
      </c>
      <c r="P731" s="2" t="s">
        <v>36</v>
      </c>
      <c r="Q731" s="3"/>
      <c r="R731" s="2"/>
    </row>
    <row r="732" spans="1:18" x14ac:dyDescent="0.3">
      <c r="A732" s="2" t="s">
        <v>1177</v>
      </c>
      <c r="B732" s="2" t="s">
        <v>619</v>
      </c>
      <c r="C732" s="2" t="s">
        <v>20</v>
      </c>
      <c r="D732" s="3">
        <v>34821</v>
      </c>
      <c r="E732" s="3">
        <v>44852</v>
      </c>
      <c r="F732" s="2" t="s">
        <v>51</v>
      </c>
      <c r="G732" s="2" t="s">
        <v>52</v>
      </c>
      <c r="H732" s="2" t="s">
        <v>68</v>
      </c>
      <c r="I732" s="2" t="s">
        <v>24</v>
      </c>
      <c r="J732" s="4">
        <v>4570000</v>
      </c>
      <c r="K732" s="2">
        <v>3</v>
      </c>
      <c r="L732" s="2">
        <v>4</v>
      </c>
      <c r="M732" s="2">
        <v>22</v>
      </c>
      <c r="N732" s="2" t="s">
        <v>41</v>
      </c>
      <c r="O732" s="2" t="s">
        <v>53</v>
      </c>
      <c r="P732" s="2" t="s">
        <v>36</v>
      </c>
      <c r="Q732" s="3"/>
      <c r="R732" s="2"/>
    </row>
    <row r="733" spans="1:18" x14ac:dyDescent="0.3">
      <c r="A733" s="2" t="s">
        <v>1178</v>
      </c>
      <c r="B733" s="2" t="s">
        <v>896</v>
      </c>
      <c r="C733" s="2" t="s">
        <v>31</v>
      </c>
      <c r="D733" s="3">
        <v>34279</v>
      </c>
      <c r="E733" s="3">
        <v>45466</v>
      </c>
      <c r="F733" s="2" t="s">
        <v>39</v>
      </c>
      <c r="G733" s="2" t="s">
        <v>40</v>
      </c>
      <c r="H733" s="2" t="s">
        <v>33</v>
      </c>
      <c r="I733" s="2" t="s">
        <v>82</v>
      </c>
      <c r="J733" s="4">
        <v>4700000</v>
      </c>
      <c r="K733" s="2">
        <v>4</v>
      </c>
      <c r="L733" s="2">
        <v>3</v>
      </c>
      <c r="M733" s="2">
        <v>15</v>
      </c>
      <c r="N733" s="2" t="s">
        <v>41</v>
      </c>
      <c r="O733" s="2" t="s">
        <v>26</v>
      </c>
      <c r="P733" s="2" t="s">
        <v>36</v>
      </c>
      <c r="Q733" s="3"/>
      <c r="R733" s="2"/>
    </row>
    <row r="734" spans="1:18" x14ac:dyDescent="0.3">
      <c r="A734" s="2" t="s">
        <v>1179</v>
      </c>
      <c r="B734" s="2" t="s">
        <v>1180</v>
      </c>
      <c r="C734" s="2" t="s">
        <v>31</v>
      </c>
      <c r="D734" s="3">
        <v>31422</v>
      </c>
      <c r="E734" s="3">
        <v>44578</v>
      </c>
      <c r="F734" s="2" t="s">
        <v>51</v>
      </c>
      <c r="G734" s="2" t="s">
        <v>93</v>
      </c>
      <c r="H734" s="2" t="s">
        <v>68</v>
      </c>
      <c r="I734" s="2" t="s">
        <v>24</v>
      </c>
      <c r="J734" s="4">
        <v>6290000</v>
      </c>
      <c r="K734" s="2">
        <v>3</v>
      </c>
      <c r="L734" s="2">
        <v>5</v>
      </c>
      <c r="M734" s="2">
        <v>28</v>
      </c>
      <c r="N734" s="2" t="s">
        <v>41</v>
      </c>
      <c r="O734" s="2" t="s">
        <v>35</v>
      </c>
      <c r="P734" s="2" t="s">
        <v>36</v>
      </c>
      <c r="Q734" s="3"/>
      <c r="R734" s="2"/>
    </row>
    <row r="735" spans="1:18" x14ac:dyDescent="0.3">
      <c r="A735" s="2" t="s">
        <v>1181</v>
      </c>
      <c r="B735" s="2" t="s">
        <v>336</v>
      </c>
      <c r="C735" s="2" t="s">
        <v>20</v>
      </c>
      <c r="D735" s="3">
        <v>34005</v>
      </c>
      <c r="E735" s="3">
        <v>45348</v>
      </c>
      <c r="F735" s="2" t="s">
        <v>21</v>
      </c>
      <c r="G735" s="2" t="s">
        <v>22</v>
      </c>
      <c r="H735" s="2" t="s">
        <v>68</v>
      </c>
      <c r="I735" s="2" t="s">
        <v>24</v>
      </c>
      <c r="J735" s="4">
        <v>11320000</v>
      </c>
      <c r="K735" s="2">
        <v>4</v>
      </c>
      <c r="L735" s="2">
        <v>2</v>
      </c>
      <c r="M735" s="2">
        <v>14</v>
      </c>
      <c r="N735" s="2" t="s">
        <v>41</v>
      </c>
      <c r="O735" s="2" t="s">
        <v>35</v>
      </c>
      <c r="P735" s="2" t="s">
        <v>27</v>
      </c>
      <c r="Q735" s="3">
        <v>45818</v>
      </c>
      <c r="R735" s="2" t="s">
        <v>61</v>
      </c>
    </row>
    <row r="736" spans="1:18" x14ac:dyDescent="0.3">
      <c r="A736" s="2" t="s">
        <v>1182</v>
      </c>
      <c r="B736" s="2" t="s">
        <v>725</v>
      </c>
      <c r="C736" s="2" t="s">
        <v>20</v>
      </c>
      <c r="D736" s="3">
        <v>36092</v>
      </c>
      <c r="E736" s="3">
        <v>45931</v>
      </c>
      <c r="F736" s="2" t="s">
        <v>51</v>
      </c>
      <c r="G736" s="2" t="s">
        <v>93</v>
      </c>
      <c r="H736" s="2" t="s">
        <v>68</v>
      </c>
      <c r="I736" s="2" t="s">
        <v>24</v>
      </c>
      <c r="J736" s="4">
        <v>5150000</v>
      </c>
      <c r="K736" s="2">
        <v>3</v>
      </c>
      <c r="L736" s="2">
        <v>1</v>
      </c>
      <c r="M736" s="2">
        <v>7</v>
      </c>
      <c r="N736" s="2" t="s">
        <v>25</v>
      </c>
      <c r="O736" s="2" t="s">
        <v>26</v>
      </c>
      <c r="P736" s="2" t="s">
        <v>27</v>
      </c>
      <c r="Q736" s="3">
        <v>46102</v>
      </c>
      <c r="R736" s="2" t="s">
        <v>155</v>
      </c>
    </row>
    <row r="737" spans="1:18" x14ac:dyDescent="0.3">
      <c r="A737" s="2" t="s">
        <v>1183</v>
      </c>
      <c r="B737" s="2" t="s">
        <v>362</v>
      </c>
      <c r="C737" s="2" t="s">
        <v>20</v>
      </c>
      <c r="D737" s="3">
        <v>30374</v>
      </c>
      <c r="E737" s="3">
        <v>43002</v>
      </c>
      <c r="F737" s="2" t="s">
        <v>64</v>
      </c>
      <c r="G737" s="2" t="s">
        <v>73</v>
      </c>
      <c r="H737" s="2" t="s">
        <v>68</v>
      </c>
      <c r="I737" s="2" t="s">
        <v>96</v>
      </c>
      <c r="J737" s="4">
        <v>6750000</v>
      </c>
      <c r="K737" s="2">
        <v>3</v>
      </c>
      <c r="L737" s="2">
        <v>4</v>
      </c>
      <c r="M737" s="2">
        <v>30</v>
      </c>
      <c r="N737" s="2" t="s">
        <v>25</v>
      </c>
      <c r="O737" s="2" t="s">
        <v>35</v>
      </c>
      <c r="P737" s="2" t="s">
        <v>36</v>
      </c>
      <c r="Q737" s="3"/>
      <c r="R737" s="2"/>
    </row>
    <row r="738" spans="1:18" x14ac:dyDescent="0.3">
      <c r="A738" s="2" t="s">
        <v>1184</v>
      </c>
      <c r="B738" s="2" t="s">
        <v>866</v>
      </c>
      <c r="C738" s="2" t="s">
        <v>31</v>
      </c>
      <c r="D738" s="3">
        <v>33690</v>
      </c>
      <c r="E738" s="3">
        <v>45077</v>
      </c>
      <c r="F738" s="2" t="s">
        <v>56</v>
      </c>
      <c r="G738" s="2" t="s">
        <v>57</v>
      </c>
      <c r="H738" s="2" t="s">
        <v>33</v>
      </c>
      <c r="I738" s="2" t="s">
        <v>44</v>
      </c>
      <c r="J738" s="4">
        <v>3990000</v>
      </c>
      <c r="K738" s="2">
        <v>4</v>
      </c>
      <c r="L738" s="2">
        <v>3</v>
      </c>
      <c r="M738" s="2">
        <v>0</v>
      </c>
      <c r="N738" s="2" t="s">
        <v>41</v>
      </c>
      <c r="O738" s="2" t="s">
        <v>26</v>
      </c>
      <c r="P738" s="2" t="s">
        <v>36</v>
      </c>
      <c r="Q738" s="3"/>
      <c r="R738" s="2"/>
    </row>
    <row r="739" spans="1:18" x14ac:dyDescent="0.3">
      <c r="A739" s="2" t="s">
        <v>1185</v>
      </c>
      <c r="B739" s="2" t="s">
        <v>941</v>
      </c>
      <c r="C739" s="2" t="s">
        <v>31</v>
      </c>
      <c r="D739" s="3">
        <v>34624</v>
      </c>
      <c r="E739" s="3">
        <v>44356</v>
      </c>
      <c r="F739" s="2" t="s">
        <v>51</v>
      </c>
      <c r="G739" s="2" t="s">
        <v>52</v>
      </c>
      <c r="H739" s="2" t="s">
        <v>68</v>
      </c>
      <c r="I739" s="2" t="s">
        <v>34</v>
      </c>
      <c r="J739" s="4">
        <v>4820000</v>
      </c>
      <c r="K739" s="2">
        <v>3</v>
      </c>
      <c r="L739" s="2">
        <v>4</v>
      </c>
      <c r="M739" s="2">
        <v>3</v>
      </c>
      <c r="N739" s="2" t="s">
        <v>41</v>
      </c>
      <c r="O739" s="2" t="s">
        <v>35</v>
      </c>
      <c r="P739" s="2" t="s">
        <v>36</v>
      </c>
      <c r="Q739" s="3"/>
      <c r="R739" s="2"/>
    </row>
    <row r="740" spans="1:18" x14ac:dyDescent="0.3">
      <c r="A740" s="2" t="s">
        <v>1185</v>
      </c>
      <c r="B740" s="2" t="s">
        <v>941</v>
      </c>
      <c r="C740" s="2" t="s">
        <v>31</v>
      </c>
      <c r="D740" s="3">
        <v>34624</v>
      </c>
      <c r="E740" s="3">
        <v>44356</v>
      </c>
      <c r="F740" s="2" t="s">
        <v>51</v>
      </c>
      <c r="G740" s="2" t="s">
        <v>52</v>
      </c>
      <c r="H740" s="2" t="s">
        <v>68</v>
      </c>
      <c r="I740" s="2" t="s">
        <v>34</v>
      </c>
      <c r="J740" s="4">
        <v>4820000</v>
      </c>
      <c r="K740" s="2">
        <v>3</v>
      </c>
      <c r="L740" s="2">
        <v>4</v>
      </c>
      <c r="M740" s="2">
        <v>3</v>
      </c>
      <c r="N740" s="2" t="s">
        <v>41</v>
      </c>
      <c r="O740" s="2" t="s">
        <v>35</v>
      </c>
      <c r="P740" s="2" t="s">
        <v>36</v>
      </c>
      <c r="Q740" s="3"/>
      <c r="R740" s="2"/>
    </row>
    <row r="741" spans="1:18" x14ac:dyDescent="0.3">
      <c r="A741" s="2" t="s">
        <v>1186</v>
      </c>
      <c r="B741" s="2" t="s">
        <v>279</v>
      </c>
      <c r="C741" s="2" t="s">
        <v>20</v>
      </c>
      <c r="D741" s="3">
        <v>37564</v>
      </c>
      <c r="E741" s="3">
        <v>45839</v>
      </c>
      <c r="F741" s="2" t="s">
        <v>51</v>
      </c>
      <c r="G741" s="2" t="s">
        <v>93</v>
      </c>
      <c r="H741" s="2" t="s">
        <v>68</v>
      </c>
      <c r="I741" s="2" t="s">
        <v>34</v>
      </c>
      <c r="J741" s="4">
        <v>5710000</v>
      </c>
      <c r="K741" s="2">
        <v>4</v>
      </c>
      <c r="L741" s="2">
        <v>3</v>
      </c>
      <c r="M741" s="2">
        <v>4</v>
      </c>
      <c r="N741" s="2" t="s">
        <v>25</v>
      </c>
      <c r="O741" s="2" t="s">
        <v>26</v>
      </c>
      <c r="P741" s="2" t="s">
        <v>27</v>
      </c>
      <c r="Q741" s="3">
        <v>46213</v>
      </c>
      <c r="R741" s="2" t="s">
        <v>155</v>
      </c>
    </row>
    <row r="742" spans="1:18" x14ac:dyDescent="0.3">
      <c r="A742" s="2" t="s">
        <v>1187</v>
      </c>
      <c r="B742" s="2" t="s">
        <v>169</v>
      </c>
      <c r="C742" s="2" t="s">
        <v>31</v>
      </c>
      <c r="D742" s="3">
        <v>34341</v>
      </c>
      <c r="E742" s="3">
        <v>44932</v>
      </c>
      <c r="F742" s="2" t="s">
        <v>51</v>
      </c>
      <c r="G742" s="2" t="s">
        <v>93</v>
      </c>
      <c r="H742" s="2" t="s">
        <v>68</v>
      </c>
      <c r="I742" s="2" t="s">
        <v>104</v>
      </c>
      <c r="J742" s="4">
        <v>7040000</v>
      </c>
      <c r="K742" s="2">
        <v>5</v>
      </c>
      <c r="L742" s="2">
        <v>3</v>
      </c>
      <c r="M742" s="2">
        <v>11</v>
      </c>
      <c r="N742" s="2" t="s">
        <v>41</v>
      </c>
      <c r="O742" s="2" t="s">
        <v>35</v>
      </c>
      <c r="P742" s="2" t="s">
        <v>36</v>
      </c>
      <c r="Q742" s="3"/>
      <c r="R742" s="2"/>
    </row>
    <row r="743" spans="1:18" x14ac:dyDescent="0.3">
      <c r="A743" s="2" t="s">
        <v>1188</v>
      </c>
      <c r="B743" s="2" t="s">
        <v>368</v>
      </c>
      <c r="C743" s="2" t="s">
        <v>31</v>
      </c>
      <c r="D743" s="3">
        <v>35682</v>
      </c>
      <c r="E743" s="3">
        <v>44067</v>
      </c>
      <c r="F743" s="2" t="s">
        <v>51</v>
      </c>
      <c r="G743" s="2" t="s">
        <v>52</v>
      </c>
      <c r="H743" s="2" t="s">
        <v>68</v>
      </c>
      <c r="I743" s="2" t="s">
        <v>24</v>
      </c>
      <c r="J743" s="4">
        <v>7010000</v>
      </c>
      <c r="K743" s="2">
        <v>5</v>
      </c>
      <c r="L743" s="2">
        <v>3</v>
      </c>
      <c r="M743" s="2">
        <v>10</v>
      </c>
      <c r="N743" s="2" t="s">
        <v>41</v>
      </c>
      <c r="O743" s="2" t="s">
        <v>26</v>
      </c>
      <c r="P743" s="2" t="s">
        <v>36</v>
      </c>
      <c r="Q743" s="3"/>
      <c r="R743" s="2"/>
    </row>
    <row r="744" spans="1:18" x14ac:dyDescent="0.3">
      <c r="A744" s="2" t="s">
        <v>1189</v>
      </c>
      <c r="B744" s="2" t="s">
        <v>453</v>
      </c>
      <c r="C744" s="2" t="s">
        <v>20</v>
      </c>
      <c r="D744" s="3">
        <v>32277</v>
      </c>
      <c r="E744" s="3">
        <v>43433</v>
      </c>
      <c r="F744" s="2" t="s">
        <v>64</v>
      </c>
      <c r="G744" s="2" t="s">
        <v>79</v>
      </c>
      <c r="H744" s="2" t="s">
        <v>68</v>
      </c>
      <c r="I744" s="2" t="s">
        <v>24</v>
      </c>
      <c r="J744" s="4">
        <v>6440000</v>
      </c>
      <c r="K744" s="2">
        <v>4</v>
      </c>
      <c r="L744" s="2">
        <v>4</v>
      </c>
      <c r="M744" s="2">
        <v>23</v>
      </c>
      <c r="N744" s="2" t="s">
        <v>41</v>
      </c>
      <c r="O744" s="2" t="s">
        <v>26</v>
      </c>
      <c r="P744" s="2" t="s">
        <v>36</v>
      </c>
      <c r="Q744" s="3"/>
      <c r="R744" s="2"/>
    </row>
    <row r="745" spans="1:18" x14ac:dyDescent="0.3">
      <c r="A745" s="2" t="s">
        <v>1190</v>
      </c>
      <c r="B745" s="2" t="s">
        <v>437</v>
      </c>
      <c r="C745" s="2" t="s">
        <v>20</v>
      </c>
      <c r="D745" s="3">
        <v>36028</v>
      </c>
      <c r="E745" s="3">
        <v>44592</v>
      </c>
      <c r="F745" s="2" t="s">
        <v>51</v>
      </c>
      <c r="G745" s="2" t="s">
        <v>93</v>
      </c>
      <c r="H745" s="2" t="s">
        <v>68</v>
      </c>
      <c r="I745" s="2" t="s">
        <v>24</v>
      </c>
      <c r="J745" s="4">
        <v>5230000</v>
      </c>
      <c r="K745" s="2">
        <v>5</v>
      </c>
      <c r="L745" s="2">
        <v>3</v>
      </c>
      <c r="M745" s="2">
        <v>17</v>
      </c>
      <c r="N745" s="2" t="s">
        <v>25</v>
      </c>
      <c r="O745" s="2" t="s">
        <v>26</v>
      </c>
      <c r="P745" s="2" t="s">
        <v>27</v>
      </c>
      <c r="Q745" s="3">
        <v>45771</v>
      </c>
      <c r="R745" s="2" t="s">
        <v>28</v>
      </c>
    </row>
    <row r="746" spans="1:18" x14ac:dyDescent="0.3">
      <c r="A746" s="2" t="s">
        <v>1191</v>
      </c>
      <c r="B746" s="2" t="s">
        <v>428</v>
      </c>
      <c r="C746" s="2" t="s">
        <v>31</v>
      </c>
      <c r="D746" s="3">
        <v>37737</v>
      </c>
      <c r="E746" s="3">
        <v>46059</v>
      </c>
      <c r="F746" s="2" t="s">
        <v>114</v>
      </c>
      <c r="G746" s="2" t="s">
        <v>150</v>
      </c>
      <c r="H746" s="2" t="s">
        <v>23</v>
      </c>
      <c r="I746" s="2" t="s">
        <v>206</v>
      </c>
      <c r="J746" s="4">
        <v>9530000</v>
      </c>
      <c r="K746" s="2">
        <v>4</v>
      </c>
      <c r="L746" s="2">
        <v>4</v>
      </c>
      <c r="M746" s="2">
        <v>17</v>
      </c>
      <c r="N746" s="2" t="s">
        <v>25</v>
      </c>
      <c r="O746" s="2" t="s">
        <v>26</v>
      </c>
      <c r="P746" s="2" t="s">
        <v>36</v>
      </c>
      <c r="Q746" s="3"/>
      <c r="R746" s="2"/>
    </row>
    <row r="747" spans="1:18" x14ac:dyDescent="0.3">
      <c r="A747" s="2" t="s">
        <v>1192</v>
      </c>
      <c r="B747" s="2" t="s">
        <v>225</v>
      </c>
      <c r="C747" s="2" t="s">
        <v>20</v>
      </c>
      <c r="D747" s="3">
        <v>35326</v>
      </c>
      <c r="E747" s="3">
        <v>45693</v>
      </c>
      <c r="F747" s="2" t="s">
        <v>64</v>
      </c>
      <c r="G747" s="2" t="s">
        <v>79</v>
      </c>
      <c r="H747" s="2" t="s">
        <v>33</v>
      </c>
      <c r="I747" s="2" t="s">
        <v>24</v>
      </c>
      <c r="J747" s="4">
        <v>3690000</v>
      </c>
      <c r="K747" s="2">
        <v>3</v>
      </c>
      <c r="L747" s="2">
        <v>3</v>
      </c>
      <c r="M747" s="2">
        <v>14</v>
      </c>
      <c r="N747" s="2" t="s">
        <v>41</v>
      </c>
      <c r="O747" s="2" t="s">
        <v>26</v>
      </c>
      <c r="P747" s="2" t="s">
        <v>36</v>
      </c>
      <c r="Q747" s="3"/>
      <c r="R747" s="2"/>
    </row>
    <row r="748" spans="1:18" x14ac:dyDescent="0.3">
      <c r="A748" s="2" t="s">
        <v>1193</v>
      </c>
      <c r="B748" s="2" t="s">
        <v>622</v>
      </c>
      <c r="C748" s="2" t="s">
        <v>31</v>
      </c>
      <c r="D748" s="3">
        <v>30714</v>
      </c>
      <c r="E748" s="3">
        <v>46227</v>
      </c>
      <c r="F748" s="2" t="s">
        <v>64</v>
      </c>
      <c r="G748" s="2" t="s">
        <v>79</v>
      </c>
      <c r="H748" s="2" t="s">
        <v>68</v>
      </c>
      <c r="I748" s="2" t="s">
        <v>24</v>
      </c>
      <c r="J748" s="4">
        <v>8050000</v>
      </c>
      <c r="K748" s="2">
        <v>2</v>
      </c>
      <c r="L748" s="2">
        <v>4</v>
      </c>
      <c r="M748" s="2">
        <v>28</v>
      </c>
      <c r="N748" s="2" t="s">
        <v>41</v>
      </c>
      <c r="O748" s="2" t="s">
        <v>35</v>
      </c>
      <c r="P748" s="2" t="s">
        <v>27</v>
      </c>
      <c r="Q748" s="3">
        <v>46287</v>
      </c>
      <c r="R748" s="2" t="s">
        <v>28</v>
      </c>
    </row>
    <row r="749" spans="1:18" x14ac:dyDescent="0.3">
      <c r="A749" s="2" t="s">
        <v>1194</v>
      </c>
      <c r="B749" s="2" t="s">
        <v>725</v>
      </c>
      <c r="C749" s="2" t="s">
        <v>20</v>
      </c>
      <c r="D749" s="3">
        <v>32785</v>
      </c>
      <c r="E749" s="3">
        <v>45306</v>
      </c>
      <c r="F749" s="2" t="s">
        <v>64</v>
      </c>
      <c r="G749" s="2" t="s">
        <v>65</v>
      </c>
      <c r="H749" s="2" t="s">
        <v>33</v>
      </c>
      <c r="I749" s="2" t="s">
        <v>34</v>
      </c>
      <c r="J749" s="4">
        <v>3260000</v>
      </c>
      <c r="K749" s="2">
        <v>3</v>
      </c>
      <c r="L749" s="2">
        <v>5</v>
      </c>
      <c r="M749" s="2">
        <v>14</v>
      </c>
      <c r="N749" s="2" t="s">
        <v>88</v>
      </c>
      <c r="O749" s="2" t="s">
        <v>35</v>
      </c>
      <c r="P749" s="2" t="s">
        <v>27</v>
      </c>
      <c r="Q749" s="3">
        <v>45678</v>
      </c>
      <c r="R749" s="2" t="s">
        <v>235</v>
      </c>
    </row>
    <row r="750" spans="1:18" x14ac:dyDescent="0.3">
      <c r="A750" s="2" t="s">
        <v>1195</v>
      </c>
      <c r="B750" s="2" t="s">
        <v>513</v>
      </c>
      <c r="C750" s="2" t="s">
        <v>20</v>
      </c>
      <c r="D750" s="3">
        <v>38855</v>
      </c>
      <c r="E750" s="3">
        <v>46249</v>
      </c>
      <c r="F750" s="2" t="s">
        <v>51</v>
      </c>
      <c r="G750" s="2" t="s">
        <v>52</v>
      </c>
      <c r="H750" s="2" t="s">
        <v>23</v>
      </c>
      <c r="I750" s="2" t="s">
        <v>24</v>
      </c>
      <c r="J750" s="4">
        <v>9150000</v>
      </c>
      <c r="K750" s="2">
        <v>3</v>
      </c>
      <c r="L750" s="2">
        <v>4</v>
      </c>
      <c r="M750" s="2">
        <v>30</v>
      </c>
      <c r="N750" s="2" t="s">
        <v>41</v>
      </c>
      <c r="O750" s="2" t="s">
        <v>26</v>
      </c>
      <c r="P750" s="2" t="s">
        <v>36</v>
      </c>
      <c r="Q750" s="3"/>
      <c r="R750" s="2"/>
    </row>
    <row r="751" spans="1:18" x14ac:dyDescent="0.3">
      <c r="A751" s="2" t="s">
        <v>1196</v>
      </c>
      <c r="B751" s="2" t="s">
        <v>1197</v>
      </c>
      <c r="C751" s="2" t="s">
        <v>31</v>
      </c>
      <c r="D751" s="3">
        <v>33149</v>
      </c>
      <c r="E751" s="3">
        <v>42802</v>
      </c>
      <c r="F751" s="2" t="s">
        <v>51</v>
      </c>
      <c r="G751" s="2" t="s">
        <v>52</v>
      </c>
      <c r="H751" s="2" t="s">
        <v>33</v>
      </c>
      <c r="I751" s="2" t="s">
        <v>34</v>
      </c>
      <c r="J751" s="4">
        <v>3630000</v>
      </c>
      <c r="K751" s="2">
        <v>3</v>
      </c>
      <c r="L751" s="2">
        <v>2</v>
      </c>
      <c r="M751" s="2">
        <v>17</v>
      </c>
      <c r="N751" s="2" t="s">
        <v>25</v>
      </c>
      <c r="O751" s="2" t="s">
        <v>26</v>
      </c>
      <c r="P751" s="2" t="s">
        <v>36</v>
      </c>
      <c r="Q751" s="3"/>
      <c r="R751" s="2"/>
    </row>
    <row r="752" spans="1:18" x14ac:dyDescent="0.3">
      <c r="A752" s="2" t="s">
        <v>1198</v>
      </c>
      <c r="B752" s="2" t="s">
        <v>373</v>
      </c>
      <c r="C752" s="2" t="s">
        <v>31</v>
      </c>
      <c r="D752" s="3">
        <v>34255</v>
      </c>
      <c r="E752" s="3">
        <v>46101</v>
      </c>
      <c r="F752" s="2" t="s">
        <v>39</v>
      </c>
      <c r="G752" s="2" t="s">
        <v>40</v>
      </c>
      <c r="H752" s="2" t="s">
        <v>23</v>
      </c>
      <c r="I752" s="2" t="s">
        <v>34</v>
      </c>
      <c r="J752" s="4">
        <v>14600000</v>
      </c>
      <c r="K752" s="2">
        <v>1</v>
      </c>
      <c r="L752" s="2">
        <v>4</v>
      </c>
      <c r="M752" s="2">
        <v>12</v>
      </c>
      <c r="N752" s="2" t="s">
        <v>88</v>
      </c>
      <c r="O752" s="2" t="s">
        <v>26</v>
      </c>
      <c r="P752" s="2" t="s">
        <v>36</v>
      </c>
      <c r="Q752" s="3"/>
      <c r="R752" s="2"/>
    </row>
    <row r="753" spans="1:18" x14ac:dyDescent="0.3">
      <c r="A753" s="2" t="s">
        <v>1199</v>
      </c>
      <c r="B753" s="2" t="s">
        <v>38</v>
      </c>
      <c r="C753" s="2" t="s">
        <v>31</v>
      </c>
      <c r="D753" s="3">
        <v>32727</v>
      </c>
      <c r="E753" s="3">
        <v>46094</v>
      </c>
      <c r="F753" s="2" t="s">
        <v>114</v>
      </c>
      <c r="G753" s="2" t="s">
        <v>150</v>
      </c>
      <c r="H753" s="2" t="s">
        <v>33</v>
      </c>
      <c r="I753" s="2" t="s">
        <v>34</v>
      </c>
      <c r="J753" s="4">
        <v>3240000</v>
      </c>
      <c r="K753" s="2">
        <v>3</v>
      </c>
      <c r="L753" s="2">
        <v>1</v>
      </c>
      <c r="M753" s="2">
        <v>13</v>
      </c>
      <c r="N753" s="2" t="s">
        <v>25</v>
      </c>
      <c r="O753" s="2" t="s">
        <v>26</v>
      </c>
      <c r="P753" s="2" t="s">
        <v>27</v>
      </c>
      <c r="Q753" s="3">
        <v>46181</v>
      </c>
      <c r="R753" s="2" t="s">
        <v>111</v>
      </c>
    </row>
    <row r="754" spans="1:18" x14ac:dyDescent="0.3">
      <c r="A754" s="2" t="s">
        <v>1200</v>
      </c>
      <c r="B754" s="2" t="s">
        <v>863</v>
      </c>
      <c r="C754" s="2" t="s">
        <v>20</v>
      </c>
      <c r="D754" s="3">
        <v>30963</v>
      </c>
      <c r="E754" s="3">
        <v>43529</v>
      </c>
      <c r="F754" s="2" t="s">
        <v>21</v>
      </c>
      <c r="G754" s="2" t="s">
        <v>32</v>
      </c>
      <c r="H754" s="2" t="s">
        <v>33</v>
      </c>
      <c r="I754" s="2" t="s">
        <v>34</v>
      </c>
      <c r="J754" s="4">
        <v>5960000</v>
      </c>
      <c r="K754" s="2">
        <v>4</v>
      </c>
      <c r="L754" s="2">
        <v>3</v>
      </c>
      <c r="M754" s="2">
        <v>15</v>
      </c>
      <c r="N754" s="2" t="s">
        <v>25</v>
      </c>
      <c r="O754" s="2" t="s">
        <v>35</v>
      </c>
      <c r="P754" s="2" t="s">
        <v>36</v>
      </c>
      <c r="Q754" s="3"/>
      <c r="R754" s="2"/>
    </row>
    <row r="755" spans="1:18" x14ac:dyDescent="0.3">
      <c r="A755" s="2" t="s">
        <v>1201</v>
      </c>
      <c r="B755" s="2" t="s">
        <v>697</v>
      </c>
      <c r="C755" s="2" t="s">
        <v>20</v>
      </c>
      <c r="D755" s="3">
        <v>36441</v>
      </c>
      <c r="E755" s="3">
        <v>44878</v>
      </c>
      <c r="F755" s="2" t="s">
        <v>21</v>
      </c>
      <c r="G755" s="2" t="s">
        <v>103</v>
      </c>
      <c r="H755" s="2" t="s">
        <v>68</v>
      </c>
      <c r="I755" s="2" t="s">
        <v>96</v>
      </c>
      <c r="J755" s="4">
        <v>8560000</v>
      </c>
      <c r="K755" s="2">
        <v>4</v>
      </c>
      <c r="L755" s="2">
        <v>2</v>
      </c>
      <c r="M755" s="2">
        <v>7</v>
      </c>
      <c r="N755" s="2" t="s">
        <v>25</v>
      </c>
      <c r="O755" s="2" t="s">
        <v>26</v>
      </c>
      <c r="P755" s="2" t="s">
        <v>36</v>
      </c>
      <c r="Q755" s="3"/>
      <c r="R755" s="2"/>
    </row>
    <row r="756" spans="1:18" x14ac:dyDescent="0.3">
      <c r="A756" s="2" t="s">
        <v>1202</v>
      </c>
      <c r="B756" s="2" t="s">
        <v>710</v>
      </c>
      <c r="C756" s="2" t="s">
        <v>20</v>
      </c>
      <c r="D756" s="3">
        <v>33427</v>
      </c>
      <c r="E756" s="3">
        <v>44695</v>
      </c>
      <c r="F756" s="2" t="s">
        <v>64</v>
      </c>
      <c r="G756" s="2" t="s">
        <v>65</v>
      </c>
      <c r="H756" s="2" t="s">
        <v>68</v>
      </c>
      <c r="I756" s="2" t="s">
        <v>24</v>
      </c>
      <c r="J756" s="4">
        <v>89000000</v>
      </c>
      <c r="K756" s="2"/>
      <c r="L756" s="2">
        <v>3</v>
      </c>
      <c r="M756" s="2">
        <v>10</v>
      </c>
      <c r="N756" s="2" t="s">
        <v>25</v>
      </c>
      <c r="O756" s="2" t="s">
        <v>26</v>
      </c>
      <c r="P756" s="2" t="s">
        <v>36</v>
      </c>
      <c r="Q756" s="3"/>
      <c r="R756" s="2"/>
    </row>
    <row r="757" spans="1:18" x14ac:dyDescent="0.3">
      <c r="A757" s="2" t="s">
        <v>1203</v>
      </c>
      <c r="B757" s="2" t="s">
        <v>1197</v>
      </c>
      <c r="C757" s="2" t="s">
        <v>31</v>
      </c>
      <c r="D757" s="3">
        <v>32524</v>
      </c>
      <c r="E757" s="3">
        <v>43581</v>
      </c>
      <c r="F757" s="2" t="s">
        <v>21</v>
      </c>
      <c r="G757" s="2" t="s">
        <v>103</v>
      </c>
      <c r="H757" s="2" t="s">
        <v>68</v>
      </c>
      <c r="I757" s="2" t="s">
        <v>34</v>
      </c>
      <c r="J757" s="4">
        <v>8800000</v>
      </c>
      <c r="K757" s="2">
        <v>4</v>
      </c>
      <c r="L757" s="2">
        <v>5</v>
      </c>
      <c r="M757" s="2">
        <v>3</v>
      </c>
      <c r="N757" s="2" t="s">
        <v>41</v>
      </c>
      <c r="O757" s="2" t="s">
        <v>35</v>
      </c>
      <c r="P757" s="2" t="s">
        <v>36</v>
      </c>
      <c r="Q757" s="3"/>
      <c r="R757" s="2"/>
    </row>
    <row r="758" spans="1:18" x14ac:dyDescent="0.3">
      <c r="A758" s="2" t="s">
        <v>1204</v>
      </c>
      <c r="B758" s="2" t="s">
        <v>680</v>
      </c>
      <c r="C758" s="2" t="s">
        <v>31</v>
      </c>
      <c r="D758" s="3">
        <v>33706</v>
      </c>
      <c r="E758" s="3">
        <v>46254</v>
      </c>
      <c r="F758" s="2" t="s">
        <v>47</v>
      </c>
      <c r="G758" s="2" t="s">
        <v>90</v>
      </c>
      <c r="H758" s="2" t="s">
        <v>68</v>
      </c>
      <c r="I758" s="2" t="s">
        <v>34</v>
      </c>
      <c r="J758" s="4">
        <v>8850000</v>
      </c>
      <c r="K758" s="2">
        <v>3</v>
      </c>
      <c r="L758" s="2">
        <v>4</v>
      </c>
      <c r="M758" s="2">
        <v>1</v>
      </c>
      <c r="N758" s="2" t="s">
        <v>25</v>
      </c>
      <c r="O758" s="2" t="s">
        <v>26</v>
      </c>
      <c r="P758" s="2" t="s">
        <v>36</v>
      </c>
      <c r="Q758" s="3"/>
      <c r="R758" s="2"/>
    </row>
    <row r="759" spans="1:18" x14ac:dyDescent="0.3">
      <c r="A759" s="2" t="s">
        <v>1205</v>
      </c>
      <c r="B759" s="2" t="s">
        <v>775</v>
      </c>
      <c r="C759" s="2" t="s">
        <v>31</v>
      </c>
      <c r="D759" s="3">
        <v>38846</v>
      </c>
      <c r="E759" s="3">
        <v>46226</v>
      </c>
      <c r="F759" s="2" t="s">
        <v>39</v>
      </c>
      <c r="G759" s="2" t="s">
        <v>170</v>
      </c>
      <c r="H759" s="2" t="s">
        <v>68</v>
      </c>
      <c r="I759" s="2" t="s">
        <v>44</v>
      </c>
      <c r="J759" s="4">
        <v>8240000</v>
      </c>
      <c r="K759" s="2">
        <v>4</v>
      </c>
      <c r="L759" s="2">
        <v>1</v>
      </c>
      <c r="M759" s="2">
        <v>0</v>
      </c>
      <c r="N759" s="2" t="s">
        <v>41</v>
      </c>
      <c r="O759" s="2" t="s">
        <v>53</v>
      </c>
      <c r="P759" s="2" t="s">
        <v>36</v>
      </c>
      <c r="Q759" s="3"/>
      <c r="R759" s="2"/>
    </row>
    <row r="760" spans="1:18" x14ac:dyDescent="0.3">
      <c r="A760" s="2" t="s">
        <v>1206</v>
      </c>
      <c r="B760" s="2" t="s">
        <v>543</v>
      </c>
      <c r="C760" s="2" t="s">
        <v>31</v>
      </c>
      <c r="D760" s="3">
        <v>31235</v>
      </c>
      <c r="E760" s="3">
        <v>43402</v>
      </c>
      <c r="F760" s="2" t="s">
        <v>114</v>
      </c>
      <c r="G760" s="2" t="s">
        <v>150</v>
      </c>
      <c r="H760" s="2" t="s">
        <v>23</v>
      </c>
      <c r="I760" s="2" t="s">
        <v>24</v>
      </c>
      <c r="J760" s="4">
        <v>9550000</v>
      </c>
      <c r="K760" s="2">
        <v>3</v>
      </c>
      <c r="L760" s="2">
        <v>2</v>
      </c>
      <c r="M760" s="2">
        <v>10</v>
      </c>
      <c r="N760" s="2" t="s">
        <v>88</v>
      </c>
      <c r="O760" s="2" t="s">
        <v>26</v>
      </c>
      <c r="P760" s="2" t="s">
        <v>36</v>
      </c>
      <c r="Q760" s="3"/>
      <c r="R760" s="2"/>
    </row>
    <row r="761" spans="1:18" x14ac:dyDescent="0.3">
      <c r="A761" s="2" t="s">
        <v>1207</v>
      </c>
      <c r="B761" s="2" t="s">
        <v>437</v>
      </c>
      <c r="C761" s="2" t="s">
        <v>20</v>
      </c>
      <c r="D761" s="3">
        <v>32160</v>
      </c>
      <c r="E761" s="3">
        <v>43175</v>
      </c>
      <c r="F761" s="2" t="s">
        <v>64</v>
      </c>
      <c r="G761" s="2" t="s">
        <v>73</v>
      </c>
      <c r="H761" s="2" t="s">
        <v>68</v>
      </c>
      <c r="I761" s="2" t="s">
        <v>24</v>
      </c>
      <c r="J761" s="4">
        <v>7230000</v>
      </c>
      <c r="K761" s="2">
        <v>4</v>
      </c>
      <c r="L761" s="2">
        <v>1</v>
      </c>
      <c r="M761" s="2">
        <v>22</v>
      </c>
      <c r="N761" s="2" t="s">
        <v>41</v>
      </c>
      <c r="O761" s="2" t="s">
        <v>53</v>
      </c>
      <c r="P761" s="2" t="s">
        <v>36</v>
      </c>
      <c r="Q761" s="3"/>
      <c r="R761" s="2"/>
    </row>
    <row r="762" spans="1:18" x14ac:dyDescent="0.3">
      <c r="A762" s="2" t="s">
        <v>1208</v>
      </c>
      <c r="B762" s="2" t="s">
        <v>520</v>
      </c>
      <c r="C762" s="2" t="s">
        <v>20</v>
      </c>
      <c r="D762" s="3">
        <v>38637</v>
      </c>
      <c r="E762" s="3">
        <v>46100</v>
      </c>
      <c r="F762" s="2" t="s">
        <v>64</v>
      </c>
      <c r="G762" s="2" t="s">
        <v>73</v>
      </c>
      <c r="H762" s="2" t="s">
        <v>68</v>
      </c>
      <c r="I762" s="2" t="s">
        <v>96</v>
      </c>
      <c r="J762" s="4">
        <v>6900000</v>
      </c>
      <c r="K762" s="2">
        <v>3</v>
      </c>
      <c r="L762" s="2">
        <v>4</v>
      </c>
      <c r="M762" s="2">
        <v>17</v>
      </c>
      <c r="N762" s="2" t="s">
        <v>25</v>
      </c>
      <c r="O762" s="2" t="s">
        <v>53</v>
      </c>
      <c r="P762" s="2" t="s">
        <v>36</v>
      </c>
      <c r="Q762" s="3"/>
      <c r="R762" s="2"/>
    </row>
    <row r="763" spans="1:18" x14ac:dyDescent="0.3">
      <c r="A763" s="2" t="s">
        <v>1209</v>
      </c>
      <c r="B763" s="2" t="s">
        <v>398</v>
      </c>
      <c r="C763" s="2" t="s">
        <v>20</v>
      </c>
      <c r="D763" s="3">
        <v>37265</v>
      </c>
      <c r="E763" s="3">
        <v>45817</v>
      </c>
      <c r="F763" s="2" t="s">
        <v>114</v>
      </c>
      <c r="G763" s="2" t="s">
        <v>150</v>
      </c>
      <c r="H763" s="2" t="s">
        <v>23</v>
      </c>
      <c r="I763" s="2" t="s">
        <v>104</v>
      </c>
      <c r="J763" s="4">
        <v>14180000</v>
      </c>
      <c r="K763" s="2">
        <v>4</v>
      </c>
      <c r="L763" s="2">
        <v>1</v>
      </c>
      <c r="M763" s="2">
        <v>31</v>
      </c>
      <c r="N763" s="2" t="s">
        <v>25</v>
      </c>
      <c r="O763" s="2" t="s">
        <v>26</v>
      </c>
      <c r="P763" s="2" t="s">
        <v>36</v>
      </c>
      <c r="Q763" s="3"/>
      <c r="R763" s="2"/>
    </row>
    <row r="764" spans="1:18" x14ac:dyDescent="0.3">
      <c r="A764" s="2" t="s">
        <v>1210</v>
      </c>
      <c r="B764" s="2" t="s">
        <v>655</v>
      </c>
      <c r="C764" s="2" t="s">
        <v>20</v>
      </c>
      <c r="D764" s="3">
        <v>34029</v>
      </c>
      <c r="E764" s="3">
        <v>44995</v>
      </c>
      <c r="F764" s="2" t="s">
        <v>47</v>
      </c>
      <c r="G764" s="2" t="s">
        <v>48</v>
      </c>
      <c r="H764" s="2" t="s">
        <v>33</v>
      </c>
      <c r="I764" s="2" t="s">
        <v>44</v>
      </c>
      <c r="J764" s="4">
        <v>3760000</v>
      </c>
      <c r="K764" s="2">
        <v>3</v>
      </c>
      <c r="L764" s="2">
        <v>4</v>
      </c>
      <c r="M764" s="2">
        <v>0</v>
      </c>
      <c r="N764" s="2" t="s">
        <v>25</v>
      </c>
      <c r="O764" s="2" t="s">
        <v>26</v>
      </c>
      <c r="P764" s="2" t="s">
        <v>36</v>
      </c>
      <c r="Q764" s="3"/>
      <c r="R764" s="2"/>
    </row>
    <row r="765" spans="1:18" x14ac:dyDescent="0.3">
      <c r="A765" s="2" t="s">
        <v>1211</v>
      </c>
      <c r="B765" s="2" t="s">
        <v>1212</v>
      </c>
      <c r="C765" s="2" t="s">
        <v>31</v>
      </c>
      <c r="D765" s="3">
        <v>34403</v>
      </c>
      <c r="E765" s="3">
        <v>44382</v>
      </c>
      <c r="F765" s="2" t="s">
        <v>64</v>
      </c>
      <c r="G765" s="2" t="s">
        <v>65</v>
      </c>
      <c r="H765" s="2" t="s">
        <v>68</v>
      </c>
      <c r="I765" s="2" t="s">
        <v>96</v>
      </c>
      <c r="J765" s="4">
        <v>8360000</v>
      </c>
      <c r="K765" s="2">
        <v>4</v>
      </c>
      <c r="L765" s="2">
        <v>3</v>
      </c>
      <c r="M765" s="2">
        <v>12</v>
      </c>
      <c r="N765" s="2" t="s">
        <v>41</v>
      </c>
      <c r="O765" s="2" t="s">
        <v>26</v>
      </c>
      <c r="P765" s="2" t="s">
        <v>36</v>
      </c>
      <c r="Q765" s="3"/>
      <c r="R765" s="2"/>
    </row>
    <row r="766" spans="1:18" x14ac:dyDescent="0.3">
      <c r="A766" s="2" t="s">
        <v>1213</v>
      </c>
      <c r="B766" s="2" t="s">
        <v>1214</v>
      </c>
      <c r="C766" s="2" t="s">
        <v>20</v>
      </c>
      <c r="D766" s="3">
        <v>32921</v>
      </c>
      <c r="E766" s="3">
        <v>45591</v>
      </c>
      <c r="F766" s="2" t="s">
        <v>114</v>
      </c>
      <c r="G766" s="2" t="s">
        <v>150</v>
      </c>
      <c r="H766" s="2" t="s">
        <v>33</v>
      </c>
      <c r="I766" s="2" t="s">
        <v>104</v>
      </c>
      <c r="J766" s="4">
        <v>4030000</v>
      </c>
      <c r="K766" s="2">
        <v>2</v>
      </c>
      <c r="L766" s="2">
        <v>4</v>
      </c>
      <c r="M766" s="2">
        <v>30</v>
      </c>
      <c r="N766" s="2" t="s">
        <v>41</v>
      </c>
      <c r="O766" s="2" t="s">
        <v>26</v>
      </c>
      <c r="P766" s="2" t="s">
        <v>36</v>
      </c>
      <c r="Q766" s="3"/>
      <c r="R766" s="2"/>
    </row>
    <row r="767" spans="1:18" x14ac:dyDescent="0.3">
      <c r="A767" s="2" t="s">
        <v>1215</v>
      </c>
      <c r="B767" s="2" t="s">
        <v>522</v>
      </c>
      <c r="C767" s="2" t="s">
        <v>234</v>
      </c>
      <c r="D767" s="3">
        <v>35636</v>
      </c>
      <c r="E767" s="3">
        <v>45478</v>
      </c>
      <c r="F767" s="2" t="s">
        <v>602</v>
      </c>
      <c r="G767" s="2" t="s">
        <v>52</v>
      </c>
      <c r="H767" s="2" t="s">
        <v>68</v>
      </c>
      <c r="I767" s="2" t="s">
        <v>24</v>
      </c>
      <c r="J767" s="4">
        <v>5140000</v>
      </c>
      <c r="K767" s="2">
        <v>1</v>
      </c>
      <c r="L767" s="2">
        <v>5</v>
      </c>
      <c r="M767" s="2">
        <v>18</v>
      </c>
      <c r="N767" s="2" t="s">
        <v>88</v>
      </c>
      <c r="O767" s="2" t="s">
        <v>35</v>
      </c>
      <c r="P767" s="2" t="s">
        <v>36</v>
      </c>
      <c r="Q767" s="3"/>
      <c r="R767" s="2"/>
    </row>
    <row r="768" spans="1:18" x14ac:dyDescent="0.3">
      <c r="A768" s="2" t="s">
        <v>1216</v>
      </c>
      <c r="B768" s="2" t="s">
        <v>1217</v>
      </c>
      <c r="C768" s="2" t="s">
        <v>20</v>
      </c>
      <c r="D768" s="3">
        <v>32521</v>
      </c>
      <c r="E768" s="3">
        <v>44654</v>
      </c>
      <c r="F768" s="2" t="s">
        <v>64</v>
      </c>
      <c r="G768" s="2" t="s">
        <v>73</v>
      </c>
      <c r="H768" s="2" t="s">
        <v>33</v>
      </c>
      <c r="I768" s="2" t="s">
        <v>44</v>
      </c>
      <c r="J768" s="4">
        <v>3340000</v>
      </c>
      <c r="K768" s="2">
        <v>5</v>
      </c>
      <c r="L768" s="2">
        <v>4</v>
      </c>
      <c r="M768" s="2">
        <v>8</v>
      </c>
      <c r="N768" s="2" t="s">
        <v>41</v>
      </c>
      <c r="O768" s="2" t="s">
        <v>35</v>
      </c>
      <c r="P768" s="2" t="s">
        <v>36</v>
      </c>
      <c r="Q768" s="3"/>
      <c r="R768" s="2"/>
    </row>
    <row r="769" spans="1:18" x14ac:dyDescent="0.3">
      <c r="A769" s="2" t="s">
        <v>1218</v>
      </c>
      <c r="B769" s="2" t="s">
        <v>1219</v>
      </c>
      <c r="C769" s="2" t="s">
        <v>20</v>
      </c>
      <c r="D769" s="3">
        <v>30718</v>
      </c>
      <c r="E769" s="3">
        <v>43686</v>
      </c>
      <c r="F769" s="2" t="s">
        <v>51</v>
      </c>
      <c r="G769" s="2" t="s">
        <v>52</v>
      </c>
      <c r="H769" s="2" t="s">
        <v>68</v>
      </c>
      <c r="I769" s="2" t="s">
        <v>82</v>
      </c>
      <c r="J769" s="4">
        <v>4490000</v>
      </c>
      <c r="K769" s="2">
        <v>4</v>
      </c>
      <c r="L769" s="2">
        <v>4</v>
      </c>
      <c r="M769" s="2">
        <v>2</v>
      </c>
      <c r="N769" s="2" t="s">
        <v>25</v>
      </c>
      <c r="O769" s="2" t="s">
        <v>35</v>
      </c>
      <c r="P769" s="2" t="s">
        <v>36</v>
      </c>
      <c r="Q769" s="3"/>
      <c r="R769" s="2"/>
    </row>
    <row r="770" spans="1:18" x14ac:dyDescent="0.3">
      <c r="A770" s="2" t="s">
        <v>1220</v>
      </c>
      <c r="B770" s="2" t="s">
        <v>248</v>
      </c>
      <c r="C770" s="2" t="s">
        <v>31</v>
      </c>
      <c r="D770" s="3">
        <v>35782</v>
      </c>
      <c r="E770" s="3">
        <v>45539</v>
      </c>
      <c r="F770" s="2" t="s">
        <v>56</v>
      </c>
      <c r="G770" s="2" t="s">
        <v>142</v>
      </c>
      <c r="H770" s="2" t="s">
        <v>68</v>
      </c>
      <c r="I770" s="2" t="s">
        <v>24</v>
      </c>
      <c r="J770" s="4">
        <v>6260000</v>
      </c>
      <c r="K770" s="2">
        <v>3</v>
      </c>
      <c r="L770" s="2">
        <v>3</v>
      </c>
      <c r="M770" s="2">
        <v>0</v>
      </c>
      <c r="N770" s="2" t="s">
        <v>41</v>
      </c>
      <c r="O770" s="2" t="s">
        <v>26</v>
      </c>
      <c r="P770" s="2" t="s">
        <v>36</v>
      </c>
      <c r="Q770" s="3"/>
      <c r="R770" s="2"/>
    </row>
    <row r="771" spans="1:18" x14ac:dyDescent="0.3">
      <c r="A771" s="2" t="s">
        <v>1221</v>
      </c>
      <c r="B771" s="2" t="s">
        <v>144</v>
      </c>
      <c r="C771" s="2" t="s">
        <v>31</v>
      </c>
      <c r="D771" s="3">
        <v>34161</v>
      </c>
      <c r="E771" s="3">
        <v>44372</v>
      </c>
      <c r="F771" s="2" t="s">
        <v>114</v>
      </c>
      <c r="G771" s="2" t="s">
        <v>196</v>
      </c>
      <c r="H771" s="2" t="s">
        <v>68</v>
      </c>
      <c r="I771" s="2" t="s">
        <v>34</v>
      </c>
      <c r="J771" s="4">
        <v>5480000</v>
      </c>
      <c r="K771" s="2">
        <v>4</v>
      </c>
      <c r="L771" s="2">
        <v>5</v>
      </c>
      <c r="M771" s="2">
        <v>16</v>
      </c>
      <c r="N771" s="2" t="s">
        <v>41</v>
      </c>
      <c r="O771" s="2" t="s">
        <v>35</v>
      </c>
      <c r="P771" s="2" t="s">
        <v>36</v>
      </c>
      <c r="Q771" s="3"/>
      <c r="R771" s="2"/>
    </row>
    <row r="772" spans="1:18" x14ac:dyDescent="0.3">
      <c r="A772" s="2" t="s">
        <v>1222</v>
      </c>
      <c r="B772" s="2" t="s">
        <v>1223</v>
      </c>
      <c r="C772" s="2" t="s">
        <v>31</v>
      </c>
      <c r="D772" s="3">
        <v>33472</v>
      </c>
      <c r="E772" s="3">
        <v>43960</v>
      </c>
      <c r="F772" s="2" t="s">
        <v>51</v>
      </c>
      <c r="G772" s="2" t="s">
        <v>93</v>
      </c>
      <c r="H772" s="2" t="s">
        <v>33</v>
      </c>
      <c r="I772" s="2" t="s">
        <v>82</v>
      </c>
      <c r="J772" s="4">
        <v>3000000</v>
      </c>
      <c r="K772" s="2">
        <v>4</v>
      </c>
      <c r="L772" s="2">
        <v>4</v>
      </c>
      <c r="M772" s="2">
        <v>4</v>
      </c>
      <c r="N772" s="2" t="s">
        <v>88</v>
      </c>
      <c r="O772" s="2" t="s">
        <v>53</v>
      </c>
      <c r="P772" s="2" t="s">
        <v>36</v>
      </c>
      <c r="Q772" s="3"/>
      <c r="R772" s="2"/>
    </row>
    <row r="773" spans="1:18" x14ac:dyDescent="0.3">
      <c r="A773" s="2" t="s">
        <v>1224</v>
      </c>
      <c r="B773" s="2" t="s">
        <v>328</v>
      </c>
      <c r="C773" s="2" t="s">
        <v>20</v>
      </c>
      <c r="D773" s="3">
        <v>38190</v>
      </c>
      <c r="E773" s="3">
        <v>46180</v>
      </c>
      <c r="F773" s="2" t="s">
        <v>56</v>
      </c>
      <c r="G773" s="2" t="s">
        <v>142</v>
      </c>
      <c r="H773" s="2" t="s">
        <v>68</v>
      </c>
      <c r="I773" s="2" t="s">
        <v>24</v>
      </c>
      <c r="J773" s="4">
        <v>8080000</v>
      </c>
      <c r="K773" s="2">
        <v>3</v>
      </c>
      <c r="L773" s="2">
        <v>4</v>
      </c>
      <c r="M773" s="2">
        <v>13</v>
      </c>
      <c r="N773" s="2" t="s">
        <v>25</v>
      </c>
      <c r="O773" s="2" t="s">
        <v>35</v>
      </c>
      <c r="P773" s="2" t="s">
        <v>36</v>
      </c>
      <c r="Q773" s="3"/>
      <c r="R773" s="2"/>
    </row>
    <row r="774" spans="1:18" x14ac:dyDescent="0.3">
      <c r="A774" s="2" t="s">
        <v>1225</v>
      </c>
      <c r="B774" s="2" t="s">
        <v>165</v>
      </c>
      <c r="C774" s="2" t="s">
        <v>20</v>
      </c>
      <c r="D774" s="3">
        <v>32318</v>
      </c>
      <c r="E774" s="3">
        <v>46025</v>
      </c>
      <c r="F774" s="2" t="s">
        <v>1226</v>
      </c>
      <c r="G774" s="2" t="s">
        <v>60</v>
      </c>
      <c r="H774" s="2" t="s">
        <v>23</v>
      </c>
      <c r="I774" s="2" t="s">
        <v>24</v>
      </c>
      <c r="J774" s="4">
        <v>14010000</v>
      </c>
      <c r="K774" s="2">
        <v>3</v>
      </c>
      <c r="L774" s="2">
        <v>4</v>
      </c>
      <c r="M774" s="2">
        <v>0</v>
      </c>
      <c r="N774" s="2" t="s">
        <v>41</v>
      </c>
      <c r="O774" s="2" t="s">
        <v>35</v>
      </c>
      <c r="P774" s="2" t="s">
        <v>36</v>
      </c>
      <c r="Q774" s="3"/>
      <c r="R774" s="2"/>
    </row>
    <row r="775" spans="1:18" x14ac:dyDescent="0.3">
      <c r="A775" s="2" t="s">
        <v>1227</v>
      </c>
      <c r="B775" s="2" t="s">
        <v>1228</v>
      </c>
      <c r="C775" s="2" t="s">
        <v>31</v>
      </c>
      <c r="D775" s="3">
        <v>34467</v>
      </c>
      <c r="E775" s="3">
        <v>44793</v>
      </c>
      <c r="F775" s="2" t="s">
        <v>47</v>
      </c>
      <c r="G775" s="2" t="s">
        <v>48</v>
      </c>
      <c r="H775" s="2" t="s">
        <v>33</v>
      </c>
      <c r="I775" s="2" t="s">
        <v>24</v>
      </c>
      <c r="J775" s="4">
        <v>3460000</v>
      </c>
      <c r="K775" s="2">
        <v>3</v>
      </c>
      <c r="L775" s="2">
        <v>2</v>
      </c>
      <c r="M775" s="2">
        <v>13</v>
      </c>
      <c r="N775" s="2" t="s">
        <v>41</v>
      </c>
      <c r="O775" s="2" t="s">
        <v>35</v>
      </c>
      <c r="P775" s="2" t="s">
        <v>36</v>
      </c>
      <c r="Q775" s="3"/>
      <c r="R775" s="2"/>
    </row>
    <row r="776" spans="1:18" x14ac:dyDescent="0.3">
      <c r="A776" s="2" t="s">
        <v>1229</v>
      </c>
      <c r="B776" s="2" t="s">
        <v>311</v>
      </c>
      <c r="C776" s="2" t="s">
        <v>31</v>
      </c>
      <c r="D776" s="3">
        <v>35409</v>
      </c>
      <c r="E776" s="3">
        <v>44290</v>
      </c>
      <c r="F776" s="2" t="s">
        <v>51</v>
      </c>
      <c r="G776" s="2" t="s">
        <v>52</v>
      </c>
      <c r="H776" s="2" t="s">
        <v>68</v>
      </c>
      <c r="I776" s="2" t="s">
        <v>44</v>
      </c>
      <c r="J776" s="4">
        <v>5460000</v>
      </c>
      <c r="K776" s="2">
        <v>5</v>
      </c>
      <c r="L776" s="2">
        <v>4</v>
      </c>
      <c r="M776" s="2">
        <v>12</v>
      </c>
      <c r="N776" s="2" t="s">
        <v>41</v>
      </c>
      <c r="O776" s="2" t="s">
        <v>26</v>
      </c>
      <c r="P776" s="2" t="s">
        <v>36</v>
      </c>
      <c r="Q776" s="3"/>
      <c r="R776" s="2"/>
    </row>
    <row r="777" spans="1:18" x14ac:dyDescent="0.3">
      <c r="A777" s="2" t="s">
        <v>1230</v>
      </c>
      <c r="B777" s="2" t="s">
        <v>161</v>
      </c>
      <c r="C777" s="2" t="s">
        <v>20</v>
      </c>
      <c r="D777" s="3">
        <v>36163</v>
      </c>
      <c r="E777" s="3">
        <v>46128</v>
      </c>
      <c r="F777" s="2" t="s">
        <v>47</v>
      </c>
      <c r="G777" s="2" t="s">
        <v>90</v>
      </c>
      <c r="H777" s="2" t="s">
        <v>68</v>
      </c>
      <c r="I777" s="2" t="s">
        <v>82</v>
      </c>
      <c r="J777" s="4">
        <v>8030000</v>
      </c>
      <c r="K777" s="2">
        <v>4</v>
      </c>
      <c r="L777" s="2">
        <v>2</v>
      </c>
      <c r="M777" s="2">
        <v>20</v>
      </c>
      <c r="N777" s="2" t="s">
        <v>88</v>
      </c>
      <c r="O777" s="2" t="s">
        <v>53</v>
      </c>
      <c r="P777" s="2" t="s">
        <v>36</v>
      </c>
      <c r="Q777" s="3"/>
      <c r="R777" s="2"/>
    </row>
    <row r="778" spans="1:18" x14ac:dyDescent="0.3">
      <c r="A778" s="2" t="s">
        <v>1231</v>
      </c>
      <c r="B778" s="2" t="s">
        <v>1076</v>
      </c>
      <c r="C778" s="2" t="s">
        <v>20</v>
      </c>
      <c r="D778" s="3">
        <v>38245</v>
      </c>
      <c r="E778" s="3">
        <v>45765</v>
      </c>
      <c r="F778" s="2" t="s">
        <v>1232</v>
      </c>
      <c r="G778" s="2" t="s">
        <v>57</v>
      </c>
      <c r="H778" s="2" t="s">
        <v>33</v>
      </c>
      <c r="I778" s="2" t="s">
        <v>24</v>
      </c>
      <c r="J778" s="4"/>
      <c r="K778" s="2">
        <v>4</v>
      </c>
      <c r="L778" s="2">
        <v>2</v>
      </c>
      <c r="M778" s="2">
        <v>2</v>
      </c>
      <c r="N778" s="2" t="s">
        <v>88</v>
      </c>
      <c r="O778" s="2" t="s">
        <v>26</v>
      </c>
      <c r="P778" s="2" t="s">
        <v>27</v>
      </c>
      <c r="Q778" s="3">
        <v>46168</v>
      </c>
      <c r="R778" s="2" t="s">
        <v>28</v>
      </c>
    </row>
    <row r="779" spans="1:18" x14ac:dyDescent="0.3">
      <c r="A779" s="2" t="s">
        <v>1233</v>
      </c>
      <c r="B779" s="2" t="s">
        <v>273</v>
      </c>
      <c r="C779" s="2" t="s">
        <v>20</v>
      </c>
      <c r="D779" s="3">
        <v>33944</v>
      </c>
      <c r="E779" s="3">
        <v>45072</v>
      </c>
      <c r="F779" s="2" t="s">
        <v>51</v>
      </c>
      <c r="G779" s="2" t="s">
        <v>52</v>
      </c>
      <c r="H779" s="2" t="s">
        <v>33</v>
      </c>
      <c r="I779" s="2" t="s">
        <v>34</v>
      </c>
      <c r="J779" s="4">
        <v>3490000</v>
      </c>
      <c r="K779" s="2">
        <v>5</v>
      </c>
      <c r="L779" s="2">
        <v>3</v>
      </c>
      <c r="M779" s="2">
        <v>9</v>
      </c>
      <c r="N779" s="2" t="s">
        <v>41</v>
      </c>
      <c r="O779" s="2" t="s">
        <v>53</v>
      </c>
      <c r="P779" s="2" t="s">
        <v>36</v>
      </c>
      <c r="Q779" s="3"/>
      <c r="R779" s="2"/>
    </row>
    <row r="780" spans="1:18" x14ac:dyDescent="0.3">
      <c r="A780" s="2" t="s">
        <v>1234</v>
      </c>
      <c r="B780" s="2" t="s">
        <v>580</v>
      </c>
      <c r="C780" s="2" t="s">
        <v>20</v>
      </c>
      <c r="D780" s="3">
        <v>35414</v>
      </c>
      <c r="E780" s="3">
        <v>46191</v>
      </c>
      <c r="F780" s="2" t="s">
        <v>64</v>
      </c>
      <c r="G780" s="2" t="s">
        <v>73</v>
      </c>
      <c r="H780" s="2" t="s">
        <v>23</v>
      </c>
      <c r="I780" s="2" t="s">
        <v>34</v>
      </c>
      <c r="J780" s="4">
        <v>15700000</v>
      </c>
      <c r="K780" s="2">
        <v>4</v>
      </c>
      <c r="L780" s="2">
        <v>3</v>
      </c>
      <c r="M780" s="2">
        <v>4</v>
      </c>
      <c r="N780" s="2" t="s">
        <v>41</v>
      </c>
      <c r="O780" s="2" t="s">
        <v>26</v>
      </c>
      <c r="P780" s="2" t="s">
        <v>36</v>
      </c>
      <c r="Q780" s="3"/>
      <c r="R780" s="2"/>
    </row>
    <row r="781" spans="1:18" x14ac:dyDescent="0.3">
      <c r="A781" s="2" t="s">
        <v>1235</v>
      </c>
      <c r="B781" s="2" t="s">
        <v>978</v>
      </c>
      <c r="C781" s="2" t="s">
        <v>31</v>
      </c>
      <c r="D781" s="3">
        <v>33166</v>
      </c>
      <c r="E781" s="3">
        <v>46259</v>
      </c>
      <c r="F781" s="2" t="s">
        <v>114</v>
      </c>
      <c r="G781" s="2" t="s">
        <v>115</v>
      </c>
      <c r="H781" s="2" t="s">
        <v>33</v>
      </c>
      <c r="I781" s="2" t="s">
        <v>206</v>
      </c>
      <c r="J781" s="4">
        <v>4270000</v>
      </c>
      <c r="K781" s="2">
        <v>1</v>
      </c>
      <c r="L781" s="2">
        <v>2</v>
      </c>
      <c r="M781" s="2">
        <v>22</v>
      </c>
      <c r="N781" s="2" t="s">
        <v>88</v>
      </c>
      <c r="O781" s="2" t="s">
        <v>53</v>
      </c>
      <c r="P781" s="2" t="s">
        <v>36</v>
      </c>
      <c r="Q781" s="3"/>
      <c r="R781" s="2"/>
    </row>
    <row r="782" spans="1:18" x14ac:dyDescent="0.3">
      <c r="A782" s="2" t="s">
        <v>1236</v>
      </c>
      <c r="B782" s="2" t="s">
        <v>746</v>
      </c>
      <c r="C782" s="2" t="s">
        <v>20</v>
      </c>
      <c r="D782" s="3">
        <v>33736</v>
      </c>
      <c r="E782" s="3">
        <v>44233</v>
      </c>
      <c r="F782" s="2" t="s">
        <v>114</v>
      </c>
      <c r="G782" s="2" t="s">
        <v>115</v>
      </c>
      <c r="H782" s="2" t="s">
        <v>68</v>
      </c>
      <c r="I782" s="2" t="s">
        <v>24</v>
      </c>
      <c r="J782" s="4">
        <v>6450000</v>
      </c>
      <c r="K782" s="2">
        <v>2</v>
      </c>
      <c r="L782" s="2">
        <v>2</v>
      </c>
      <c r="M782" s="2">
        <v>15</v>
      </c>
      <c r="N782" s="2" t="s">
        <v>41</v>
      </c>
      <c r="O782" s="2" t="s">
        <v>26</v>
      </c>
      <c r="P782" s="2" t="s">
        <v>36</v>
      </c>
      <c r="Q782" s="3"/>
      <c r="R782" s="2"/>
    </row>
    <row r="783" spans="1:18" x14ac:dyDescent="0.3">
      <c r="A783" s="2" t="s">
        <v>1237</v>
      </c>
      <c r="B783" s="2" t="s">
        <v>832</v>
      </c>
      <c r="C783" s="2" t="s">
        <v>20</v>
      </c>
      <c r="D783" s="3">
        <v>30792</v>
      </c>
      <c r="E783" s="3">
        <v>45533</v>
      </c>
      <c r="F783" s="2" t="s">
        <v>21</v>
      </c>
      <c r="G783" s="2" t="s">
        <v>103</v>
      </c>
      <c r="H783" s="2" t="s">
        <v>33</v>
      </c>
      <c r="I783" s="2" t="s">
        <v>24</v>
      </c>
      <c r="J783" s="4">
        <v>5840000</v>
      </c>
      <c r="K783" s="2">
        <v>1</v>
      </c>
      <c r="L783" s="2">
        <v>3</v>
      </c>
      <c r="M783" s="2">
        <v>0</v>
      </c>
      <c r="N783" s="2" t="s">
        <v>88</v>
      </c>
      <c r="O783" s="2" t="s">
        <v>35</v>
      </c>
      <c r="P783" s="2" t="s">
        <v>36</v>
      </c>
      <c r="Q783" s="3"/>
      <c r="R783" s="2"/>
    </row>
    <row r="784" spans="1:18" x14ac:dyDescent="0.3">
      <c r="A784" s="2" t="s">
        <v>1238</v>
      </c>
      <c r="B784" s="2" t="s">
        <v>1239</v>
      </c>
      <c r="C784" s="2" t="s">
        <v>20</v>
      </c>
      <c r="D784" s="3">
        <v>32728</v>
      </c>
      <c r="E784" s="3">
        <v>43653</v>
      </c>
      <c r="F784" s="2" t="s">
        <v>64</v>
      </c>
      <c r="G784" s="2" t="s">
        <v>73</v>
      </c>
      <c r="H784" s="2" t="s">
        <v>33</v>
      </c>
      <c r="I784" s="2" t="s">
        <v>24</v>
      </c>
      <c r="J784" s="4">
        <v>3580000</v>
      </c>
      <c r="K784" s="2">
        <v>3</v>
      </c>
      <c r="L784" s="2">
        <v>4</v>
      </c>
      <c r="M784" s="2">
        <v>46</v>
      </c>
      <c r="N784" s="2" t="s">
        <v>41</v>
      </c>
      <c r="O784" s="2" t="s">
        <v>26</v>
      </c>
      <c r="P784" s="2" t="s">
        <v>36</v>
      </c>
      <c r="Q784" s="3"/>
      <c r="R784" s="2"/>
    </row>
    <row r="785" spans="1:18" x14ac:dyDescent="0.3">
      <c r="A785" s="2" t="s">
        <v>1240</v>
      </c>
      <c r="B785" s="2" t="s">
        <v>215</v>
      </c>
      <c r="C785" s="2" t="s">
        <v>20</v>
      </c>
      <c r="D785" s="3">
        <v>32756</v>
      </c>
      <c r="E785" s="3">
        <v>43494</v>
      </c>
      <c r="F785" s="2" t="s">
        <v>114</v>
      </c>
      <c r="G785" s="2" t="s">
        <v>150</v>
      </c>
      <c r="H785" s="2" t="s">
        <v>68</v>
      </c>
      <c r="I785" s="2" t="s">
        <v>24</v>
      </c>
      <c r="J785" s="4">
        <v>5430000</v>
      </c>
      <c r="K785" s="2">
        <v>3</v>
      </c>
      <c r="L785" s="2">
        <v>5</v>
      </c>
      <c r="M785" s="2">
        <v>20</v>
      </c>
      <c r="N785" s="2" t="s">
        <v>41</v>
      </c>
      <c r="O785" s="2" t="s">
        <v>35</v>
      </c>
      <c r="P785" s="2" t="s">
        <v>36</v>
      </c>
      <c r="Q785" s="3"/>
      <c r="R785" s="2"/>
    </row>
    <row r="786" spans="1:18" x14ac:dyDescent="0.3">
      <c r="A786" s="2" t="s">
        <v>1241</v>
      </c>
      <c r="B786" s="2" t="s">
        <v>137</v>
      </c>
      <c r="C786" s="2" t="s">
        <v>20</v>
      </c>
      <c r="D786" s="3">
        <v>34921</v>
      </c>
      <c r="E786" s="3">
        <v>43461</v>
      </c>
      <c r="F786" s="2" t="s">
        <v>47</v>
      </c>
      <c r="G786" s="2" t="s">
        <v>48</v>
      </c>
      <c r="H786" s="2" t="s">
        <v>23</v>
      </c>
      <c r="I786" s="2" t="s">
        <v>206</v>
      </c>
      <c r="J786" s="4">
        <v>11320000</v>
      </c>
      <c r="K786" s="2">
        <v>3</v>
      </c>
      <c r="L786" s="2">
        <v>3</v>
      </c>
      <c r="M786" s="2">
        <v>8</v>
      </c>
      <c r="N786" s="2" t="s">
        <v>41</v>
      </c>
      <c r="O786" s="2" t="s">
        <v>26</v>
      </c>
      <c r="P786" s="2" t="s">
        <v>36</v>
      </c>
      <c r="Q786" s="3"/>
      <c r="R786" s="2"/>
    </row>
    <row r="787" spans="1:18" x14ac:dyDescent="0.3">
      <c r="A787" s="2" t="s">
        <v>1242</v>
      </c>
      <c r="B787" s="2" t="s">
        <v>1243</v>
      </c>
      <c r="C787" s="2" t="s">
        <v>31</v>
      </c>
      <c r="D787" s="3">
        <v>35463</v>
      </c>
      <c r="E787" s="3">
        <v>44630</v>
      </c>
      <c r="F787" s="2" t="s">
        <v>39</v>
      </c>
      <c r="G787" s="2" t="s">
        <v>170</v>
      </c>
      <c r="H787" s="2" t="s">
        <v>33</v>
      </c>
      <c r="I787" s="2" t="s">
        <v>44</v>
      </c>
      <c r="J787" s="4">
        <v>3450000</v>
      </c>
      <c r="K787" s="2">
        <v>4</v>
      </c>
      <c r="L787" s="2">
        <v>4</v>
      </c>
      <c r="M787" s="2">
        <v>23</v>
      </c>
      <c r="N787" s="2" t="s">
        <v>41</v>
      </c>
      <c r="O787" s="2" t="s">
        <v>53</v>
      </c>
      <c r="P787" s="2" t="s">
        <v>36</v>
      </c>
      <c r="Q787" s="3"/>
      <c r="R787" s="2"/>
    </row>
    <row r="788" spans="1:18" x14ac:dyDescent="0.3">
      <c r="A788" s="2" t="s">
        <v>1244</v>
      </c>
      <c r="B788" s="2" t="s">
        <v>1245</v>
      </c>
      <c r="C788" s="2" t="s">
        <v>31</v>
      </c>
      <c r="D788" s="3">
        <v>34650</v>
      </c>
      <c r="E788" s="3">
        <v>45519</v>
      </c>
      <c r="F788" s="2" t="s">
        <v>64</v>
      </c>
      <c r="G788" s="2" t="s">
        <v>65</v>
      </c>
      <c r="H788" s="2" t="s">
        <v>68</v>
      </c>
      <c r="I788" s="2" t="s">
        <v>24</v>
      </c>
      <c r="J788" s="4">
        <v>8810000</v>
      </c>
      <c r="K788" s="2">
        <v>5</v>
      </c>
      <c r="L788" s="2">
        <v>4</v>
      </c>
      <c r="M788" s="2">
        <v>17</v>
      </c>
      <c r="N788" s="2" t="s">
        <v>41</v>
      </c>
      <c r="O788" s="2" t="s">
        <v>26</v>
      </c>
      <c r="P788" s="2" t="s">
        <v>36</v>
      </c>
      <c r="Q788" s="3"/>
      <c r="R788" s="2"/>
    </row>
    <row r="789" spans="1:18" x14ac:dyDescent="0.3">
      <c r="A789" s="2" t="s">
        <v>1246</v>
      </c>
      <c r="B789" s="2" t="s">
        <v>784</v>
      </c>
      <c r="C789" s="2" t="s">
        <v>234</v>
      </c>
      <c r="D789" s="3">
        <v>33426</v>
      </c>
      <c r="E789" s="3">
        <v>44946</v>
      </c>
      <c r="F789" s="2" t="s">
        <v>47</v>
      </c>
      <c r="G789" s="2" t="s">
        <v>48</v>
      </c>
      <c r="H789" s="2" t="s">
        <v>33</v>
      </c>
      <c r="I789" s="2" t="s">
        <v>24</v>
      </c>
      <c r="J789" s="4">
        <v>4180000</v>
      </c>
      <c r="K789" s="2">
        <v>3</v>
      </c>
      <c r="L789" s="2">
        <v>5</v>
      </c>
      <c r="M789" s="2">
        <v>0</v>
      </c>
      <c r="N789" s="2" t="s">
        <v>25</v>
      </c>
      <c r="O789" s="2" t="s">
        <v>53</v>
      </c>
      <c r="P789" s="2" t="s">
        <v>36</v>
      </c>
      <c r="Q789" s="3"/>
      <c r="R789" s="2"/>
    </row>
    <row r="790" spans="1:18" x14ac:dyDescent="0.3">
      <c r="A790" s="2" t="s">
        <v>1247</v>
      </c>
      <c r="B790" s="2" t="s">
        <v>437</v>
      </c>
      <c r="C790" s="2" t="s">
        <v>20</v>
      </c>
      <c r="D790" s="3">
        <v>34853</v>
      </c>
      <c r="E790" s="3">
        <v>46152</v>
      </c>
      <c r="F790" s="2" t="s">
        <v>51</v>
      </c>
      <c r="G790" s="2" t="s">
        <v>93</v>
      </c>
      <c r="H790" s="2" t="s">
        <v>33</v>
      </c>
      <c r="I790" s="2" t="s">
        <v>34</v>
      </c>
      <c r="J790" s="4">
        <v>2990000</v>
      </c>
      <c r="K790" s="2">
        <v>2</v>
      </c>
      <c r="L790" s="2">
        <v>2</v>
      </c>
      <c r="M790" s="2">
        <v>24</v>
      </c>
      <c r="N790" s="2" t="s">
        <v>88</v>
      </c>
      <c r="O790" s="2" t="s">
        <v>35</v>
      </c>
      <c r="P790" s="2" t="s">
        <v>27</v>
      </c>
      <c r="Q790" s="3">
        <v>46263</v>
      </c>
      <c r="R790" s="2" t="s">
        <v>155</v>
      </c>
    </row>
    <row r="791" spans="1:18" x14ac:dyDescent="0.3">
      <c r="A791" s="2" t="s">
        <v>1248</v>
      </c>
      <c r="B791" s="2" t="s">
        <v>594</v>
      </c>
      <c r="C791" s="2" t="s">
        <v>31</v>
      </c>
      <c r="D791" s="3">
        <v>32344</v>
      </c>
      <c r="E791" s="3">
        <v>44398</v>
      </c>
      <c r="F791" s="2" t="s">
        <v>51</v>
      </c>
      <c r="G791" s="2" t="s">
        <v>52</v>
      </c>
      <c r="H791" s="2" t="s">
        <v>23</v>
      </c>
      <c r="I791" s="2" t="s">
        <v>24</v>
      </c>
      <c r="J791" s="4">
        <v>11190000</v>
      </c>
      <c r="K791" s="2">
        <v>2</v>
      </c>
      <c r="L791" s="2">
        <v>3</v>
      </c>
      <c r="M791" s="2">
        <v>22</v>
      </c>
      <c r="N791" s="2" t="s">
        <v>88</v>
      </c>
      <c r="O791" s="2" t="s">
        <v>26</v>
      </c>
      <c r="P791" s="2" t="s">
        <v>36</v>
      </c>
      <c r="Q791" s="3"/>
      <c r="R791" s="2"/>
    </row>
    <row r="792" spans="1:18" x14ac:dyDescent="0.3">
      <c r="A792" s="2" t="s">
        <v>1249</v>
      </c>
      <c r="B792" s="2" t="s">
        <v>1250</v>
      </c>
      <c r="C792" s="2" t="s">
        <v>31</v>
      </c>
      <c r="D792" s="3">
        <v>32287</v>
      </c>
      <c r="E792" s="3">
        <v>45105</v>
      </c>
      <c r="F792" s="2" t="s">
        <v>114</v>
      </c>
      <c r="G792" s="2" t="s">
        <v>150</v>
      </c>
      <c r="H792" s="2" t="s">
        <v>68</v>
      </c>
      <c r="I792" s="2" t="s">
        <v>44</v>
      </c>
      <c r="J792" s="4">
        <v>7380000</v>
      </c>
      <c r="K792" s="2">
        <v>3</v>
      </c>
      <c r="L792" s="2">
        <v>1</v>
      </c>
      <c r="M792" s="2">
        <v>4</v>
      </c>
      <c r="N792" s="2" t="s">
        <v>25</v>
      </c>
      <c r="O792" s="2" t="s">
        <v>35</v>
      </c>
      <c r="P792" s="2" t="s">
        <v>36</v>
      </c>
      <c r="Q792" s="3"/>
      <c r="R792" s="2"/>
    </row>
    <row r="793" spans="1:18" x14ac:dyDescent="0.3">
      <c r="A793" s="2" t="s">
        <v>1251</v>
      </c>
      <c r="B793" s="2" t="s">
        <v>507</v>
      </c>
      <c r="C793" s="2" t="s">
        <v>20</v>
      </c>
      <c r="D793" s="3">
        <v>31353</v>
      </c>
      <c r="E793" s="3">
        <v>45347</v>
      </c>
      <c r="F793" s="2" t="s">
        <v>47</v>
      </c>
      <c r="G793" s="2" t="s">
        <v>127</v>
      </c>
      <c r="H793" s="2" t="s">
        <v>68</v>
      </c>
      <c r="I793" s="2" t="s">
        <v>24</v>
      </c>
      <c r="J793" s="4">
        <v>7190000</v>
      </c>
      <c r="K793" s="2">
        <v>2</v>
      </c>
      <c r="L793" s="2">
        <v>5</v>
      </c>
      <c r="M793" s="2">
        <v>7</v>
      </c>
      <c r="N793" s="2" t="s">
        <v>41</v>
      </c>
      <c r="O793" s="2" t="s">
        <v>26</v>
      </c>
      <c r="P793" s="2" t="s">
        <v>36</v>
      </c>
      <c r="Q793" s="3"/>
      <c r="R793" s="2"/>
    </row>
    <row r="794" spans="1:18" x14ac:dyDescent="0.3">
      <c r="A794" s="2" t="s">
        <v>1252</v>
      </c>
      <c r="B794" s="2" t="s">
        <v>92</v>
      </c>
      <c r="C794" s="2" t="s">
        <v>20</v>
      </c>
      <c r="D794" s="3">
        <v>35318</v>
      </c>
      <c r="E794" s="3">
        <v>44509</v>
      </c>
      <c r="F794" s="2" t="s">
        <v>47</v>
      </c>
      <c r="G794" s="2" t="s">
        <v>48</v>
      </c>
      <c r="H794" s="2" t="s">
        <v>68</v>
      </c>
      <c r="I794" s="2" t="s">
        <v>24</v>
      </c>
      <c r="J794" s="4">
        <v>8470000</v>
      </c>
      <c r="K794" s="2">
        <v>3</v>
      </c>
      <c r="L794" s="2">
        <v>3</v>
      </c>
      <c r="M794" s="2">
        <v>18</v>
      </c>
      <c r="N794" s="2" t="s">
        <v>41</v>
      </c>
      <c r="O794" s="2" t="s">
        <v>53</v>
      </c>
      <c r="P794" s="2" t="s">
        <v>36</v>
      </c>
      <c r="Q794" s="3"/>
      <c r="R794" s="2"/>
    </row>
    <row r="795" spans="1:18" x14ac:dyDescent="0.3">
      <c r="A795" s="2" t="s">
        <v>1253</v>
      </c>
      <c r="B795" s="2" t="s">
        <v>352</v>
      </c>
      <c r="C795" s="2" t="s">
        <v>20</v>
      </c>
      <c r="D795" s="3">
        <v>34458</v>
      </c>
      <c r="E795" s="3">
        <v>42754</v>
      </c>
      <c r="F795" s="2" t="s">
        <v>64</v>
      </c>
      <c r="G795" s="2" t="s">
        <v>73</v>
      </c>
      <c r="H795" s="2" t="s">
        <v>68</v>
      </c>
      <c r="I795" s="2" t="s">
        <v>104</v>
      </c>
      <c r="J795" s="4">
        <v>6360000</v>
      </c>
      <c r="K795" s="2">
        <v>5</v>
      </c>
      <c r="L795" s="2">
        <v>1</v>
      </c>
      <c r="M795" s="2">
        <v>8</v>
      </c>
      <c r="N795" s="2" t="s">
        <v>41</v>
      </c>
      <c r="O795" s="2" t="s">
        <v>26</v>
      </c>
      <c r="P795" s="2" t="s">
        <v>36</v>
      </c>
      <c r="Q795" s="3"/>
      <c r="R795" s="2"/>
    </row>
    <row r="796" spans="1:18" x14ac:dyDescent="0.3">
      <c r="A796" s="2" t="s">
        <v>1254</v>
      </c>
      <c r="B796" s="2" t="s">
        <v>139</v>
      </c>
      <c r="C796" s="2" t="s">
        <v>20</v>
      </c>
      <c r="D796" s="3">
        <v>33737</v>
      </c>
      <c r="E796" s="3">
        <v>44842</v>
      </c>
      <c r="F796" s="2" t="s">
        <v>21</v>
      </c>
      <c r="G796" s="2" t="s">
        <v>32</v>
      </c>
      <c r="H796" s="2" t="s">
        <v>68</v>
      </c>
      <c r="I796" s="2" t="s">
        <v>24</v>
      </c>
      <c r="J796" s="4">
        <v>8120000</v>
      </c>
      <c r="K796" s="2">
        <v>5</v>
      </c>
      <c r="L796" s="2">
        <v>3</v>
      </c>
      <c r="M796" s="2">
        <v>21</v>
      </c>
      <c r="N796" s="2" t="s">
        <v>41</v>
      </c>
      <c r="O796" s="2" t="s">
        <v>26</v>
      </c>
      <c r="P796" s="2" t="s">
        <v>36</v>
      </c>
      <c r="Q796" s="3"/>
      <c r="R796" s="2"/>
    </row>
    <row r="797" spans="1:18" x14ac:dyDescent="0.3">
      <c r="A797" s="2" t="s">
        <v>1255</v>
      </c>
      <c r="B797" s="2" t="s">
        <v>273</v>
      </c>
      <c r="C797" s="2" t="s">
        <v>240</v>
      </c>
      <c r="D797" s="3">
        <v>37018</v>
      </c>
      <c r="E797" s="3">
        <v>45558</v>
      </c>
      <c r="F797" s="2" t="s">
        <v>64</v>
      </c>
      <c r="G797" s="2" t="s">
        <v>73</v>
      </c>
      <c r="H797" s="2" t="s">
        <v>23</v>
      </c>
      <c r="I797" s="2" t="s">
        <v>24</v>
      </c>
      <c r="J797" s="4">
        <v>14850000</v>
      </c>
      <c r="K797" s="2">
        <v>4</v>
      </c>
      <c r="L797" s="2">
        <v>3</v>
      </c>
      <c r="M797" s="2">
        <v>25</v>
      </c>
      <c r="N797" s="2" t="s">
        <v>41</v>
      </c>
      <c r="O797" s="2" t="s">
        <v>26</v>
      </c>
      <c r="P797" s="2" t="s">
        <v>36</v>
      </c>
      <c r="Q797" s="3"/>
      <c r="R797" s="2"/>
    </row>
    <row r="798" spans="1:18" x14ac:dyDescent="0.3">
      <c r="A798" s="2" t="s">
        <v>1256</v>
      </c>
      <c r="B798" s="2" t="s">
        <v>371</v>
      </c>
      <c r="C798" s="2" t="s">
        <v>31</v>
      </c>
      <c r="D798" s="3">
        <v>31413</v>
      </c>
      <c r="E798" s="3">
        <v>46194</v>
      </c>
      <c r="F798" s="2" t="s">
        <v>21</v>
      </c>
      <c r="G798" s="2" t="s">
        <v>103</v>
      </c>
      <c r="H798" s="2" t="s">
        <v>68</v>
      </c>
      <c r="I798" s="2" t="s">
        <v>24</v>
      </c>
      <c r="J798" s="4">
        <v>10260000</v>
      </c>
      <c r="K798" s="2">
        <v>3</v>
      </c>
      <c r="L798" s="2">
        <v>5</v>
      </c>
      <c r="M798" s="2">
        <v>9</v>
      </c>
      <c r="N798" s="2" t="s">
        <v>25</v>
      </c>
      <c r="O798" s="2" t="s">
        <v>35</v>
      </c>
      <c r="P798" s="2" t="s">
        <v>27</v>
      </c>
      <c r="Q798" s="3">
        <v>46259</v>
      </c>
      <c r="R798" s="2" t="s">
        <v>145</v>
      </c>
    </row>
    <row r="799" spans="1:18" x14ac:dyDescent="0.3">
      <c r="A799" s="2" t="s">
        <v>1257</v>
      </c>
      <c r="B799" s="2" t="s">
        <v>1131</v>
      </c>
      <c r="C799" s="2" t="s">
        <v>20</v>
      </c>
      <c r="D799" s="3">
        <v>32225</v>
      </c>
      <c r="E799" s="3">
        <v>46078</v>
      </c>
      <c r="F799" s="2" t="s">
        <v>21</v>
      </c>
      <c r="G799" s="2" t="s">
        <v>22</v>
      </c>
      <c r="H799" s="2" t="s">
        <v>33</v>
      </c>
      <c r="I799" s="2" t="s">
        <v>24</v>
      </c>
      <c r="J799" s="4">
        <v>6620000</v>
      </c>
      <c r="K799" s="2">
        <v>5</v>
      </c>
      <c r="L799" s="2">
        <v>4</v>
      </c>
      <c r="M799" s="2">
        <v>24</v>
      </c>
      <c r="N799" s="2" t="s">
        <v>41</v>
      </c>
      <c r="O799" s="2" t="s">
        <v>26</v>
      </c>
      <c r="P799" s="2" t="s">
        <v>36</v>
      </c>
      <c r="Q799" s="3"/>
      <c r="R799" s="2"/>
    </row>
    <row r="800" spans="1:18" x14ac:dyDescent="0.3">
      <c r="A800" s="2" t="s">
        <v>1258</v>
      </c>
      <c r="B800" s="2" t="s">
        <v>157</v>
      </c>
      <c r="C800" s="2" t="s">
        <v>20</v>
      </c>
      <c r="D800" s="3">
        <v>34967</v>
      </c>
      <c r="E800" s="3">
        <v>43496</v>
      </c>
      <c r="F800" s="2" t="s">
        <v>64</v>
      </c>
      <c r="G800" s="2" t="s">
        <v>79</v>
      </c>
      <c r="H800" s="2" t="s">
        <v>33</v>
      </c>
      <c r="I800" s="2" t="s">
        <v>104</v>
      </c>
      <c r="J800" s="4">
        <v>3560000</v>
      </c>
      <c r="K800" s="2">
        <v>1</v>
      </c>
      <c r="L800" s="2">
        <v>2</v>
      </c>
      <c r="M800" s="2">
        <v>18</v>
      </c>
      <c r="N800" s="2" t="s">
        <v>41</v>
      </c>
      <c r="O800" s="2" t="s">
        <v>53</v>
      </c>
      <c r="P800" s="2" t="s">
        <v>27</v>
      </c>
      <c r="Q800" s="3">
        <v>45666</v>
      </c>
      <c r="R800" s="2" t="s">
        <v>145</v>
      </c>
    </row>
    <row r="801" spans="1:18" x14ac:dyDescent="0.3">
      <c r="A801" s="2" t="s">
        <v>1259</v>
      </c>
      <c r="B801" s="2" t="s">
        <v>1260</v>
      </c>
      <c r="C801" s="2" t="s">
        <v>20</v>
      </c>
      <c r="D801" s="3">
        <v>32574</v>
      </c>
      <c r="E801" s="3">
        <v>43335</v>
      </c>
      <c r="F801" s="2" t="s">
        <v>21</v>
      </c>
      <c r="G801" s="2" t="s">
        <v>22</v>
      </c>
      <c r="H801" s="2" t="s">
        <v>23</v>
      </c>
      <c r="I801" s="2" t="s">
        <v>44</v>
      </c>
      <c r="J801" s="4">
        <v>21490000</v>
      </c>
      <c r="K801" s="2">
        <v>2</v>
      </c>
      <c r="L801" s="2">
        <v>2</v>
      </c>
      <c r="M801" s="2">
        <v>5</v>
      </c>
      <c r="N801" s="2" t="s">
        <v>41</v>
      </c>
      <c r="O801" s="2" t="s">
        <v>26</v>
      </c>
      <c r="P801" s="2" t="s">
        <v>36</v>
      </c>
      <c r="Q801" s="3"/>
      <c r="R801" s="2"/>
    </row>
    <row r="802" spans="1:18" x14ac:dyDescent="0.3">
      <c r="A802" s="2" t="s">
        <v>1261</v>
      </c>
      <c r="B802" s="2" t="s">
        <v>30</v>
      </c>
      <c r="C802" s="2" t="s">
        <v>31</v>
      </c>
      <c r="D802" s="3">
        <v>39057</v>
      </c>
      <c r="E802" s="3">
        <v>46278</v>
      </c>
      <c r="F802" s="2" t="s">
        <v>64</v>
      </c>
      <c r="G802" s="2" t="s">
        <v>65</v>
      </c>
      <c r="H802" s="2" t="s">
        <v>33</v>
      </c>
      <c r="I802" s="2" t="s">
        <v>82</v>
      </c>
      <c r="J802" s="4">
        <v>3280000</v>
      </c>
      <c r="K802" s="2">
        <v>3</v>
      </c>
      <c r="L802" s="2">
        <v>4</v>
      </c>
      <c r="M802" s="2">
        <v>3</v>
      </c>
      <c r="N802" s="2" t="s">
        <v>88</v>
      </c>
      <c r="O802" s="2" t="s">
        <v>26</v>
      </c>
      <c r="P802" s="2" t="s">
        <v>36</v>
      </c>
      <c r="Q802" s="3"/>
      <c r="R802" s="2"/>
    </row>
    <row r="803" spans="1:18" x14ac:dyDescent="0.3">
      <c r="A803" s="2" t="s">
        <v>1262</v>
      </c>
      <c r="B803" s="2" t="s">
        <v>1263</v>
      </c>
      <c r="C803" s="2" t="s">
        <v>31</v>
      </c>
      <c r="D803" s="3">
        <v>33433</v>
      </c>
      <c r="E803" s="3">
        <v>43997</v>
      </c>
      <c r="F803" s="2" t="s">
        <v>78</v>
      </c>
      <c r="G803" s="2" t="s">
        <v>79</v>
      </c>
      <c r="H803" s="2" t="s">
        <v>23</v>
      </c>
      <c r="I803" s="2" t="s">
        <v>104</v>
      </c>
      <c r="J803" s="4">
        <v>12660000</v>
      </c>
      <c r="K803" s="2">
        <v>2</v>
      </c>
      <c r="L803" s="2">
        <v>3</v>
      </c>
      <c r="M803" s="2">
        <v>14</v>
      </c>
      <c r="N803" s="2" t="s">
        <v>41</v>
      </c>
      <c r="O803" s="2" t="s">
        <v>26</v>
      </c>
      <c r="P803" s="2" t="s">
        <v>36</v>
      </c>
      <c r="Q803" s="3"/>
      <c r="R803" s="2"/>
    </row>
    <row r="804" spans="1:18" x14ac:dyDescent="0.3">
      <c r="A804" s="2" t="s">
        <v>1264</v>
      </c>
      <c r="B804" s="2" t="s">
        <v>959</v>
      </c>
      <c r="C804" s="2" t="s">
        <v>31</v>
      </c>
      <c r="D804" s="3">
        <v>31792</v>
      </c>
      <c r="E804" s="3">
        <v>45514</v>
      </c>
      <c r="F804" s="2" t="s">
        <v>64</v>
      </c>
      <c r="G804" s="2" t="s">
        <v>73</v>
      </c>
      <c r="H804" s="2" t="s">
        <v>33</v>
      </c>
      <c r="I804" s="2" t="s">
        <v>34</v>
      </c>
      <c r="J804" s="4">
        <v>3970000</v>
      </c>
      <c r="K804" s="2">
        <v>5</v>
      </c>
      <c r="L804" s="2">
        <v>5</v>
      </c>
      <c r="M804" s="2">
        <v>31</v>
      </c>
      <c r="N804" s="2" t="s">
        <v>25</v>
      </c>
      <c r="O804" s="2" t="s">
        <v>35</v>
      </c>
      <c r="P804" s="2" t="s">
        <v>27</v>
      </c>
      <c r="Q804" s="3">
        <v>45934</v>
      </c>
      <c r="R804" s="2" t="s">
        <v>401</v>
      </c>
    </row>
    <row r="805" spans="1:18" x14ac:dyDescent="0.3">
      <c r="A805" s="2" t="s">
        <v>1265</v>
      </c>
      <c r="B805" s="2" t="s">
        <v>1266</v>
      </c>
      <c r="C805" s="2" t="s">
        <v>31</v>
      </c>
      <c r="D805" s="3">
        <v>35114</v>
      </c>
      <c r="E805" s="3">
        <v>44667</v>
      </c>
      <c r="F805" s="2" t="s">
        <v>51</v>
      </c>
      <c r="G805" s="2" t="s">
        <v>93</v>
      </c>
      <c r="H805" s="2" t="s">
        <v>33</v>
      </c>
      <c r="I805" s="2" t="s">
        <v>24</v>
      </c>
      <c r="J805" s="4">
        <v>3900000</v>
      </c>
      <c r="K805" s="2">
        <v>4</v>
      </c>
      <c r="L805" s="2">
        <v>3</v>
      </c>
      <c r="M805" s="2">
        <v>18</v>
      </c>
      <c r="N805" s="2" t="s">
        <v>41</v>
      </c>
      <c r="O805" s="2" t="s">
        <v>26</v>
      </c>
      <c r="P805" s="2" t="s">
        <v>36</v>
      </c>
      <c r="Q805" s="3"/>
      <c r="R805" s="2"/>
    </row>
    <row r="806" spans="1:18" x14ac:dyDescent="0.3">
      <c r="A806" s="2" t="s">
        <v>1267</v>
      </c>
      <c r="B806" s="2" t="s">
        <v>292</v>
      </c>
      <c r="C806" s="2" t="s">
        <v>31</v>
      </c>
      <c r="D806" s="3">
        <v>36312</v>
      </c>
      <c r="E806" s="3">
        <v>46207</v>
      </c>
      <c r="F806" s="2" t="s">
        <v>64</v>
      </c>
      <c r="G806" s="2" t="s">
        <v>65</v>
      </c>
      <c r="H806" s="2" t="s">
        <v>68</v>
      </c>
      <c r="I806" s="2" t="s">
        <v>24</v>
      </c>
      <c r="J806" s="4">
        <v>7050000</v>
      </c>
      <c r="K806" s="2">
        <v>3</v>
      </c>
      <c r="L806" s="2">
        <v>3</v>
      </c>
      <c r="M806" s="2">
        <v>9</v>
      </c>
      <c r="N806" s="2" t="s">
        <v>25</v>
      </c>
      <c r="O806" s="2" t="s">
        <v>35</v>
      </c>
      <c r="P806" s="2" t="s">
        <v>27</v>
      </c>
      <c r="Q806" s="3">
        <v>46289</v>
      </c>
      <c r="R806" s="2" t="s">
        <v>235</v>
      </c>
    </row>
    <row r="807" spans="1:18" x14ac:dyDescent="0.3">
      <c r="A807" s="2" t="s">
        <v>1268</v>
      </c>
      <c r="B807" s="2" t="s">
        <v>376</v>
      </c>
      <c r="C807" s="2" t="s">
        <v>20</v>
      </c>
      <c r="D807" s="3">
        <v>33860</v>
      </c>
      <c r="E807" s="3">
        <v>45403</v>
      </c>
      <c r="F807" s="2" t="s">
        <v>51</v>
      </c>
      <c r="G807" s="2" t="s">
        <v>93</v>
      </c>
      <c r="H807" s="2" t="s">
        <v>68</v>
      </c>
      <c r="I807" s="2" t="s">
        <v>24</v>
      </c>
      <c r="J807" s="4">
        <v>5710000</v>
      </c>
      <c r="K807" s="2">
        <v>4</v>
      </c>
      <c r="L807" s="2">
        <v>3</v>
      </c>
      <c r="M807" s="2">
        <v>0</v>
      </c>
      <c r="N807" s="2" t="s">
        <v>25</v>
      </c>
      <c r="O807" s="2" t="s">
        <v>26</v>
      </c>
      <c r="P807" s="2" t="s">
        <v>36</v>
      </c>
      <c r="Q807" s="3"/>
      <c r="R807" s="2"/>
    </row>
    <row r="808" spans="1:18" x14ac:dyDescent="0.3">
      <c r="A808" s="2" t="s">
        <v>1269</v>
      </c>
      <c r="B808" s="2" t="s">
        <v>1095</v>
      </c>
      <c r="C808" s="2" t="s">
        <v>20</v>
      </c>
      <c r="D808" s="3">
        <v>32916</v>
      </c>
      <c r="E808" s="3">
        <v>43694</v>
      </c>
      <c r="F808" s="2" t="s">
        <v>64</v>
      </c>
      <c r="G808" s="2" t="s">
        <v>65</v>
      </c>
      <c r="H808" s="2" t="s">
        <v>68</v>
      </c>
      <c r="I808" s="2" t="s">
        <v>104</v>
      </c>
      <c r="J808" s="4">
        <v>6860000</v>
      </c>
      <c r="K808" s="2">
        <v>4</v>
      </c>
      <c r="L808" s="2">
        <v>3</v>
      </c>
      <c r="M808" s="2">
        <v>22</v>
      </c>
      <c r="N808" s="2" t="s">
        <v>41</v>
      </c>
      <c r="O808" s="2" t="s">
        <v>53</v>
      </c>
      <c r="P808" s="2" t="s">
        <v>36</v>
      </c>
      <c r="Q808" s="3"/>
      <c r="R808" s="2"/>
    </row>
    <row r="809" spans="1:18" x14ac:dyDescent="0.3">
      <c r="A809" s="2" t="s">
        <v>1269</v>
      </c>
      <c r="B809" s="2" t="s">
        <v>1095</v>
      </c>
      <c r="C809" s="2" t="s">
        <v>20</v>
      </c>
      <c r="D809" s="3">
        <v>32916</v>
      </c>
      <c r="E809" s="3">
        <v>43694</v>
      </c>
      <c r="F809" s="2" t="s">
        <v>64</v>
      </c>
      <c r="G809" s="2" t="s">
        <v>65</v>
      </c>
      <c r="H809" s="2" t="s">
        <v>68</v>
      </c>
      <c r="I809" s="2" t="s">
        <v>104</v>
      </c>
      <c r="J809" s="4">
        <v>6860000</v>
      </c>
      <c r="K809" s="2">
        <v>4</v>
      </c>
      <c r="L809" s="2">
        <v>3</v>
      </c>
      <c r="M809" s="2">
        <v>22</v>
      </c>
      <c r="N809" s="2" t="s">
        <v>41</v>
      </c>
      <c r="O809" s="2" t="s">
        <v>53</v>
      </c>
      <c r="P809" s="2" t="s">
        <v>36</v>
      </c>
      <c r="Q809" s="3"/>
      <c r="R809" s="2"/>
    </row>
    <row r="810" spans="1:18" x14ac:dyDescent="0.3">
      <c r="A810" s="2" t="s">
        <v>1270</v>
      </c>
      <c r="B810" s="2" t="s">
        <v>718</v>
      </c>
      <c r="C810" s="2" t="s">
        <v>20</v>
      </c>
      <c r="D810" s="3">
        <v>36179</v>
      </c>
      <c r="E810" s="3">
        <v>44778</v>
      </c>
      <c r="F810" s="2" t="s">
        <v>21</v>
      </c>
      <c r="G810" s="2" t="s">
        <v>22</v>
      </c>
      <c r="H810" s="2" t="s">
        <v>33</v>
      </c>
      <c r="I810" s="2" t="s">
        <v>104</v>
      </c>
      <c r="J810" s="4">
        <v>5570000</v>
      </c>
      <c r="K810" s="2">
        <v>4</v>
      </c>
      <c r="L810" s="2">
        <v>2</v>
      </c>
      <c r="M810" s="2">
        <v>0</v>
      </c>
      <c r="N810" s="2" t="s">
        <v>25</v>
      </c>
      <c r="O810" s="2" t="s">
        <v>26</v>
      </c>
      <c r="P810" s="2" t="s">
        <v>27</v>
      </c>
      <c r="Q810" s="3">
        <v>46016</v>
      </c>
      <c r="R810" s="2" t="s">
        <v>155</v>
      </c>
    </row>
    <row r="811" spans="1:18" x14ac:dyDescent="0.3">
      <c r="A811" s="2" t="s">
        <v>1271</v>
      </c>
      <c r="B811" s="2" t="s">
        <v>1072</v>
      </c>
      <c r="C811" s="2" t="s">
        <v>20</v>
      </c>
      <c r="D811" s="3">
        <v>36711</v>
      </c>
      <c r="E811" s="3">
        <v>45492</v>
      </c>
      <c r="F811" s="2" t="s">
        <v>51</v>
      </c>
      <c r="G811" s="2" t="s">
        <v>52</v>
      </c>
      <c r="H811" s="2" t="s">
        <v>23</v>
      </c>
      <c r="I811" s="2" t="s">
        <v>96</v>
      </c>
      <c r="J811" s="4">
        <v>9000000</v>
      </c>
      <c r="K811" s="2">
        <v>3</v>
      </c>
      <c r="L811" s="2">
        <v>4</v>
      </c>
      <c r="M811" s="2">
        <v>30</v>
      </c>
      <c r="N811" s="2" t="s">
        <v>41</v>
      </c>
      <c r="O811" s="2" t="s">
        <v>53</v>
      </c>
      <c r="P811" s="2" t="s">
        <v>36</v>
      </c>
      <c r="Q811" s="3"/>
      <c r="R811" s="2"/>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cols>
    <col min="1" max="1" width="20" customWidth="1"/>
    <col min="2" max="2" width="24" customWidth="1"/>
    <col min="3" max="3" width="20" customWidth="1"/>
  </cols>
  <sheetData>
    <row r="1" spans="1:3" ht="24" customHeight="1" x14ac:dyDescent="0.3">
      <c r="A1" s="1" t="s">
        <v>5</v>
      </c>
      <c r="B1" s="1" t="s">
        <v>1272</v>
      </c>
      <c r="C1" s="1" t="s">
        <v>1273</v>
      </c>
    </row>
    <row r="2" spans="1:3" x14ac:dyDescent="0.3">
      <c r="A2" s="2" t="s">
        <v>64</v>
      </c>
      <c r="B2" s="2" t="s">
        <v>930</v>
      </c>
      <c r="C2" s="2">
        <v>190</v>
      </c>
    </row>
    <row r="3" spans="1:3" x14ac:dyDescent="0.3">
      <c r="A3" s="2" t="s">
        <v>47</v>
      </c>
      <c r="B3" s="2" t="s">
        <v>801</v>
      </c>
      <c r="C3" s="2">
        <v>80</v>
      </c>
    </row>
    <row r="4" spans="1:3" x14ac:dyDescent="0.3">
      <c r="A4" s="2" t="s">
        <v>21</v>
      </c>
      <c r="B4" s="2" t="s">
        <v>338</v>
      </c>
      <c r="C4" s="2">
        <v>110</v>
      </c>
    </row>
    <row r="5" spans="1:3" x14ac:dyDescent="0.3">
      <c r="A5" s="2" t="s">
        <v>56</v>
      </c>
      <c r="B5" s="2" t="s">
        <v>810</v>
      </c>
      <c r="C5" s="2">
        <v>70</v>
      </c>
    </row>
    <row r="6" spans="1:3" x14ac:dyDescent="0.3">
      <c r="A6" s="2" t="s">
        <v>39</v>
      </c>
      <c r="B6" s="2" t="s">
        <v>713</v>
      </c>
      <c r="C6" s="2">
        <v>35</v>
      </c>
    </row>
    <row r="7" spans="1:3" x14ac:dyDescent="0.3">
      <c r="A7" s="2" t="s">
        <v>114</v>
      </c>
      <c r="B7" s="2" t="s">
        <v>318</v>
      </c>
      <c r="C7" s="2">
        <v>125</v>
      </c>
    </row>
    <row r="8" spans="1:3" x14ac:dyDescent="0.3">
      <c r="A8" s="2" t="s">
        <v>51</v>
      </c>
      <c r="B8" s="2" t="s">
        <v>1274</v>
      </c>
      <c r="C8" s="2">
        <v>190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workbookViewId="0"/>
  </sheetViews>
  <sheetFormatPr defaultRowHeight="14.4" x14ac:dyDescent="0.3"/>
  <cols>
    <col min="1" max="1" width="30" customWidth="1"/>
    <col min="2" max="2" width="55" customWidth="1"/>
    <col min="3" max="3" width="12" customWidth="1"/>
  </cols>
  <sheetData>
    <row r="1" spans="1:3" ht="22.05" customHeight="1" x14ac:dyDescent="0.3">
      <c r="A1" s="1" t="s">
        <v>1275</v>
      </c>
      <c r="B1" s="1" t="s">
        <v>1276</v>
      </c>
      <c r="C1" s="1" t="s">
        <v>1277</v>
      </c>
    </row>
    <row r="2" spans="1:3" x14ac:dyDescent="0.3">
      <c r="A2" s="2" t="s">
        <v>0</v>
      </c>
      <c r="B2" s="2" t="s">
        <v>1278</v>
      </c>
      <c r="C2" s="2" t="s">
        <v>1279</v>
      </c>
    </row>
    <row r="3" spans="1:3" x14ac:dyDescent="0.3">
      <c r="A3" s="2" t="s">
        <v>1</v>
      </c>
      <c r="B3" s="2" t="s">
        <v>1280</v>
      </c>
      <c r="C3" s="2" t="s">
        <v>1279</v>
      </c>
    </row>
    <row r="4" spans="1:3" x14ac:dyDescent="0.3">
      <c r="A4" s="2" t="s">
        <v>2</v>
      </c>
      <c r="B4" s="2" t="s">
        <v>1281</v>
      </c>
      <c r="C4" s="2" t="s">
        <v>1279</v>
      </c>
    </row>
    <row r="5" spans="1:3" x14ac:dyDescent="0.3">
      <c r="A5" s="2" t="s">
        <v>3</v>
      </c>
      <c r="B5" s="2" t="s">
        <v>1282</v>
      </c>
      <c r="C5" s="2" t="s">
        <v>1283</v>
      </c>
    </row>
    <row r="6" spans="1:3" x14ac:dyDescent="0.3">
      <c r="A6" s="2" t="s">
        <v>4</v>
      </c>
      <c r="B6" s="2" t="s">
        <v>1284</v>
      </c>
      <c r="C6" s="2" t="s">
        <v>1283</v>
      </c>
    </row>
    <row r="7" spans="1:3" x14ac:dyDescent="0.3">
      <c r="A7" s="2" t="s">
        <v>5</v>
      </c>
      <c r="B7" s="2" t="s">
        <v>1285</v>
      </c>
      <c r="C7" s="2" t="s">
        <v>1279</v>
      </c>
    </row>
    <row r="8" spans="1:3" x14ac:dyDescent="0.3">
      <c r="A8" s="2" t="s">
        <v>6</v>
      </c>
      <c r="B8" s="2" t="s">
        <v>1286</v>
      </c>
      <c r="C8" s="2" t="s">
        <v>1279</v>
      </c>
    </row>
    <row r="9" spans="1:3" x14ac:dyDescent="0.3">
      <c r="A9" s="2" t="s">
        <v>7</v>
      </c>
      <c r="B9" s="2" t="s">
        <v>1287</v>
      </c>
      <c r="C9" s="2" t="s">
        <v>1279</v>
      </c>
    </row>
    <row r="10" spans="1:3" x14ac:dyDescent="0.3">
      <c r="A10" s="2" t="s">
        <v>8</v>
      </c>
      <c r="B10" s="2" t="s">
        <v>1288</v>
      </c>
      <c r="C10" s="2" t="s">
        <v>1279</v>
      </c>
    </row>
    <row r="11" spans="1:3" x14ac:dyDescent="0.3">
      <c r="A11" s="2" t="s">
        <v>9</v>
      </c>
      <c r="B11" s="2" t="s">
        <v>1289</v>
      </c>
      <c r="C11" s="2" t="s">
        <v>1290</v>
      </c>
    </row>
    <row r="12" spans="1:3" x14ac:dyDescent="0.3">
      <c r="A12" s="2" t="s">
        <v>10</v>
      </c>
      <c r="B12" s="2" t="s">
        <v>1291</v>
      </c>
      <c r="C12" s="2" t="s">
        <v>1292</v>
      </c>
    </row>
    <row r="13" spans="1:3" x14ac:dyDescent="0.3">
      <c r="A13" s="2" t="s">
        <v>11</v>
      </c>
      <c r="B13" s="2" t="s">
        <v>1293</v>
      </c>
      <c r="C13" s="2" t="s">
        <v>1292</v>
      </c>
    </row>
    <row r="14" spans="1:3" x14ac:dyDescent="0.3">
      <c r="A14" s="2" t="s">
        <v>12</v>
      </c>
      <c r="B14" s="2" t="s">
        <v>1294</v>
      </c>
      <c r="C14" s="2" t="s">
        <v>1292</v>
      </c>
    </row>
    <row r="15" spans="1:3" x14ac:dyDescent="0.3">
      <c r="A15" s="2" t="s">
        <v>13</v>
      </c>
      <c r="B15" s="2" t="s">
        <v>1295</v>
      </c>
      <c r="C15" s="2" t="s">
        <v>1279</v>
      </c>
    </row>
    <row r="16" spans="1:3" x14ac:dyDescent="0.3">
      <c r="A16" s="2" t="s">
        <v>14</v>
      </c>
      <c r="B16" s="2" t="s">
        <v>1296</v>
      </c>
      <c r="C16" s="2" t="s">
        <v>1279</v>
      </c>
    </row>
    <row r="17" spans="1:3" x14ac:dyDescent="0.3">
      <c r="A17" s="2" t="s">
        <v>15</v>
      </c>
      <c r="B17" s="2" t="s">
        <v>1297</v>
      </c>
      <c r="C17" s="2" t="s">
        <v>1279</v>
      </c>
    </row>
    <row r="18" spans="1:3" x14ac:dyDescent="0.3">
      <c r="A18" s="2" t="s">
        <v>16</v>
      </c>
      <c r="B18" s="2" t="s">
        <v>1298</v>
      </c>
      <c r="C18" s="2" t="s">
        <v>1283</v>
      </c>
    </row>
    <row r="19" spans="1:3" x14ac:dyDescent="0.3">
      <c r="A19" s="2" t="s">
        <v>17</v>
      </c>
      <c r="B19" s="2" t="s">
        <v>1299</v>
      </c>
      <c r="C19" s="2" t="s">
        <v>1279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171157-9CCD-4D78-9DDC-1C520C9CD7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Pivots</vt:lpstr>
      <vt:lpstr>HR_Clean</vt:lpstr>
      <vt:lpstr>HR_Raw</vt:lpstr>
      <vt:lpstr>Bolimlar</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Nodir Karimov</cp:lastModifiedBy>
  <dcterms:created xsi:type="dcterms:W3CDTF">2026-10-21T05:05:15Z</dcterms:created>
  <dcterms:modified xsi:type="dcterms:W3CDTF">2026-10-22T10:24:56Z</dcterms:modified>
</cp:coreProperties>
</file>